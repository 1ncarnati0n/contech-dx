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"/>
  </bookViews>
  <sheets>
    <sheet r:id="rId1" sheetId="1" name="지상 골조표준공정"/>
    <sheet r:id="rId2" sheetId="2" name="주동지하 표준공정"/>
    <sheet r:id="rId3" sheetId="3" name="주차장  표준공정"/>
    <sheet r:id="rId4" sheetId="4" name="층고6.5m이상구간"/>
    <sheet r:id="rId5" sheetId="5" name="층고"/>
    <sheet r:id="rId6" sheetId="6" name="작업조구성"/>
    <sheet r:id="rId7" sheetId="7" name="공종별 인원 상,하한 설정"/>
    <sheet r:id="rId8" sheetId="8" name="부분별 보정계수설정"/>
    <sheet r:id="rId9" sheetId="9" name="거푸집 계열 작업면, 작업면적 추정 산식"/>
    <sheet r:id="rId10" sheetId="10" name="철근 작업면,작업면적(Zone,Front) 추정 산식"/>
    <sheet r:id="rId11" sheetId="11" name="인당생산성"/>
    <sheet r:id="rId12" sheetId="12" name="펌프카 부위별 타설량"/>
  </sheets>
  <calcPr fullCalcOnLoad="1"/>
</workbook>
</file>

<file path=xl/sharedStrings.xml><?xml version="1.0" encoding="utf-8"?>
<sst xmlns="http://schemas.openxmlformats.org/spreadsheetml/2006/main" count="714" uniqueCount="198">
  <si>
    <t>버림</t>
  </si>
  <si>
    <t>기초 대당타설량</t>
  </si>
  <si>
    <t>지하층 대당타설량</t>
  </si>
  <si>
    <t>일반층 대당타설량</t>
  </si>
  <si>
    <t>셋팀층 대당타설량</t>
  </si>
  <si>
    <t>기준층 대당타설량</t>
  </si>
  <si>
    <t>최상층 대당타설량</t>
  </si>
  <si>
    <t>PH층 대당타설량</t>
  </si>
  <si>
    <t>펌프차 대수산정기준 : 동별 최대 2대</t>
  </si>
  <si>
    <t>구분</t>
  </si>
  <si>
    <t>층수</t>
  </si>
  <si>
    <t>층고</t>
  </si>
  <si>
    <t>면적</t>
  </si>
  <si>
    <t>세부공종</t>
  </si>
  <si>
    <t>단 위</t>
  </si>
  <si>
    <t>인당 생산성</t>
  </si>
  <si>
    <t>버림틀 설치</t>
  </si>
  <si>
    <t>㎡</t>
  </si>
  <si>
    <t>버림 타설</t>
  </si>
  <si>
    <t>㎥</t>
  </si>
  <si>
    <t>기초</t>
  </si>
  <si>
    <t>먹메김</t>
  </si>
  <si>
    <t>기초 철근조립</t>
  </si>
  <si>
    <t>ton</t>
  </si>
  <si>
    <t>끊어치기 작업</t>
  </si>
  <si>
    <t>기초 타설</t>
  </si>
  <si>
    <t>지하층</t>
  </si>
  <si>
    <t>B2</t>
  </si>
  <si>
    <t>먹매김</t>
  </si>
  <si>
    <t>벽 철근조립</t>
  </si>
  <si>
    <t>벽 거푸집설치</t>
  </si>
  <si>
    <t>바닥 거푸집설치</t>
  </si>
  <si>
    <t>슬라브철근 조립</t>
  </si>
  <si>
    <t>마감작업</t>
  </si>
  <si>
    <t>B2 타설</t>
  </si>
  <si>
    <t>거푸집해체정리</t>
  </si>
  <si>
    <t>B1</t>
  </si>
  <si>
    <t>B1 타설</t>
  </si>
  <si>
    <t>피트층 거푸집설치</t>
  </si>
  <si>
    <t>슬라브 철근조립</t>
  </si>
  <si>
    <t>피트층 타설</t>
  </si>
  <si>
    <t>일반층</t>
  </si>
  <si>
    <t>벽 유로폼 설치</t>
  </si>
  <si>
    <t>바닥 유로폼 설치</t>
  </si>
  <si>
    <t>타설</t>
  </si>
  <si>
    <t>셋팅층</t>
  </si>
  <si>
    <t>갱폼설치</t>
  </si>
  <si>
    <t>알폼조립</t>
  </si>
  <si>
    <t>기준층</t>
  </si>
  <si>
    <t>최상층</t>
  </si>
  <si>
    <t>옥탑층</t>
  </si>
  <si>
    <t>철근 부위</t>
  </si>
  <si>
    <t>물량표 입력</t>
  </si>
  <si>
    <t>추정 파라미터</t>
  </si>
  <si>
    <t>작업면/작업면적 산정식(예시)</t>
  </si>
  <si>
    <t>Zone/Front 산정</t>
  </si>
  <si>
    <t>비고(오차/보정 포인트)</t>
  </si>
  <si>
    <t>슬라브 철근(지상/지하 공통)</t>
  </si>
  <si>
    <t>콘크리트㎥(우선), 철근ton(검증)</t>
  </si>
  <si>
    <t>t_slab, A_zone_slab=200㎡</t>
  </si>
  <si>
    <t>슬라브면적 A_s = 콘크리트㎥ / t_slab</t>
  </si>
  <si>
    <t>Zone_slab = CEILING(A_s / 200)</t>
  </si>
  <si>
    <t>슬라브는 면적 구획이 cap을 결정. 철근ton은 “난이도 검증”용(ton/㎡가 높으면 생산성 보정)</t>
  </si>
  <si>
    <t>지상 벽체 철근(갱폼/알폼 기반)</t>
  </si>
  <si>
    <t>갱폼㎡+알폼㎡</t>
  </si>
  <si>
    <t>h</t>
  </si>
  <si>
    <t>벽체연장 L = (갱폼㎡+알폼㎡)/h</t>
  </si>
  <si>
    <t>Front = CEILING(L / 25m)</t>
  </si>
  <si>
    <t>지상 벽체철근은 폼(벽체면적)과 강하게 연동됨. 벽체 면적이 곧 작업면</t>
  </si>
  <si>
    <t>지하 벽체 철근(유로폼 기반)</t>
  </si>
  <si>
    <t>형틀㎡(+ 콘크리트㎥로 슬라브 제거)</t>
  </si>
  <si>
    <t>h_ug, t_slab_ug, k_beam_ug</t>
  </si>
  <si>
    <t>① A_s = 콘크리트㎥ / t_slab_ug ② A_sf=A_s×k_beam_ug ③ 벽체유로폼㎡=MAX(0, 형틀㎡−A_sf) ④ L=벽체유로폼㎡/h_ug</t>
  </si>
  <si>
    <t>Front=CEILING(L/25m)</t>
  </si>
  <si>
    <t>지하벽 철근은 전선 기반이 가장 맞음. 지하층고 입력이 중요</t>
  </si>
  <si>
    <t>기초 철근(매트/독립기초)</t>
  </si>
  <si>
    <t>콘크리트㎥(기초), 철근ton</t>
  </si>
  <si>
    <t>t_mat(기초두께), A_zone_slab=200㎡</t>
  </si>
  <si>
    <t>기초면적 A_f = 기초콘크리트㎥ / t_mat</t>
  </si>
  <si>
    <t>Zone_found = CEILING(A_f / 200)</t>
  </si>
  <si>
    <t>기초는 “자유구획”이라 Zone 기반이 맞음. 두께(t_mat)만 알면 면적이 안정적으로 나옴</t>
  </si>
  <si>
    <t>공종·부위</t>
  </si>
  <si>
    <t>Front/Zone 산정</t>
  </si>
  <si>
    <t>갱폼(지상 벽체)</t>
  </si>
  <si>
    <t>갱폼㎡</t>
  </si>
  <si>
    <t>벽체연장 L_g = 갱폼㎡ / h</t>
  </si>
  <si>
    <t>Front_g = CEILING(L_g / L_front)</t>
  </si>
  <si>
    <t>갱폼㎡가 “벽체면적”이라 가장 깔끔. 코어/외곽 분리 없으면 Front는 과대/과소 가능 → cap 상·하한으로 clamp 권장</t>
  </si>
  <si>
    <t>알폼(지상 벽체)</t>
  </si>
  <si>
    <t>알폼㎡</t>
  </si>
  <si>
    <t>벽체연장 L_a = 알폼㎡ / h</t>
  </si>
  <si>
    <t>Front_a = CEILING(L_a / L_front)</t>
  </si>
  <si>
    <t>알폼은 구획을 잘게 나눌 수 있어 Front 추정이 현실적. 단, 코어 집중형 평면은 Front가 과대될 수 있음</t>
  </si>
  <si>
    <t>옥탑</t>
  </si>
  <si>
    <t>형틀㎡(또는 유로폼으로 간주)</t>
  </si>
  <si>
    <t>h_PH, k_beam_PH</t>
  </si>
  <si>
    <t>① 슬라브면적 A_s = 콘크리트㎥ / t_slab (가능하면 PH 두께 별도) ② 슬라브거푸집 A_sf = A_s × k_beam_PH ③ 벽체유로폼㎡ = MAX(0, 형틀㎡ − A_sf)</t>
  </si>
  <si>
    <t>Front_PH = CEILING((벽체유로폼㎡/h_PH)/L_front), Zone_slab = CEILING(A_s / A_zone_slab)</t>
  </si>
  <si>
    <t>옥탑은 보정이 큰 구간. PH는 “상한(권장)=상한(하드)”로 묶는 게 안정적(사람 더 넣어도 안 빨라짐)</t>
  </si>
  <si>
    <t>유로폼(지상 필로티·부대시설 – 벽체)</t>
  </si>
  <si>
    <t>형틀㎡</t>
  </si>
  <si>
    <t>h_pil, t_slab_pil,</t>
  </si>
  <si>
    <t>① A_s = 콘크리트㎥ / t_slab_pil ② A_sf = A_s × k_beam_pil ③ 벽체유로폼㎡ = MAX(0, 형틀㎡ − A_sf) ④ 벽체연장 L = 벽체유로폼㎡ / h_pil</t>
  </si>
  <si>
    <t>Front = CEILING(L / L_front)</t>
  </si>
  <si>
    <t>필로티는 기둥/보/단차가 많아 k_beam을 높게(1.2~1.3) 잡아야 “벽체유로폼” 과대추정이 줄어듦</t>
  </si>
  <si>
    <t>(갱폼/알폼이 0 또는 매우 적은 층)</t>
  </si>
  <si>
    <t>k_beam_pil</t>
  </si>
  <si>
    <t>유로폼(지하 슬라브 – 저면/보·턱)</t>
  </si>
  <si>
    <t>형틀㎡, 콘크리트㎥</t>
  </si>
  <si>
    <t>t_slab_ug, k_beam_ug</t>
  </si>
  <si>
    <t>① 슬라브면적 A_s = 콘크리트㎥ / t_slab_ug ② 슬라브거푸집 A_sf = A_s × k_beam_ug</t>
  </si>
  <si>
    <t>Zone_slab = CEILING(A_s / A_zone_slab)</t>
  </si>
  <si>
    <t>지하 슬라브는 벽체와 분리 필요. 형틀㎡ 중 슬라브 몫을 먼저 빼고 남는 걸 벽체로(아래 지하벽 계산)</t>
  </si>
  <si>
    <t>유로폼(지하 벽체 – 외곽/내력벽)</t>
  </si>
  <si>
    <t>① A_s = 콘크리트㎥ / t_slab_ug ② A_sf = A_s × k_beam_ug ③ 벽체유로폼㎡ = MAX(0, 형틀㎡ − A_sf) ④ 벽체연장 L = 벽체유로폼㎡ / h_ug</t>
  </si>
  <si>
    <t>지하벽은 cap이 “전선” 지배. h_ug를 잘못 주면 Front가 크게 흔들림 → 지하층고만큼은 입력 추천</t>
  </si>
  <si>
    <t>구 분</t>
  </si>
  <si>
    <t>보정계수</t>
  </si>
  <si>
    <t>지하</t>
  </si>
  <si>
    <t>PH층</t>
  </si>
  <si>
    <t>마감/보강</t>
  </si>
  <si>
    <t>끊어치기</t>
  </si>
  <si>
    <t>공종</t>
  </si>
  <si>
    <t>하한</t>
  </si>
  <si>
    <t>기본값</t>
  </si>
  <si>
    <t>권장</t>
  </si>
  <si>
    <t>공기지연</t>
  </si>
  <si>
    <t>갱폼</t>
  </si>
  <si>
    <t>알폼</t>
  </si>
  <si>
    <t>유로폼</t>
  </si>
  <si>
    <t>지상 필로티,부대시설</t>
  </si>
  <si>
    <t>지하슬라브</t>
  </si>
  <si>
    <t>지하 벽</t>
  </si>
  <si>
    <t>철근</t>
  </si>
  <si>
    <t>슬라브</t>
  </si>
  <si>
    <t>지상벽</t>
  </si>
  <si>
    <t>지하벽</t>
  </si>
  <si>
    <t>해체/정리</t>
  </si>
  <si>
    <t>작업조원</t>
  </si>
  <si>
    <t>표준</t>
  </si>
  <si>
    <t>구획산정 보정기준</t>
  </si>
  <si>
    <t>권장 작업조 산정 기준</t>
  </si>
  <si>
    <t xml:space="preserve">동시에 작업 할 수 있는 작업면의 수 </t>
  </si>
  <si>
    <t>250㎡/작업면적</t>
  </si>
  <si>
    <t>40㎡/작업면적</t>
  </si>
  <si>
    <t>기초 철근</t>
  </si>
  <si>
    <t>200㎡/기초작업면적</t>
  </si>
  <si>
    <t>벽 철근</t>
  </si>
  <si>
    <t>벽체라인 25ｍ/작업면</t>
  </si>
  <si>
    <t>슬라브 철근</t>
  </si>
  <si>
    <t>200㎡/작업면적</t>
  </si>
  <si>
    <t>동시에 먹메김 할 수 있는 작업면(구획)의 수 (권장 환산: 500㎡/구획 또는 벽체라인 50m/구획 중 큰 값 적용)</t>
  </si>
  <si>
    <t>버림틀설치</t>
  </si>
  <si>
    <t>셋팀층</t>
  </si>
  <si>
    <t>옥탑1</t>
  </si>
  <si>
    <t>옥탑2</t>
  </si>
  <si>
    <t>참고자료</t>
  </si>
  <si>
    <t>작업면적기준</t>
  </si>
  <si>
    <t>보정계수 적용</t>
  </si>
  <si>
    <t>단위</t>
  </si>
  <si>
    <t>수량</t>
  </si>
  <si>
    <t>기준 인당 생산성</t>
  </si>
  <si>
    <t>총 투입인원</t>
  </si>
  <si>
    <t>1일 투입인원</t>
  </si>
  <si>
    <t>산정 기준</t>
  </si>
  <si>
    <t>작업조 기준인원</t>
  </si>
  <si>
    <t>최대 작업조</t>
  </si>
  <si>
    <t>최대 인원</t>
  </si>
  <si>
    <t>보정최대작업가능인원</t>
  </si>
  <si>
    <t>투입장비명</t>
  </si>
  <si>
    <t>최대장비대수</t>
  </si>
  <si>
    <t xml:space="preserve"> 순작업일</t>
  </si>
  <si>
    <t>최소 순작업일</t>
  </si>
  <si>
    <t>총작업일수</t>
  </si>
  <si>
    <t>최소 총작업일</t>
  </si>
  <si>
    <t>간접일</t>
  </si>
  <si>
    <t>간접작업항목</t>
  </si>
  <si>
    <t>보보정계수</t>
  </si>
  <si>
    <t>장비대수*4명 /버림부분</t>
  </si>
  <si>
    <t>콘크리트 펌프차</t>
  </si>
  <si>
    <t>양생</t>
  </si>
  <si>
    <t>B2슬라브두께</t>
  </si>
  <si>
    <t>B1슬라브두께</t>
  </si>
  <si>
    <t>검측</t>
  </si>
  <si>
    <t>지상층슬라브두께</t>
  </si>
  <si>
    <t>장비대수*5명 /기초부분</t>
  </si>
  <si>
    <t>층고6.5m이상구간</t>
  </si>
  <si>
    <t>시스템동바리</t>
  </si>
  <si>
    <t>보강/검측</t>
  </si>
  <si>
    <t>장비대수*5명 /지하골조부분</t>
  </si>
  <si>
    <t>주차장</t>
  </si>
  <si>
    <t>주동
지하</t>
  </si>
  <si>
    <t>장비대수*6명 /일반층</t>
  </si>
  <si>
    <t>앵커/안전발판</t>
  </si>
  <si>
    <t>장비대수*6명 /셋팅층</t>
  </si>
  <si>
    <t>장비대수*4명 /기준층</t>
  </si>
  <si>
    <t>장비대수*4명 /일반층</t>
  </si>
  <si>
    <t>장비대수*4명 /최상층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</si>
</sst>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맑은 고딕"/>
      <family val="2"/>
    </font>
    <font>
      <sz val="11"/>
      <color theme="1"/>
      <name val="Calibri"/>
      <family val="2"/>
    </font>
    <font>
      <sz val="10"/>
      <color rgb="FF000000"/>
      <name val="KoPubWorld돋움체_Pro Bold"/>
      <family val="2"/>
    </font>
    <font>
      <sz val="10"/>
      <color rgb="FF000000"/>
      <name val="KoPubWorld돋움체_Pro Medium"/>
      <family val="2"/>
    </font>
    <font>
      <sz val="10"/>
      <color rgb="FF000000"/>
      <name val="맑은 고딕"/>
      <family val="2"/>
    </font>
    <font>
      <b/>
      <sz val="10"/>
      <color rgb="FF000000"/>
      <name val="KoPubWorld돋움체_Pro Medium"/>
      <family val="2"/>
    </font>
    <font>
      <b/>
      <sz val="20"/>
      <color rgb="FFff0000"/>
      <name val="맑은 고딕"/>
      <family val="2"/>
    </font>
    <font>
      <sz val="11"/>
      <color rgb="FFff0000"/>
      <name val="맑은 고딕"/>
      <family val="2"/>
    </font>
    <font>
      <sz val="8"/>
      <color rgb="FFff0000"/>
      <name val="맑은 고딕"/>
      <family val="2"/>
    </font>
    <font>
      <b/>
      <sz val="11"/>
      <color rgb="FF000000"/>
      <name val="맑은 고딕"/>
      <family val="2"/>
    </font>
    <font>
      <sz val="18"/>
      <color rgb="FFff0000"/>
      <name val="맑은 고딕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cfee"/>
      </patternFill>
    </fill>
    <fill>
      <patternFill patternType="solid">
        <fgColor rgb="FFfbe3d6"/>
      </patternFill>
    </fill>
    <fill>
      <patternFill patternType="solid">
        <fgColor rgb="FFd9f2d0"/>
      </patternFill>
    </fill>
    <fill>
      <patternFill patternType="solid">
        <fgColor rgb="FFa6caec"/>
      </patternFill>
    </fill>
    <fill>
      <patternFill patternType="solid">
        <fgColor rgb="FFd86ecc"/>
      </patternFill>
    </fill>
    <fill>
      <patternFill patternType="solid">
        <fgColor rgb="FFe59edd"/>
      </patternFill>
    </fill>
    <fill>
      <patternFill patternType="solid">
        <fgColor rgb="FFffffff"/>
      </patternFill>
    </fill>
    <fill>
      <patternFill patternType="solid">
        <fgColor rgb="FF8ed973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</borders>
  <cellStyleXfs count="1">
    <xf numFmtId="0" fontId="0" fillId="0" borderId="0"/>
  </cellStyleXfs>
  <cellXfs count="20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3" applyBorder="1" fontId="1" applyFont="1" fillId="2" applyFill="1" applyAlignment="1">
      <alignment horizontal="center" wrapText="1"/>
    </xf>
    <xf xfId="0" numFmtId="4" applyNumberFormat="1" borderId="3" applyBorder="1" fontId="1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center" vertical="top"/>
    </xf>
    <xf xfId="0" numFmtId="0" borderId="4" applyBorder="1" fontId="2" applyFont="1" fillId="0" applyAlignment="1">
      <alignment horizontal="center" vertical="top"/>
    </xf>
    <xf xfId="0" numFmtId="3" applyNumberFormat="1" borderId="4" applyBorder="1" fontId="2" applyFont="1" fillId="0" applyAlignment="1">
      <alignment horizontal="center" vertical="top"/>
    </xf>
    <xf xfId="0" numFmtId="0" borderId="1" applyBorder="1" fontId="2" applyFont="1" fillId="3" applyFill="1" applyAlignment="1">
      <alignment horizontal="left"/>
    </xf>
    <xf xfId="0" numFmtId="0" borderId="3" applyBorder="1" fontId="1" applyFont="1" fillId="0" applyAlignment="1">
      <alignment horizontal="center" wrapText="1"/>
    </xf>
    <xf xfId="0" numFmtId="4" applyNumberFormat="1" borderId="1" applyBorder="1" fontId="2" applyFont="1" fillId="3" applyFill="1" applyAlignment="1">
      <alignment horizontal="right"/>
    </xf>
    <xf xfId="0" numFmtId="0" borderId="5" applyBorder="1" fontId="2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0" borderId="1" applyBorder="1" fontId="2" applyFont="1" fillId="4" applyFill="1" applyAlignment="1">
      <alignment horizontal="left"/>
    </xf>
    <xf xfId="0" numFmtId="4" applyNumberFormat="1" borderId="1" applyBorder="1" fontId="2" applyFont="1" fillId="4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4" applyNumberFormat="1" borderId="1" applyBorder="1" fontId="2" applyFont="1" fillId="2" applyFill="1" applyAlignment="1">
      <alignment horizontal="right"/>
    </xf>
    <xf xfId="0" numFmtId="0" borderId="6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0" borderId="1" applyBorder="1" fontId="2" applyFont="1" fillId="5" applyFill="1" applyAlignment="1">
      <alignment horizontal="left"/>
    </xf>
    <xf xfId="0" numFmtId="4" applyNumberFormat="1" borderId="1" applyBorder="1" fontId="2" applyFont="1" fillId="5" applyFill="1" applyAlignment="1">
      <alignment horizontal="right"/>
    </xf>
    <xf xfId="0" numFmtId="0" borderId="7" applyBorder="1" fontId="1" applyFont="1" fillId="0" applyAlignment="1">
      <alignment horizontal="center" vertical="top" wrapText="1"/>
    </xf>
    <xf xfId="0" numFmtId="0" borderId="8" applyBorder="1" fontId="1" applyFont="1" fillId="0" applyAlignment="1">
      <alignment horizontal="center" vertical="top" wrapText="1"/>
    </xf>
    <xf xfId="0" numFmtId="3" applyNumberFormat="1" borderId="1" applyBorder="1" fontId="1" applyFont="1" fillId="0" applyAlignment="1">
      <alignment horizontal="center" vertical="top" wrapText="1"/>
    </xf>
    <xf xfId="0" numFmtId="0" borderId="4" applyBorder="1" fontId="1" applyFont="1" fillId="0" applyAlignment="1">
      <alignment horizontal="center" vertical="top" wrapText="1"/>
    </xf>
    <xf xfId="0" numFmtId="0" borderId="9" applyBorder="1" fontId="1" applyFont="1" fillId="0" applyAlignment="1">
      <alignment horizontal="center" wrapText="1"/>
    </xf>
    <xf xfId="0" numFmtId="0" borderId="10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6" applyBorder="1" fontId="1" applyFont="1" fillId="0" applyAlignment="1">
      <alignment horizontal="center" wrapText="1"/>
    </xf>
    <xf xfId="0" numFmtId="4" applyNumberFormat="1" borderId="1" applyBorder="1" fontId="2" applyFont="1" fillId="6" applyFill="1" applyAlignment="1">
      <alignment horizontal="right"/>
    </xf>
    <xf xfId="0" numFmtId="0" borderId="11" applyBorder="1" fontId="1" applyFont="1" fillId="0" applyAlignment="1">
      <alignment horizontal="center" wrapText="1"/>
    </xf>
    <xf xfId="0" numFmtId="0" borderId="5" applyBorder="1" fontId="1" applyFont="1" fillId="0" applyAlignment="1">
      <alignment horizontal="center" wrapText="1"/>
    </xf>
    <xf xfId="0" numFmtId="0" borderId="1" applyBorder="1" fontId="2" applyFont="1" fillId="6" applyFill="1" applyAlignment="1">
      <alignment horizontal="left"/>
    </xf>
    <xf xfId="0" numFmtId="3" applyNumberFormat="1" borderId="12" applyBorder="1" fontId="1" applyFont="1" fillId="0" applyAlignment="1">
      <alignment horizontal="center" vertical="top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center" wrapText="1"/>
    </xf>
    <xf xfId="0" numFmtId="3" applyNumberFormat="1" borderId="14" applyBorder="1" fontId="1" applyFont="1" fillId="0" applyAlignment="1">
      <alignment horizontal="center" wrapText="1"/>
    </xf>
    <xf xfId="0" numFmtId="0" borderId="4" applyBorder="1" fontId="2" applyFont="1" fillId="0" applyAlignment="1">
      <alignment horizontal="center" vertical="top" wrapText="1"/>
    </xf>
    <xf xfId="0" numFmtId="3" applyNumberFormat="1" borderId="4" applyBorder="1" fontId="2" applyFont="1" fillId="0" applyAlignment="1">
      <alignment horizontal="center" vertical="top" wrapText="1"/>
    </xf>
    <xf xfId="0" numFmtId="4" applyNumberFormat="1" borderId="1" applyBorder="1" fontId="2" applyFont="1" fillId="7" applyFill="1" applyAlignment="1">
      <alignment horizontal="right"/>
    </xf>
    <xf xfId="0" numFmtId="0" borderId="6" applyBorder="1" fontId="2" applyFont="1" fillId="0" applyAlignment="1">
      <alignment horizontal="center" wrapText="1"/>
    </xf>
    <xf xfId="0" numFmtId="3" applyNumberFormat="1" borderId="6" applyBorder="1" fontId="2" applyFont="1" fillId="0" applyAlignment="1">
      <alignment horizontal="center" wrapText="1"/>
    </xf>
    <xf xfId="0" numFmtId="4" applyNumberFormat="1" borderId="1" applyBorder="1" fontId="2" applyFont="1" fillId="8" applyFill="1" applyAlignment="1">
      <alignment horizontal="right"/>
    </xf>
    <xf xfId="0" numFmtId="0" borderId="7" applyBorder="1" fontId="1" applyFont="1" fillId="0" applyAlignment="1">
      <alignment horizontal="left" wrapText="1"/>
    </xf>
    <xf xfId="0" numFmtId="0" borderId="9" applyBorder="1" fontId="1" applyFont="1" fillId="0" applyAlignment="1">
      <alignment horizontal="left" wrapText="1"/>
    </xf>
    <xf xfId="0" numFmtId="0" borderId="5" applyBorder="1" fontId="2" applyFont="1" fillId="0" applyAlignment="1">
      <alignment horizontal="center" wrapText="1"/>
    </xf>
    <xf xfId="0" numFmtId="3" applyNumberFormat="1" borderId="5" applyBorder="1" fontId="2" applyFont="1" fillId="0" applyAlignment="1">
      <alignment horizontal="center" wrapText="1"/>
    </xf>
    <xf xfId="0" numFmtId="0" borderId="1" applyBorder="1" fontId="2" applyFont="1" fillId="7" applyFill="1" applyAlignment="1">
      <alignment horizontal="left"/>
    </xf>
    <xf xfId="0" numFmtId="0" borderId="1" applyBorder="1" fontId="2" applyFont="1" fillId="8" applyFill="1" applyAlignment="1">
      <alignment horizontal="left"/>
    </xf>
    <xf xfId="0" numFmtId="4" applyNumberFormat="1" borderId="0" fontId="0" fillId="0" applyAlignment="1">
      <alignment horizontal="general"/>
    </xf>
    <xf xfId="0" numFmtId="0" borderId="13" applyBorder="1" fontId="1" applyFont="1" fillId="0" applyAlignment="1">
      <alignment horizontal="left" wrapText="1"/>
    </xf>
    <xf xfId="0" numFmtId="0" borderId="15" applyBorder="1" fontId="2" applyFont="1" fillId="4" applyFill="1" applyAlignment="1">
      <alignment horizontal="left"/>
    </xf>
    <xf xfId="0" numFmtId="0" borderId="16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/>
    </xf>
    <xf xfId="0" numFmtId="0" borderId="3" applyBorder="1" fontId="3" applyFont="1" fillId="2" applyFill="1" applyAlignment="1">
      <alignment horizontal="center" wrapText="1"/>
    </xf>
    <xf xfId="0" numFmtId="0" borderId="3" applyBorder="1" fontId="4" applyFont="1" fillId="0" applyAlignment="1">
      <alignment horizontal="center" wrapText="1"/>
    </xf>
    <xf xfId="0" numFmtId="0" borderId="3" applyBorder="1" fontId="4" applyFont="1" fillId="0" applyAlignment="1">
      <alignment horizontal="left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7" applyBorder="1" fontId="4" applyFont="1" fillId="0" applyAlignment="1">
      <alignment horizontal="center" vertical="top" wrapText="1"/>
    </xf>
    <xf xfId="0" numFmtId="0" borderId="7" applyBorder="1" fontId="4" applyFont="1" fillId="0" applyAlignment="1">
      <alignment horizontal="center" wrapText="1"/>
    </xf>
    <xf xfId="0" numFmtId="0" borderId="7" applyBorder="1" fontId="4" applyFont="1" fillId="0" applyAlignment="1">
      <alignment horizontal="left" vertical="top" wrapText="1"/>
    </xf>
    <xf xfId="0" numFmtId="0" borderId="13" applyBorder="1" fontId="4" applyFont="1" fillId="0" applyAlignment="1">
      <alignment horizontal="center" wrapText="1"/>
    </xf>
    <xf xfId="0" numFmtId="0" borderId="13" applyBorder="1" fontId="4" applyFont="1" fillId="0" applyAlignment="1">
      <alignment horizontal="left" wrapText="1"/>
    </xf>
    <xf xfId="0" numFmtId="0" borderId="3" applyBorder="1" fontId="5" applyFont="1" fillId="2" applyFill="1" applyAlignment="1">
      <alignment horizontal="center" wrapText="1"/>
    </xf>
    <xf xfId="0" numFmtId="3" applyNumberFormat="1" borderId="3" applyBorder="1" fontId="5" applyFont="1" fillId="2" applyFill="1" applyAlignment="1">
      <alignment horizontal="center" wrapText="1"/>
    </xf>
    <xf xfId="0" numFmtId="0" borderId="3" applyBorder="1" fontId="5" applyFont="1" fillId="0" applyAlignment="1">
      <alignment horizontal="center" wrapText="1"/>
    </xf>
    <xf xfId="0" numFmtId="3" applyNumberFormat="1" borderId="3" applyBorder="1" fontId="5" applyFont="1" fillId="0" applyAlignment="1">
      <alignment horizontal="center" wrapText="1"/>
    </xf>
    <xf xfId="0" numFmtId="4" applyNumberFormat="1" borderId="3" applyBorder="1" fontId="5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17" applyBorder="1" fontId="4" applyFont="1" fillId="2" applyFill="1" applyAlignment="1">
      <alignment horizontal="center" wrapText="1"/>
    </xf>
    <xf xfId="0" numFmtId="0" borderId="18" applyBorder="1" fontId="4" applyFont="1" fillId="2" applyFill="1" applyAlignment="1">
      <alignment horizontal="center" wrapText="1"/>
    </xf>
    <xf xfId="0" numFmtId="3" applyNumberFormat="1" borderId="15" applyBorder="1" fontId="4" applyFont="1" fillId="2" applyFill="1" applyAlignment="1">
      <alignment horizontal="center" wrapText="1"/>
    </xf>
    <xf xfId="0" numFmtId="0" borderId="19" applyBorder="1" fontId="4" applyFont="1" fillId="0" applyAlignment="1">
      <alignment horizontal="center" wrapText="1"/>
    </xf>
    <xf xfId="0" numFmtId="0" borderId="20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6" applyFont="1" fillId="0" applyAlignment="1">
      <alignment horizontal="center" wrapText="1"/>
    </xf>
    <xf xfId="0" numFmtId="0" borderId="4" applyBorder="1" fontId="4" applyFont="1" fillId="0" applyAlignment="1">
      <alignment horizontal="left" wrapText="1"/>
    </xf>
    <xf xfId="0" numFmtId="0" borderId="1" applyBorder="1" fontId="4" applyFont="1" fillId="0" applyAlignment="1">
      <alignment horizontal="center" wrapText="1"/>
    </xf>
    <xf xfId="0" numFmtId="0" borderId="4" applyBorder="1" fontId="4" applyFont="1" fillId="0" applyAlignment="1">
      <alignment horizontal="center" wrapText="1"/>
    </xf>
    <xf xfId="0" numFmtId="3" applyNumberFormat="1" borderId="4" applyBorder="1" fontId="4" applyFont="1" fillId="0" applyAlignment="1">
      <alignment horizontal="center" wrapText="1"/>
    </xf>
    <xf xfId="0" numFmtId="3" applyNumberFormat="1" borderId="4" applyBorder="1" fontId="6" applyFont="1" fillId="0" applyAlignment="1">
      <alignment horizontal="center" wrapText="1"/>
    </xf>
    <xf xfId="0" numFmtId="0" borderId="1" applyBorder="1" fontId="5" applyFont="1" fillId="2" applyFill="1" applyAlignment="1">
      <alignment horizontal="center" wrapText="1"/>
    </xf>
    <xf xfId="0" numFmtId="3" applyNumberFormat="1" borderId="1" applyBorder="1" fontId="5" applyFont="1" fillId="2" applyFill="1" applyAlignment="1">
      <alignment horizontal="center" wrapText="1"/>
    </xf>
    <xf xfId="0" numFmtId="0" borderId="1" applyBorder="1" fontId="5" applyFont="1" fillId="0" applyAlignment="1">
      <alignment horizontal="center" wrapText="1"/>
    </xf>
    <xf xfId="0" numFmtId="3" applyNumberFormat="1" borderId="1" applyBorder="1" fontId="5" applyFont="1" fillId="0" applyAlignment="1">
      <alignment horizontal="center" wrapText="1"/>
    </xf>
    <xf xfId="0" numFmtId="3" applyNumberFormat="1" borderId="4" applyBorder="1" fontId="5" applyFont="1" fillId="0" applyAlignment="1">
      <alignment horizontal="center" wrapText="1"/>
    </xf>
    <xf xfId="0" numFmtId="0" borderId="4" applyBorder="1" fontId="5" applyFont="1" fillId="0" applyAlignment="1">
      <alignment horizontal="left" wrapText="1"/>
    </xf>
    <xf xfId="0" numFmtId="0" borderId="4" applyBorder="1" fontId="5" applyFont="1" fillId="0" applyAlignment="1">
      <alignment horizontal="center" wrapText="1"/>
    </xf>
    <xf xfId="0" numFmtId="3" applyNumberFormat="1" borderId="4" applyBorder="1" fontId="5" applyFont="1" fillId="0" applyAlignment="1">
      <alignment horizontal="center"/>
    </xf>
    <xf xfId="0" numFmtId="0" borderId="4" applyBorder="1" fontId="5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21" applyBorder="1" fontId="1" applyFont="1" fillId="9" applyFill="1" applyAlignment="1">
      <alignment horizontal="left" wrapText="1"/>
    </xf>
    <xf xfId="0" numFmtId="3" applyNumberFormat="1" borderId="21" applyBorder="1" fontId="1" applyFont="1" fillId="9" applyFill="1" applyAlignment="1">
      <alignment horizontal="right" wrapText="1"/>
    </xf>
    <xf xfId="0" numFmtId="0" borderId="2" applyBorder="1" fontId="1" applyFont="1" fillId="0" applyAlignment="1">
      <alignment horizontal="left"/>
    </xf>
    <xf xfId="0" numFmtId="3" applyNumberFormat="1" borderId="21" applyBorder="1" fontId="1" applyFont="1" fillId="9" applyFill="1" applyAlignment="1">
      <alignment horizontal="left" wrapText="1"/>
    </xf>
    <xf xfId="0" numFmtId="0" borderId="21" applyBorder="1" fontId="1" applyFont="1" fillId="9" applyFill="1" applyAlignment="1">
      <alignment horizontal="left"/>
    </xf>
    <xf xfId="0" numFmtId="3" applyNumberFormat="1" borderId="21" applyBorder="1" fontId="1" applyFont="1" fillId="9" applyFill="1" applyAlignment="1">
      <alignment horizontal="left"/>
    </xf>
    <xf xfId="0" numFmtId="0" borderId="2" applyBorder="1" fontId="7" applyFont="1" fillId="0" applyAlignment="1">
      <alignment horizontal="left"/>
    </xf>
    <xf xfId="0" numFmtId="3" applyNumberFormat="1" borderId="2" applyBorder="1" fontId="7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4" applyNumberFormat="1" borderId="2" applyBorder="1" fontId="8" applyFont="1" fillId="0" applyAlignment="1">
      <alignment horizontal="center"/>
    </xf>
    <xf xfId="0" numFmtId="164" applyNumberFormat="1" borderId="22" applyBorder="1" fontId="8" applyFont="1" fillId="0" applyAlignment="1">
      <alignment horizontal="center"/>
    </xf>
    <xf xfId="0" numFmtId="0" borderId="2" applyBorder="1" fontId="8" applyFont="1" fillId="0" applyAlignment="1">
      <alignment horizontal="center"/>
    </xf>
    <xf xfId="0" numFmtId="3" applyNumberFormat="1" borderId="2" applyBorder="1" fontId="8" applyFont="1" fillId="0" applyAlignment="1">
      <alignment horizontal="center"/>
    </xf>
    <xf xfId="0" numFmtId="1" applyNumberFormat="1" borderId="22" applyBorder="1" fontId="8" applyFont="1" fillId="0" applyAlignment="1">
      <alignment horizontal="center"/>
    </xf>
    <xf xfId="0" numFmtId="3" applyNumberFormat="1" borderId="22" applyBorder="1" fontId="8" applyFont="1" fillId="0" applyAlignment="1">
      <alignment horizontal="center"/>
    </xf>
    <xf xfId="0" numFmtId="4" applyNumberFormat="1" borderId="22" applyBorder="1" fontId="8" applyFont="1" fillId="0" applyAlignment="1">
      <alignment horizontal="center"/>
    </xf>
    <xf xfId="0" numFmtId="164" applyNumberFormat="1" borderId="2" applyBorder="1" fontId="8" applyFont="1" fillId="0" applyAlignment="1">
      <alignment horizontal="center"/>
    </xf>
    <xf xfId="0" numFmtId="164" applyNumberFormat="1" borderId="2" applyBorder="1" fontId="9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4" applyNumberFormat="1" borderId="1" applyBorder="1" fontId="8" applyFont="1" fillId="0" applyAlignment="1">
      <alignment horizontal="center"/>
    </xf>
    <xf xfId="0" numFmtId="164" applyNumberFormat="1" borderId="1" applyBorder="1" fontId="8" applyFont="1" fillId="0" applyAlignment="1">
      <alignment horizontal="center"/>
    </xf>
    <xf xfId="0" numFmtId="3" applyNumberFormat="1" borderId="1" applyBorder="1" fontId="8" applyFont="1" fillId="0" applyAlignment="1">
      <alignment horizontal="center"/>
    </xf>
    <xf xfId="0" numFmtId="1" applyNumberFormat="1" borderId="1" applyBorder="1" fontId="8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2" applyBorder="1" fontId="8" applyFont="1" fillId="0" applyAlignment="1">
      <alignment horizontal="left"/>
    </xf>
    <xf xfId="0" numFmtId="0" borderId="4" applyBorder="1" fontId="2" applyFont="1" fillId="0" applyAlignment="1">
      <alignment horizontal="center"/>
    </xf>
    <xf xfId="0" numFmtId="164" applyNumberFormat="1" borderId="1" applyBorder="1" fontId="2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left"/>
    </xf>
    <xf xfId="0" numFmtId="164" applyNumberFormat="1" borderId="1" applyBorder="1" fontId="1" applyFont="1" fillId="3" applyFill="1" applyAlignment="1">
      <alignment horizontal="right"/>
    </xf>
    <xf xfId="0" numFmtId="164" applyNumberFormat="1" borderId="1" applyBorder="1" fontId="1" applyFont="1" fillId="3" applyFill="1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164" applyNumberFormat="1" borderId="1" applyBorder="1" fontId="8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164" applyNumberFormat="1" borderId="1" applyBorder="1" fontId="2" applyFont="1" fillId="4" applyFill="1" applyAlignment="1">
      <alignment horizontal="right"/>
    </xf>
    <xf xfId="0" numFmtId="3" applyNumberFormat="1" borderId="1" applyBorder="1" fontId="2" applyFont="1" fillId="4" applyFill="1" applyAlignment="1">
      <alignment horizontal="center"/>
    </xf>
    <xf xfId="0" numFmtId="1" applyNumberFormat="1" borderId="1" applyBorder="1" fontId="2" applyFont="1" fillId="4" applyFill="1" applyAlignment="1">
      <alignment horizontal="center"/>
    </xf>
    <xf xfId="0" numFmtId="4" applyNumberFormat="1" borderId="1" applyBorder="1" fontId="10" applyFont="1" fillId="4" applyFill="1" applyAlignment="1">
      <alignment horizontal="right"/>
    </xf>
    <xf xfId="0" numFmtId="164" applyNumberFormat="1" borderId="1" applyBorder="1" fontId="1" applyFont="1" fillId="4" applyFill="1" applyAlignment="1">
      <alignment horizontal="right"/>
    </xf>
    <xf xfId="0" numFmtId="164" applyNumberFormat="1" borderId="1" applyBorder="1" fontId="8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1" applyBorder="1" fontId="2" applyFont="1" fillId="2" applyFill="1" applyAlignment="1">
      <alignment horizontal="right"/>
    </xf>
    <xf xfId="0" numFmtId="3" applyNumberFormat="1" borderId="1" applyBorder="1" fontId="8" applyFont="1" fillId="2" applyFill="1" applyAlignment="1">
      <alignment horizontal="center"/>
    </xf>
    <xf xfId="0" numFmtId="1" applyNumberFormat="1" borderId="1" applyBorder="1" fontId="8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4" applyNumberFormat="1" borderId="1" applyBorder="1" fontId="2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right"/>
    </xf>
    <xf xfId="0" numFmtId="164" applyNumberFormat="1" borderId="1" applyBorder="1" fontId="2" applyFont="1" fillId="5" applyFill="1" applyAlignment="1">
      <alignment horizontal="right"/>
    </xf>
    <xf xfId="0" numFmtId="4" applyNumberFormat="1" borderId="1" applyBorder="1" fontId="2" applyFont="1" fillId="5" applyFill="1" applyAlignment="1">
      <alignment horizontal="left"/>
    </xf>
    <xf xfId="0" numFmtId="164" applyNumberFormat="1" borderId="1" applyBorder="1" fontId="1" applyFont="1" fillId="5" applyFill="1" applyAlignment="1">
      <alignment horizontal="right"/>
    </xf>
    <xf xfId="0" numFmtId="0" borderId="3" applyBorder="1" fontId="1" applyFont="1" fillId="0" applyAlignment="1">
      <alignment horizontal="center" vertical="top" wrapText="1"/>
    </xf>
    <xf xfId="0" numFmtId="3" applyNumberFormat="1" borderId="20" applyBorder="1" fontId="1" applyFont="1" fillId="0" applyAlignment="1">
      <alignment horizontal="center" vertical="top" wrapText="1"/>
    </xf>
    <xf xfId="0" numFmtId="3" applyNumberFormat="1" borderId="20" applyBorder="1" fontId="1" applyFont="1" fillId="0" applyAlignment="1">
      <alignment horizontal="center" wrapText="1"/>
    </xf>
    <xf xfId="0" numFmtId="1" applyNumberFormat="1" borderId="1" applyBorder="1" fontId="2" applyFont="1" fillId="0" applyAlignment="1">
      <alignment horizontal="center"/>
    </xf>
    <xf xfId="0" numFmtId="0" borderId="1" applyBorder="1" fontId="2" applyFont="1" fillId="10" applyFill="1" applyAlignment="1">
      <alignment horizontal="left"/>
    </xf>
    <xf xfId="0" numFmtId="4" applyNumberFormat="1" borderId="1" applyBorder="1" fontId="2" applyFont="1" fillId="10" applyFill="1" applyAlignment="1">
      <alignment horizontal="right"/>
    </xf>
    <xf xfId="0" numFmtId="164" applyNumberFormat="1" borderId="1" applyBorder="1" fontId="2" applyFont="1" fillId="10" applyFill="1" applyAlignment="1">
      <alignment horizontal="right"/>
    </xf>
    <xf xfId="0" numFmtId="4" applyNumberFormat="1" borderId="1" applyBorder="1" fontId="2" applyFont="1" fillId="10" applyFill="1" applyAlignment="1">
      <alignment horizontal="left"/>
    </xf>
    <xf xfId="0" numFmtId="164" applyNumberFormat="1" borderId="1" applyBorder="1" fontId="1" applyFont="1" fillId="10" applyFill="1" applyAlignment="1">
      <alignment horizontal="right"/>
    </xf>
    <xf xfId="0" numFmtId="0" borderId="2" applyBorder="1" fontId="2" applyFont="1" fillId="0" applyAlignment="1">
      <alignment horizontal="center"/>
    </xf>
    <xf xfId="0" numFmtId="164" applyNumberFormat="1" borderId="1" applyBorder="1" fontId="2" applyFont="1" fillId="6" applyFill="1" applyAlignment="1">
      <alignment horizontal="right"/>
    </xf>
    <xf xfId="0" numFmtId="4" applyNumberFormat="1" borderId="1" applyBorder="1" fontId="2" applyFont="1" fillId="6" applyFill="1" applyAlignment="1">
      <alignment horizontal="left"/>
    </xf>
    <xf xfId="0" numFmtId="164" applyNumberFormat="1" borderId="1" applyBorder="1" fontId="1" applyFont="1" fillId="6" applyFill="1" applyAlignment="1">
      <alignment horizontal="right"/>
    </xf>
    <xf xfId="0" numFmtId="164" applyNumberFormat="1" borderId="1" applyBorder="1" fontId="1" applyFont="1" fillId="6" applyFill="1" applyAlignment="1">
      <alignment horizontal="left"/>
    </xf>
    <xf xfId="0" numFmtId="1" applyNumberFormat="1" borderId="2" applyBorder="1" fontId="2" applyFont="1" fillId="0" applyAlignment="1">
      <alignment horizontal="left"/>
    </xf>
    <xf xfId="0" numFmtId="3" applyNumberFormat="1" borderId="2" applyBorder="1" fontId="10" applyFont="1" fillId="0" applyAlignment="1">
      <alignment horizontal="left" wrapText="1"/>
    </xf>
    <xf xfId="0" numFmtId="1" applyNumberFormat="1" borderId="2" applyBorder="1" fontId="10" applyFont="1" fillId="0" applyAlignment="1">
      <alignment horizontal="left" wrapText="1"/>
    </xf>
    <xf xfId="0" numFmtId="4" applyNumberFormat="1" borderId="2" applyBorder="1" fontId="10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164" applyNumberFormat="1" borderId="2" applyBorder="1" fontId="10" applyFont="1" fillId="0" applyAlignment="1">
      <alignment horizontal="left" wrapText="1"/>
    </xf>
    <xf xfId="0" numFmtId="0" borderId="2" applyBorder="1" fontId="10" applyFont="1" fillId="0" applyAlignment="1">
      <alignment horizontal="left" wrapText="1"/>
    </xf>
    <xf xfId="0" numFmtId="1" applyNumberFormat="1" borderId="0" fontId="0" fillId="0" applyAlignment="1">
      <alignment horizontal="general" wrapText="1"/>
    </xf>
    <xf xfId="0" numFmtId="0" borderId="2" applyBorder="1" fontId="10" applyFont="1" fillId="0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23" applyBorder="1" fontId="1" applyFont="1" fillId="0" applyAlignment="1">
      <alignment horizontal="center" vertical="top" wrapText="1"/>
    </xf>
    <xf xfId="0" numFmtId="164" applyNumberFormat="1" borderId="1" applyBorder="1" fontId="1" applyFont="1" fillId="5" applyFill="1" applyAlignment="1">
      <alignment horizontal="left"/>
    </xf>
    <xf xfId="0" numFmtId="0" borderId="2" applyBorder="1" fontId="10" applyFont="1" fillId="0" applyAlignment="1">
      <alignment horizontal="left"/>
    </xf>
    <xf xfId="0" numFmtId="3" applyNumberFormat="1" borderId="2" applyBorder="1" fontId="10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7" applyFill="1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4" applyNumberFormat="1" borderId="1" applyBorder="1" fontId="2" applyFont="1" fillId="7" applyFill="1" applyAlignment="1">
      <alignment horizontal="left"/>
    </xf>
    <xf xfId="0" numFmtId="164" applyNumberFormat="1" borderId="1" applyBorder="1" fontId="1" applyFont="1" fillId="7" applyFill="1" applyAlignment="1">
      <alignment horizontal="right"/>
    </xf>
    <xf xfId="0" numFmtId="164" applyNumberFormat="1" borderId="1" applyBorder="1" fontId="2" applyFont="1" fillId="8" applyFill="1" applyAlignment="1">
      <alignment horizontal="right"/>
    </xf>
    <xf xfId="0" numFmtId="4" applyNumberFormat="1" borderId="1" applyBorder="1" fontId="2" applyFont="1" fillId="8" applyFill="1" applyAlignment="1">
      <alignment horizontal="left"/>
    </xf>
    <xf xfId="0" numFmtId="164" applyNumberFormat="1" borderId="1" applyBorder="1" fontId="1" applyFont="1" fillId="8" applyFill="1" applyAlignment="1">
      <alignment horizontal="right"/>
    </xf>
    <xf xfId="0" numFmtId="0" borderId="2" applyBorder="1" fontId="11" applyFont="1" fillId="0" applyAlignment="1">
      <alignment horizontal="left"/>
    </xf>
    <xf xfId="0" numFmtId="4" applyNumberFormat="1" borderId="15" applyBorder="1" fontId="2" applyFont="1" fillId="4" applyFill="1" applyAlignment="1">
      <alignment horizontal="right"/>
    </xf>
    <xf xfId="0" numFmtId="4" applyNumberFormat="1" borderId="15" applyBorder="1" fontId="2" applyFont="1" fillId="3" applyFill="1" applyAlignment="1">
      <alignment horizontal="right"/>
    </xf>
    <xf xfId="0" numFmtId="164" applyNumberFormat="1" borderId="15" applyBorder="1" fontId="2" applyFont="1" fillId="4" applyFill="1" applyAlignment="1">
      <alignment horizontal="right"/>
    </xf>
    <xf xfId="0" numFmtId="3" applyNumberFormat="1" borderId="15" applyBorder="1" fontId="2" applyFont="1" fillId="4" applyFill="1" applyAlignment="1">
      <alignment horizontal="center"/>
    </xf>
    <xf xfId="0" numFmtId="1" applyNumberFormat="1" borderId="15" applyBorder="1" fontId="2" applyFont="1" fillId="4" applyFill="1" applyAlignment="1">
      <alignment horizontal="center"/>
    </xf>
    <xf xfId="0" numFmtId="4" applyNumberFormat="1" borderId="15" applyBorder="1" fontId="10" applyFont="1" fillId="4" applyFill="1" applyAlignment="1">
      <alignment horizontal="right"/>
    </xf>
    <xf xfId="0" numFmtId="164" applyNumberFormat="1" borderId="15" applyBorder="1" fontId="1" applyFont="1" fillId="4" applyFill="1" applyAlignment="1">
      <alignment horizontal="right"/>
    </xf>
    <xf xfId="0" numFmtId="164" applyNumberFormat="1" borderId="4" applyBorder="1" fontId="2" applyFont="1" fillId="0" applyAlignment="1">
      <alignment horizontal="right"/>
    </xf>
    <xf xfId="0" numFmtId="164" applyNumberFormat="1" borderId="4" applyBorder="1" fontId="8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49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9" width="12.43357142857143" customWidth="1" bestFit="1"/>
    <col min="2" max="2" style="9" width="7.147857142857143" customWidth="1" bestFit="1"/>
    <col min="3" max="3" style="9" width="5.2907142857142855" customWidth="1" bestFit="1"/>
    <col min="4" max="4" style="10" width="5.862142857142857" customWidth="1" bestFit="1"/>
    <col min="5" max="5" style="9" width="5.862142857142857" customWidth="1" bestFit="1"/>
    <col min="6" max="6" style="9" width="21.290714285714284" customWidth="1" bestFit="1"/>
    <col min="7" max="7" style="9" width="13.43357142857143" customWidth="1" bestFit="1"/>
    <col min="8" max="8" style="10" width="12.43357142857143" customWidth="1" bestFit="1"/>
    <col min="9" max="9" style="67" width="16.576428571428572" customWidth="1" bestFit="1"/>
    <col min="10" max="10" style="185" width="11.576428571428572" customWidth="1" bestFit="1"/>
    <col min="11" max="11" style="185" width="12.719285714285713" customWidth="1" bestFit="1"/>
    <col min="12" max="12" style="9" width="26.862142857142857" customWidth="1" bestFit="1"/>
    <col min="13" max="13" style="10" width="15.862142857142858" customWidth="1" bestFit="1"/>
    <col min="14" max="14" style="186" width="11.576428571428572" customWidth="1" bestFit="1"/>
    <col min="15" max="15" style="10" width="9.576428571428572" customWidth="1" bestFit="1"/>
    <col min="16" max="16" style="67" width="9.005" customWidth="1" bestFit="1"/>
    <col min="17" max="17" style="10" width="13.005" customWidth="1" bestFit="1"/>
    <col min="18" max="18" style="9" width="10.576428571428572" customWidth="1" bestFit="1"/>
    <col min="19" max="19" style="67" width="7.576428571428571" customWidth="1" bestFit="1"/>
    <col min="20" max="20" style="185" width="9.576428571428572" customWidth="1" bestFit="1"/>
    <col min="21" max="21" style="185" width="13.719285714285713" customWidth="1" bestFit="1"/>
    <col min="22" max="22" style="185" width="10.43357142857143" customWidth="1" bestFit="1"/>
    <col min="23" max="23" style="185" width="12.147857142857141" customWidth="1" bestFit="1"/>
    <col min="24" max="24" style="185" width="12.147857142857141" customWidth="1" bestFit="1"/>
    <col min="25" max="25" style="9" width="16.576428571428572" customWidth="1" bestFit="1"/>
    <col min="26" max="26" style="9" width="16.576428571428572" customWidth="1" bestFit="1"/>
    <col min="27" max="27" style="9" width="20.719285714285714" customWidth="1" bestFit="1"/>
    <col min="28" max="28" style="9" width="14.43357142857143" customWidth="1" bestFit="1"/>
    <col min="29" max="29" style="9" width="11.862142857142858" customWidth="1" bestFit="1"/>
    <col min="30" max="30" style="9" width="9.290714285714287" customWidth="1" bestFit="1"/>
    <col min="31" max="31" style="66" width="9.290714285714287" customWidth="1" bestFit="1"/>
  </cols>
  <sheetData>
    <row x14ac:dyDescent="0.25" r="1" customHeight="1" ht="17.25">
      <c r="A1" s="6"/>
      <c r="B1" s="114"/>
      <c r="C1" s="114"/>
      <c r="D1" s="115"/>
      <c r="E1" s="114"/>
      <c r="F1" s="6"/>
      <c r="G1" s="6"/>
      <c r="H1" s="7"/>
      <c r="I1" s="60"/>
      <c r="J1" s="116"/>
      <c r="K1" s="116"/>
      <c r="L1" s="6"/>
      <c r="M1" s="7"/>
      <c r="N1" s="117"/>
      <c r="O1" s="7"/>
      <c r="P1" s="60"/>
      <c r="Q1" s="7"/>
      <c r="R1" s="6"/>
      <c r="S1" s="60"/>
      <c r="T1" s="116"/>
      <c r="U1" s="116"/>
      <c r="V1" s="116"/>
      <c r="W1" s="116"/>
      <c r="X1" s="116"/>
      <c r="Y1" s="6"/>
      <c r="Z1" s="6"/>
      <c r="AA1" s="6"/>
      <c r="AB1" s="6"/>
      <c r="AC1" s="6"/>
      <c r="AD1" s="6"/>
      <c r="AE1" s="15"/>
    </row>
    <row x14ac:dyDescent="0.25" r="2" customHeight="1" ht="17.25">
      <c r="A2" s="6"/>
      <c r="B2" s="6"/>
      <c r="C2" s="6"/>
      <c r="D2" s="7"/>
      <c r="E2" s="6"/>
      <c r="F2" s="6"/>
      <c r="G2" s="6"/>
      <c r="H2" s="7"/>
      <c r="I2" s="118"/>
      <c r="J2" s="119" t="s">
        <v>156</v>
      </c>
      <c r="K2" s="119"/>
      <c r="L2" s="120"/>
      <c r="M2" s="121"/>
      <c r="N2" s="122" t="s">
        <v>157</v>
      </c>
      <c r="O2" s="123"/>
      <c r="P2" s="124" t="s">
        <v>158</v>
      </c>
      <c r="Q2" s="123"/>
      <c r="R2" s="120"/>
      <c r="S2" s="118"/>
      <c r="T2" s="125" t="s">
        <v>156</v>
      </c>
      <c r="U2" s="126"/>
      <c r="V2" s="125" t="s">
        <v>156</v>
      </c>
      <c r="W2" s="125"/>
      <c r="X2" s="116"/>
      <c r="Y2" s="6"/>
      <c r="Z2" s="6"/>
      <c r="AA2" s="6"/>
      <c r="AB2" s="6"/>
      <c r="AC2" s="6"/>
      <c r="AD2" s="6"/>
      <c r="AE2" s="15"/>
    </row>
    <row x14ac:dyDescent="0.25" r="3" customHeight="1" ht="17.25">
      <c r="A3" s="6"/>
      <c r="B3" s="11" t="s">
        <v>9</v>
      </c>
      <c r="C3" s="11" t="s">
        <v>10</v>
      </c>
      <c r="D3" s="12" t="s">
        <v>11</v>
      </c>
      <c r="E3" s="11" t="s">
        <v>12</v>
      </c>
      <c r="F3" s="127" t="s">
        <v>13</v>
      </c>
      <c r="G3" s="11" t="s">
        <v>159</v>
      </c>
      <c r="H3" s="12" t="s">
        <v>160</v>
      </c>
      <c r="I3" s="129" t="s">
        <v>161</v>
      </c>
      <c r="J3" s="130" t="s">
        <v>162</v>
      </c>
      <c r="K3" s="130" t="s">
        <v>163</v>
      </c>
      <c r="L3" s="127" t="s">
        <v>164</v>
      </c>
      <c r="M3" s="131" t="s">
        <v>165</v>
      </c>
      <c r="N3" s="132" t="s">
        <v>166</v>
      </c>
      <c r="O3" s="131" t="s">
        <v>167</v>
      </c>
      <c r="P3" s="129" t="s">
        <v>117</v>
      </c>
      <c r="Q3" s="131" t="s">
        <v>168</v>
      </c>
      <c r="R3" s="11" t="s">
        <v>169</v>
      </c>
      <c r="S3" s="128" t="s">
        <v>170</v>
      </c>
      <c r="T3" s="130" t="s">
        <v>171</v>
      </c>
      <c r="U3" s="130" t="s">
        <v>172</v>
      </c>
      <c r="V3" s="130" t="s">
        <v>173</v>
      </c>
      <c r="W3" s="130" t="s">
        <v>174</v>
      </c>
      <c r="X3" s="133" t="s">
        <v>175</v>
      </c>
      <c r="Y3" s="11" t="s">
        <v>176</v>
      </c>
      <c r="Z3" s="134"/>
      <c r="AA3" s="6"/>
      <c r="AB3" s="6"/>
      <c r="AC3" s="6"/>
      <c r="AD3" s="6"/>
      <c r="AE3" s="15"/>
    </row>
    <row x14ac:dyDescent="0.25" r="4" customHeight="1" ht="17.25">
      <c r="A4" s="6"/>
      <c r="B4" s="48" t="s">
        <v>41</v>
      </c>
      <c r="C4" s="48"/>
      <c r="D4" s="49">
        <f>층고!C4</f>
      </c>
      <c r="E4" s="48"/>
      <c r="F4" s="26" t="s">
        <v>28</v>
      </c>
      <c r="G4" s="26" t="s">
        <v>17</v>
      </c>
      <c r="H4" s="27">
        <v>184</v>
      </c>
      <c r="I4" s="21">
        <v>250</v>
      </c>
      <c r="J4" s="150"/>
      <c r="K4" s="150">
        <v>3</v>
      </c>
      <c r="L4" s="26"/>
      <c r="M4" s="151">
        <f>작업조구성!$B$10</f>
      </c>
      <c r="N4" s="152">
        <v>1</v>
      </c>
      <c r="O4" s="153">
        <f>M4*N4</f>
      </c>
      <c r="P4" s="153">
        <f>'부분별 보정계수설정'!$B$10</f>
      </c>
      <c r="Q4" s="151">
        <f>ROUND(O4*P4/M4, 0)*M4</f>
      </c>
      <c r="R4" s="26"/>
      <c r="S4" s="154"/>
      <c r="T4" s="155">
        <v>1</v>
      </c>
      <c r="U4" s="155">
        <f>MAX(1, CEILING(H4/(N4*작업조구성!$D$10), 1))</f>
      </c>
      <c r="V4" s="140">
        <f>ROUNDUP(T4+X4, 0)</f>
      </c>
      <c r="W4" s="148">
        <f>ROUNDUP(U4+X4, 0)</f>
      </c>
      <c r="X4" s="191">
        <v>1</v>
      </c>
      <c r="Y4" s="11" t="s">
        <v>183</v>
      </c>
      <c r="Z4" s="6"/>
      <c r="AA4" s="6"/>
      <c r="AB4" s="6"/>
      <c r="AC4" s="142"/>
      <c r="AD4" s="6"/>
      <c r="AE4" s="15"/>
    </row>
    <row x14ac:dyDescent="0.25" r="5" customHeight="1" ht="17.25">
      <c r="A5" s="6"/>
      <c r="B5" s="51"/>
      <c r="C5" s="51"/>
      <c r="D5" s="52"/>
      <c r="E5" s="51"/>
      <c r="F5" s="30" t="s">
        <v>29</v>
      </c>
      <c r="G5" s="30" t="s">
        <v>23</v>
      </c>
      <c r="H5" s="31">
        <f>9.93*0.5</f>
      </c>
      <c r="I5" s="21">
        <f>인당생산성!H23</f>
      </c>
      <c r="J5" s="156">
        <f>ROUNDUP(H5/I5,0)</f>
      </c>
      <c r="K5" s="156">
        <f>ROUNDUP(J5/T5,0)</f>
      </c>
      <c r="L5" s="30"/>
      <c r="M5" s="131">
        <f>작업조구성!$B$8</f>
      </c>
      <c r="N5" s="162">
        <v>1</v>
      </c>
      <c r="O5" s="12">
        <f>M5*N5</f>
      </c>
      <c r="P5" s="128">
        <f>'부분별 보정계수설정'!$B$5</f>
      </c>
      <c r="Q5" s="131">
        <f>ROUND(O5*P5/M5, 0)*M5</f>
      </c>
      <c r="R5" s="30"/>
      <c r="S5" s="157"/>
      <c r="T5" s="158">
        <v>1</v>
      </c>
      <c r="U5" s="158">
        <f>ROUNDUP(H5/(I5*Q5),0)</f>
      </c>
      <c r="V5" s="140">
        <f>ROUNDUP(T5+X5, 0)</f>
      </c>
      <c r="W5" s="148">
        <f>ROUNDUP(U5+X5, 0)</f>
      </c>
      <c r="X5" s="140">
        <v>0.5</v>
      </c>
      <c r="Y5" s="11" t="s">
        <v>183</v>
      </c>
      <c r="Z5" s="6"/>
      <c r="AA5" s="6"/>
      <c r="AB5" s="6"/>
      <c r="AC5" s="142"/>
      <c r="AD5" s="6"/>
      <c r="AE5" s="15"/>
    </row>
    <row x14ac:dyDescent="0.25" r="6" customHeight="1" ht="17.25">
      <c r="A6" s="6"/>
      <c r="B6" s="51"/>
      <c r="C6" s="51"/>
      <c r="D6" s="52"/>
      <c r="E6" s="51"/>
      <c r="F6" s="19" t="s">
        <v>42</v>
      </c>
      <c r="G6" s="19" t="s">
        <v>17</v>
      </c>
      <c r="H6" s="21">
        <f>582/2</f>
      </c>
      <c r="I6" s="21">
        <f>인당생산성!H24</f>
      </c>
      <c r="J6" s="136">
        <f>ROUNDUP(H6/I6,0)</f>
      </c>
      <c r="K6" s="136">
        <f>ROUNDUP(J6/T6,0)</f>
      </c>
      <c r="L6" s="19"/>
      <c r="M6" s="131">
        <f>작업조구성!$B$4</f>
      </c>
      <c r="N6" s="162"/>
      <c r="O6" s="12">
        <f>M6*N6</f>
      </c>
      <c r="P6" s="128">
        <f>'부분별 보정계수설정'!$B$5</f>
      </c>
      <c r="Q6" s="131">
        <f>ROUND(O6*P6/M6, 0)*M6</f>
      </c>
      <c r="R6" s="19"/>
      <c r="S6" s="137"/>
      <c r="T6" s="138">
        <v>6</v>
      </c>
      <c r="U6" s="139">
        <f>ROUNDUP(H6/(I6*Q6),0)</f>
      </c>
      <c r="V6" s="140">
        <f>ROUNDUP(T6+X6, 0)</f>
      </c>
      <c r="W6" s="141">
        <f>ROUNDUP(U6+X6, 0)</f>
      </c>
      <c r="X6" s="140">
        <v>0.5</v>
      </c>
      <c r="Y6" s="11" t="s">
        <v>183</v>
      </c>
      <c r="Z6" s="6"/>
      <c r="AA6" s="6"/>
      <c r="AB6" s="6"/>
      <c r="AC6" s="142"/>
      <c r="AD6" s="6"/>
      <c r="AE6" s="15"/>
    </row>
    <row x14ac:dyDescent="0.25" r="7" customHeight="1" ht="17.25">
      <c r="A7" s="6"/>
      <c r="B7" s="51"/>
      <c r="C7" s="51"/>
      <c r="D7" s="52"/>
      <c r="E7" s="51"/>
      <c r="F7" s="19" t="s">
        <v>43</v>
      </c>
      <c r="G7" s="19" t="s">
        <v>17</v>
      </c>
      <c r="H7" s="21">
        <f>582/2</f>
      </c>
      <c r="I7" s="21">
        <f>인당생산성!H24</f>
      </c>
      <c r="J7" s="136">
        <f>ROUNDUP(H7/I7,0)</f>
      </c>
      <c r="K7" s="136">
        <f>ROUNDUP(J7/T7,0)</f>
      </c>
      <c r="L7" s="19"/>
      <c r="M7" s="131">
        <f>작업조구성!$B$4</f>
      </c>
      <c r="N7" s="162"/>
      <c r="O7" s="12">
        <f>M7*N7</f>
      </c>
      <c r="P7" s="128">
        <f>'부분별 보정계수설정'!$B$5</f>
      </c>
      <c r="Q7" s="131">
        <f>ROUND(O7*P7/M7, 0)*M7</f>
      </c>
      <c r="R7" s="19"/>
      <c r="S7" s="137"/>
      <c r="T7" s="138">
        <v>6</v>
      </c>
      <c r="U7" s="139">
        <f>ROUNDUP(H7/(I7*Q7),0)</f>
      </c>
      <c r="V7" s="140">
        <f>ROUNDUP(T7+X7, 0)</f>
      </c>
      <c r="W7" s="141">
        <f>ROUNDUP(U7+X7, 0)</f>
      </c>
      <c r="X7" s="140">
        <v>0.5</v>
      </c>
      <c r="Y7" s="11" t="s">
        <v>183</v>
      </c>
      <c r="Z7" s="6"/>
      <c r="AA7" s="6"/>
      <c r="AB7" s="6"/>
      <c r="AC7" s="142"/>
      <c r="AD7" s="6"/>
      <c r="AE7" s="15"/>
    </row>
    <row x14ac:dyDescent="0.25" r="8" customHeight="1" ht="17.25">
      <c r="A8" s="6"/>
      <c r="B8" s="51"/>
      <c r="C8" s="51"/>
      <c r="D8" s="52"/>
      <c r="E8" s="51"/>
      <c r="F8" s="30" t="s">
        <v>32</v>
      </c>
      <c r="G8" s="30" t="s">
        <v>23</v>
      </c>
      <c r="H8" s="31">
        <f>9.93*0.5</f>
      </c>
      <c r="I8" s="21">
        <f>인당생산성!H25</f>
      </c>
      <c r="J8" s="156">
        <f>ROUNDUP(H8/I8,0)</f>
      </c>
      <c r="K8" s="156">
        <f>ROUNDUP(J8/T8,0)</f>
      </c>
      <c r="L8" s="30"/>
      <c r="M8" s="131">
        <f>작업조구성!$B$9</f>
      </c>
      <c r="N8" s="162">
        <f>CEILING(H9/2/($H$40*0.001)/200,1)</f>
      </c>
      <c r="O8" s="12">
        <f>M8*N8</f>
      </c>
      <c r="P8" s="128">
        <f>'부분별 보정계수설정'!$B$5</f>
      </c>
      <c r="Q8" s="131">
        <f>ROUND(O8*P8/M8, 0)*M8</f>
      </c>
      <c r="R8" s="30"/>
      <c r="S8" s="157"/>
      <c r="T8" s="158">
        <v>1</v>
      </c>
      <c r="U8" s="158">
        <f>ROUNDUP(H8/(I8*Q8),0)</f>
      </c>
      <c r="V8" s="140">
        <f>ROUNDUP(T8+X8, 0)</f>
      </c>
      <c r="W8" s="148">
        <f>ROUNDUP(U8+X8, 0)</f>
      </c>
      <c r="X8" s="140">
        <v>0.5</v>
      </c>
      <c r="Y8" s="11" t="s">
        <v>183</v>
      </c>
      <c r="Z8" s="6"/>
      <c r="AA8" s="6"/>
      <c r="AB8" s="6"/>
      <c r="AC8" s="142"/>
      <c r="AD8" s="6"/>
      <c r="AE8" s="15"/>
    </row>
    <row x14ac:dyDescent="0.25" r="9" customHeight="1" ht="17.25">
      <c r="A9" s="6"/>
      <c r="B9" s="51"/>
      <c r="C9" s="51"/>
      <c r="D9" s="52"/>
      <c r="E9" s="51"/>
      <c r="F9" s="24" t="s">
        <v>44</v>
      </c>
      <c r="G9" s="24" t="s">
        <v>19</v>
      </c>
      <c r="H9" s="25">
        <v>102</v>
      </c>
      <c r="I9" s="21">
        <f>인당생산성!H26</f>
      </c>
      <c r="J9" s="143">
        <f>K9*T9</f>
      </c>
      <c r="K9" s="143">
        <f>S9*4</f>
      </c>
      <c r="L9" s="24" t="s">
        <v>192</v>
      </c>
      <c r="M9" s="144">
        <v>6</v>
      </c>
      <c r="N9" s="145">
        <f>S9</f>
      </c>
      <c r="O9" s="144">
        <f>N9*M9</f>
      </c>
      <c r="P9" s="144">
        <v>1</v>
      </c>
      <c r="Q9" s="144">
        <f>O9*P9</f>
      </c>
      <c r="R9" s="24" t="s">
        <v>179</v>
      </c>
      <c r="S9" s="146">
        <f>CEILING(MIN(2, H9/'펌프카 부위별 타설량'!B4), 1)</f>
      </c>
      <c r="T9" s="147">
        <v>1</v>
      </c>
      <c r="U9" s="147">
        <f>T9</f>
      </c>
      <c r="V9" s="140">
        <f>ROUNDUP(T9+X9, 0)</f>
      </c>
      <c r="W9" s="148">
        <f>ROUNDUP(U9+X9, 0)</f>
      </c>
      <c r="X9" s="140">
        <v>2</v>
      </c>
      <c r="Y9" s="11" t="s">
        <v>180</v>
      </c>
      <c r="Z9" s="6"/>
      <c r="AA9" s="6"/>
      <c r="AB9" s="6"/>
      <c r="AC9" s="142"/>
      <c r="AD9" s="6"/>
      <c r="AE9" s="15"/>
    </row>
    <row x14ac:dyDescent="0.25" r="10" customHeight="1" ht="17.25">
      <c r="A10" s="6"/>
      <c r="B10" s="56"/>
      <c r="C10" s="56"/>
      <c r="D10" s="57"/>
      <c r="E10" s="56"/>
      <c r="F10" s="43" t="s">
        <v>35</v>
      </c>
      <c r="G10" s="43" t="s">
        <v>17</v>
      </c>
      <c r="H10" s="40">
        <f>(H7)*2</f>
      </c>
      <c r="I10" s="21">
        <v>50</v>
      </c>
      <c r="J10" s="169">
        <f>ROUNDUP(H10/I10,0)</f>
      </c>
      <c r="K10" s="169">
        <f>ROUNDUP(J10/T10,0)</f>
      </c>
      <c r="L10" s="43"/>
      <c r="M10" s="12">
        <f>작업조구성!$B$5</f>
      </c>
      <c r="N10" s="162"/>
      <c r="O10" s="12">
        <f>M10*N10</f>
      </c>
      <c r="P10" s="128">
        <f>'부분별 보정계수설정'!$B$4</f>
      </c>
      <c r="Q10" s="131">
        <f>ROUND(O10*P10/M10, 0)*M10</f>
      </c>
      <c r="R10" s="43"/>
      <c r="S10" s="170"/>
      <c r="T10" s="171">
        <v>22</v>
      </c>
      <c r="U10" s="172">
        <f>MAX(1, CEILING(H10/(N10*작업조구성!$D$10), 1))</f>
      </c>
      <c r="V10" s="140">
        <f>ROUNDUP(T10+X10, 0)</f>
      </c>
      <c r="W10" s="141">
        <f>ROUNDUP(U10+X10, 0)</f>
      </c>
      <c r="X10" s="140"/>
      <c r="Y10" s="11"/>
      <c r="Z10" s="6"/>
      <c r="AA10" s="6"/>
      <c r="AB10" s="6"/>
      <c r="AC10" s="142"/>
      <c r="AD10" s="6"/>
      <c r="AE10" s="15"/>
    </row>
    <row x14ac:dyDescent="0.25" r="11" customHeight="1" ht="17.25">
      <c r="A11" s="6"/>
      <c r="B11" s="16" t="s">
        <v>45</v>
      </c>
      <c r="C11" s="17"/>
      <c r="D11" s="18">
        <f>층고!C5</f>
      </c>
      <c r="E11" s="17"/>
      <c r="F11" s="26" t="s">
        <v>28</v>
      </c>
      <c r="G11" s="26" t="s">
        <v>17</v>
      </c>
      <c r="H11" s="27">
        <v>297.71</v>
      </c>
      <c r="I11" s="21">
        <v>250</v>
      </c>
      <c r="J11" s="150"/>
      <c r="K11" s="150">
        <v>3</v>
      </c>
      <c r="L11" s="26"/>
      <c r="M11" s="151">
        <f>작업조구성!$B$10</f>
      </c>
      <c r="N11" s="152">
        <v>1</v>
      </c>
      <c r="O11" s="153">
        <f>M11*N11</f>
      </c>
      <c r="P11" s="153">
        <f>'부분별 보정계수설정'!$B$10</f>
      </c>
      <c r="Q11" s="151">
        <f>ROUND(O11*P11/M11, 0)*M11</f>
      </c>
      <c r="R11" s="26"/>
      <c r="S11" s="154"/>
      <c r="T11" s="155">
        <v>1</v>
      </c>
      <c r="U11" s="155">
        <f>MAX(1, CEILING(H11/(N11*작업조구성!$D$10), 1))</f>
      </c>
      <c r="V11" s="140">
        <f>ROUNDUP(T11+X11, 0)</f>
      </c>
      <c r="W11" s="148">
        <f>ROUNDUP(U11+X11, 0)</f>
      </c>
      <c r="X11" s="191">
        <v>1</v>
      </c>
      <c r="Y11" s="11" t="s">
        <v>183</v>
      </c>
      <c r="Z11" s="6"/>
      <c r="AA11" s="6"/>
      <c r="AB11" s="6"/>
      <c r="AC11" s="142"/>
      <c r="AD11" s="6"/>
      <c r="AE11" s="15"/>
    </row>
    <row x14ac:dyDescent="0.25" r="12" customHeight="1" ht="17.25">
      <c r="A12" s="6"/>
      <c r="B12" s="11"/>
      <c r="C12" s="28"/>
      <c r="D12" s="29"/>
      <c r="E12" s="28"/>
      <c r="F12" s="58" t="s">
        <v>46</v>
      </c>
      <c r="G12" s="58" t="s">
        <v>17</v>
      </c>
      <c r="H12" s="50">
        <f>1454*0.45</f>
      </c>
      <c r="I12" s="21">
        <v>60</v>
      </c>
      <c r="J12" s="192">
        <f>ROUNDUP(H12/I12,0)</f>
      </c>
      <c r="K12" s="192">
        <f>ROUNDUP(J12/T12,0)</f>
      </c>
      <c r="L12" s="58"/>
      <c r="M12" s="131">
        <f>작업조구성!$B$2</f>
      </c>
      <c r="N12" s="193">
        <f>CEILING((H12/(D11*0.001))/40, 1)</f>
      </c>
      <c r="O12" s="12">
        <f>M12*N12</f>
      </c>
      <c r="P12" s="128">
        <f>'부분별 보정계수설정'!$B$6</f>
      </c>
      <c r="Q12" s="131">
        <f>ROUND(O12*P12/M12, 0)*M12</f>
      </c>
      <c r="R12" s="58"/>
      <c r="S12" s="194"/>
      <c r="T12" s="195">
        <v>2</v>
      </c>
      <c r="U12" s="195">
        <f>ROUNDUP(H12/(I12*Q12),0)</f>
      </c>
      <c r="V12" s="140">
        <f>ROUNDUP(T12+X12, 0)</f>
      </c>
      <c r="W12" s="148">
        <f>ROUNDUP(U12+X12, 0)</f>
      </c>
      <c r="X12" s="140">
        <v>6</v>
      </c>
      <c r="Y12" s="11" t="s">
        <v>193</v>
      </c>
      <c r="Z12" s="6"/>
      <c r="AA12" s="6"/>
      <c r="AB12" s="6"/>
      <c r="AC12" s="142"/>
      <c r="AD12" s="6"/>
      <c r="AE12" s="15"/>
    </row>
    <row x14ac:dyDescent="0.25" r="13" customHeight="1" ht="17.25">
      <c r="A13" s="6"/>
      <c r="B13" s="11"/>
      <c r="C13" s="28"/>
      <c r="D13" s="29"/>
      <c r="E13" s="28"/>
      <c r="F13" s="30" t="s">
        <v>29</v>
      </c>
      <c r="G13" s="30" t="s">
        <v>23</v>
      </c>
      <c r="H13" s="31">
        <f>26.41*0.5</f>
      </c>
      <c r="I13" s="21">
        <f>인당생산성!H29</f>
      </c>
      <c r="J13" s="156">
        <f>ROUNDUP(H13/I13,0)</f>
      </c>
      <c r="K13" s="156">
        <f>ROUNDUP(J13/T13,0)</f>
      </c>
      <c r="L13" s="30"/>
      <c r="M13" s="131">
        <f>작업조구성!$B$8</f>
      </c>
      <c r="N13" s="162">
        <f>CEILING((H12*0.3)/(D11*0.001*25),1)</f>
      </c>
      <c r="O13" s="12">
        <f>M13*N13</f>
      </c>
      <c r="P13" s="128">
        <f>'부분별 보정계수설정'!$B$6</f>
      </c>
      <c r="Q13" s="131">
        <f>ROUND(O13*P13/M13, 0)*M13</f>
      </c>
      <c r="R13" s="30"/>
      <c r="S13" s="157"/>
      <c r="T13" s="158">
        <v>2</v>
      </c>
      <c r="U13" s="158">
        <f>ROUNDUP(H13/(I13*Q13),0)</f>
      </c>
      <c r="V13" s="140">
        <v>2</v>
      </c>
      <c r="W13" s="148">
        <f>ROUNDUP(U13+X13, 0)</f>
      </c>
      <c r="X13" s="140">
        <v>0.5</v>
      </c>
      <c r="Y13" s="11" t="s">
        <v>183</v>
      </c>
      <c r="Z13" s="6"/>
      <c r="AA13" s="184"/>
      <c r="AB13" s="184"/>
      <c r="AC13" s="142"/>
      <c r="AD13" s="134"/>
      <c r="AE13" s="15"/>
    </row>
    <row x14ac:dyDescent="0.25" r="14" customHeight="1" ht="17.25">
      <c r="A14" s="6"/>
      <c r="B14" s="11"/>
      <c r="C14" s="28"/>
      <c r="D14" s="29"/>
      <c r="E14" s="28"/>
      <c r="F14" s="59" t="s">
        <v>47</v>
      </c>
      <c r="G14" s="59" t="s">
        <v>17</v>
      </c>
      <c r="H14" s="53">
        <f>1454*0.55</f>
      </c>
      <c r="I14" s="21">
        <f>인당생산성!H30</f>
      </c>
      <c r="J14" s="196">
        <f>ROUNDUP(H14/I14,0)</f>
      </c>
      <c r="K14" s="196">
        <f>ROUNDUP(J14/T14,0)</f>
      </c>
      <c r="L14" s="59"/>
      <c r="M14" s="131">
        <f>작업조구성!$B$3</f>
      </c>
      <c r="N14" s="193">
        <f>CEILING((H14*0.5/(D11*0.001))/30, 1)</f>
      </c>
      <c r="O14" s="12">
        <f>M14*N14</f>
      </c>
      <c r="P14" s="128">
        <f>'부분별 보정계수설정'!$B$6</f>
      </c>
      <c r="Q14" s="131">
        <f>ROUND(O14*P14/M14, 0)*M14</f>
      </c>
      <c r="R14" s="59"/>
      <c r="S14" s="197"/>
      <c r="T14" s="198">
        <v>4</v>
      </c>
      <c r="U14" s="198">
        <f>ROUNDUP(H14/(I14*Q14),0)</f>
      </c>
      <c r="V14" s="140">
        <v>4</v>
      </c>
      <c r="W14" s="148">
        <f>ROUNDUP(U14+X14, 0)</f>
      </c>
      <c r="X14" s="140">
        <v>0.5</v>
      </c>
      <c r="Y14" s="11" t="s">
        <v>183</v>
      </c>
      <c r="Z14" s="6"/>
      <c r="AA14" s="6"/>
      <c r="AB14" s="6"/>
      <c r="AC14" s="142"/>
      <c r="AD14" s="134"/>
      <c r="AE14" s="15"/>
    </row>
    <row x14ac:dyDescent="0.25" r="15" customHeight="1" ht="17.25">
      <c r="A15" s="6"/>
      <c r="B15" s="11"/>
      <c r="C15" s="28"/>
      <c r="D15" s="29"/>
      <c r="E15" s="28"/>
      <c r="F15" s="30" t="s">
        <v>32</v>
      </c>
      <c r="G15" s="30" t="s">
        <v>23</v>
      </c>
      <c r="H15" s="31">
        <f>26.41*0.5</f>
      </c>
      <c r="I15" s="21">
        <f>인당생산성!H31</f>
      </c>
      <c r="J15" s="156">
        <f>ROUNDUP(H15/I15,0)</f>
      </c>
      <c r="K15" s="156">
        <f>ROUNDUP(J15/T15,0)</f>
      </c>
      <c r="L15" s="30"/>
      <c r="M15" s="131">
        <f>작업조구성!$B$9</f>
      </c>
      <c r="N15" s="162">
        <f>CEILING(H16/($H$40*0.001)/200,1)</f>
      </c>
      <c r="O15" s="12">
        <f>M15*N15</f>
      </c>
      <c r="P15" s="128">
        <f>'부분별 보정계수설정'!$B$6</f>
      </c>
      <c r="Q15" s="131">
        <f>ROUND(O15*P15/M15, 0)*M15</f>
      </c>
      <c r="R15" s="30"/>
      <c r="S15" s="157"/>
      <c r="T15" s="158">
        <v>2</v>
      </c>
      <c r="U15" s="158">
        <f>ROUNDUP(H15/(I15*Q15),0)</f>
      </c>
      <c r="V15" s="140">
        <v>2</v>
      </c>
      <c r="W15" s="148">
        <f>ROUNDUP(U15+X15, 0)</f>
      </c>
      <c r="X15" s="140">
        <v>0.5</v>
      </c>
      <c r="Y15" s="11" t="s">
        <v>183</v>
      </c>
      <c r="Z15" s="6"/>
      <c r="AA15" s="6"/>
      <c r="AB15" s="6"/>
      <c r="AC15" s="142"/>
      <c r="AD15" s="134"/>
      <c r="AE15" s="15"/>
    </row>
    <row x14ac:dyDescent="0.25" r="16" customHeight="1" ht="17.25">
      <c r="A16" s="6"/>
      <c r="B16" s="11"/>
      <c r="C16" s="22"/>
      <c r="D16" s="23"/>
      <c r="E16" s="22"/>
      <c r="F16" s="24" t="s">
        <v>44</v>
      </c>
      <c r="G16" s="24" t="s">
        <v>19</v>
      </c>
      <c r="H16" s="25">
        <v>236</v>
      </c>
      <c r="I16" s="21">
        <f>인당생산성!H32</f>
      </c>
      <c r="J16" s="143">
        <f>K16*T16</f>
      </c>
      <c r="K16" s="143">
        <f>S16*6</f>
      </c>
      <c r="L16" s="24" t="s">
        <v>194</v>
      </c>
      <c r="M16" s="144">
        <v>6</v>
      </c>
      <c r="N16" s="145">
        <f>S16</f>
      </c>
      <c r="O16" s="144">
        <f>N16*M16</f>
      </c>
      <c r="P16" s="144">
        <v>1</v>
      </c>
      <c r="Q16" s="144">
        <f>O16*P16</f>
      </c>
      <c r="R16" s="24" t="s">
        <v>179</v>
      </c>
      <c r="S16" s="146">
        <f>CEILING(MIN(2, H16/'펌프카 부위별 타설량'!B5), 1)</f>
      </c>
      <c r="T16" s="147">
        <v>1</v>
      </c>
      <c r="U16" s="147">
        <f>T16</f>
      </c>
      <c r="V16" s="140">
        <f>ROUNDUP(T16+X16, 0)</f>
      </c>
      <c r="W16" s="148">
        <f>ROUNDUP(U16+X16, 0)</f>
      </c>
      <c r="X16" s="140">
        <v>2</v>
      </c>
      <c r="Y16" s="11" t="s">
        <v>180</v>
      </c>
      <c r="Z16" s="6"/>
      <c r="AA16" s="6"/>
      <c r="AB16" s="6"/>
      <c r="AC16" s="142"/>
      <c r="AD16" s="134"/>
      <c r="AE16" s="15"/>
    </row>
    <row x14ac:dyDescent="0.25" r="17" customHeight="1" ht="17.25">
      <c r="A17" s="6"/>
      <c r="B17" s="16" t="s">
        <v>48</v>
      </c>
      <c r="C17" s="17"/>
      <c r="D17" s="18">
        <f>층고!C6</f>
      </c>
      <c r="E17" s="17"/>
      <c r="F17" s="26" t="s">
        <v>28</v>
      </c>
      <c r="G17" s="26" t="s">
        <v>17</v>
      </c>
      <c r="H17" s="27">
        <v>297.71</v>
      </c>
      <c r="I17" s="21">
        <v>250</v>
      </c>
      <c r="J17" s="150"/>
      <c r="K17" s="150">
        <v>3</v>
      </c>
      <c r="L17" s="26"/>
      <c r="M17" s="151">
        <f>작업조구성!$B$10</f>
      </c>
      <c r="N17" s="152">
        <v>1</v>
      </c>
      <c r="O17" s="153">
        <f>M17*N17</f>
      </c>
      <c r="P17" s="153">
        <f>'부분별 보정계수설정'!$B$10</f>
      </c>
      <c r="Q17" s="151">
        <f>ROUND(O17*P17/M17, 0)*M17</f>
      </c>
      <c r="R17" s="26"/>
      <c r="S17" s="154"/>
      <c r="T17" s="155">
        <v>1</v>
      </c>
      <c r="U17" s="155">
        <f>MAX(1, CEILING(H17/(N17*작업조구성!$D$10), 1))</f>
      </c>
      <c r="V17" s="140">
        <f>ROUNDUP(T17+X17, 0)</f>
      </c>
      <c r="W17" s="148">
        <f>ROUNDUP(U17+X17, 0)</f>
      </c>
      <c r="X17" s="191">
        <v>1</v>
      </c>
      <c r="Y17" s="11" t="s">
        <v>183</v>
      </c>
      <c r="Z17" s="6"/>
      <c r="AA17" s="6"/>
      <c r="AB17" s="6"/>
      <c r="AC17" s="142"/>
      <c r="AD17" s="6"/>
      <c r="AE17" s="15"/>
    </row>
    <row x14ac:dyDescent="0.25" r="18" customHeight="1" ht="17.25">
      <c r="A18" s="6"/>
      <c r="B18" s="11"/>
      <c r="C18" s="28"/>
      <c r="D18" s="29"/>
      <c r="E18" s="28"/>
      <c r="F18" s="58" t="s">
        <v>46</v>
      </c>
      <c r="G18" s="58" t="s">
        <v>17</v>
      </c>
      <c r="H18" s="50">
        <f>1731*0.45</f>
      </c>
      <c r="I18" s="21">
        <f>인당생산성!H34</f>
      </c>
      <c r="J18" s="192">
        <f>ROUNDUP(H18/I18,0)</f>
      </c>
      <c r="K18" s="192">
        <f>ROUNDUP(J18/T18,0)</f>
      </c>
      <c r="L18" s="58"/>
      <c r="M18" s="131">
        <f>작업조구성!$B$2</f>
      </c>
      <c r="N18" s="193">
        <f>CEILING((H18/(D17*0.001))/40, 1)</f>
      </c>
      <c r="O18" s="12">
        <f>M18*N18</f>
      </c>
      <c r="P18" s="12">
        <f>'부분별 보정계수설정'!$B$7</f>
      </c>
      <c r="Q18" s="131">
        <f>ROUND(O18*P18/M18, 0)*M18</f>
      </c>
      <c r="R18" s="58"/>
      <c r="S18" s="194"/>
      <c r="T18" s="195">
        <v>1</v>
      </c>
      <c r="U18" s="195">
        <f>ROUNDUP(H18/(I18*Q18),0)</f>
      </c>
      <c r="V18" s="140">
        <f>ROUNDUP(T18+X18, 0)</f>
      </c>
      <c r="W18" s="148">
        <f>ROUNDUP(U18+X18, 0)</f>
      </c>
      <c r="X18" s="140">
        <v>1</v>
      </c>
      <c r="Y18" s="11" t="s">
        <v>188</v>
      </c>
      <c r="Z18" s="6"/>
      <c r="AA18" s="6"/>
      <c r="AB18" s="6"/>
      <c r="AC18" s="142"/>
      <c r="AD18" s="6"/>
      <c r="AE18" s="15"/>
    </row>
    <row x14ac:dyDescent="0.25" r="19" customHeight="1" ht="17.25">
      <c r="A19" s="6"/>
      <c r="B19" s="11"/>
      <c r="C19" s="28"/>
      <c r="D19" s="29"/>
      <c r="E19" s="28"/>
      <c r="F19" s="30" t="s">
        <v>29</v>
      </c>
      <c r="G19" s="30" t="s">
        <v>23</v>
      </c>
      <c r="H19" s="31">
        <f>18.83*0.5</f>
      </c>
      <c r="I19" s="21">
        <v>0.8</v>
      </c>
      <c r="J19" s="156">
        <f>ROUNDUP(H19/I19,0)</f>
      </c>
      <c r="K19" s="156">
        <f>ROUNDUP(J19/T19,0)</f>
      </c>
      <c r="L19" s="30"/>
      <c r="M19" s="131">
        <f>작업조구성!$B$8</f>
      </c>
      <c r="N19" s="162">
        <f>CEILING((H18*0.3)/(D17*0.001*25),1)</f>
      </c>
      <c r="O19" s="12">
        <f>M19*N19</f>
      </c>
      <c r="P19" s="12">
        <f>'부분별 보정계수설정'!$B$7</f>
      </c>
      <c r="Q19" s="131">
        <f>ROUND(O19*P19/M19, 0)*M19</f>
      </c>
      <c r="R19" s="30"/>
      <c r="S19" s="157"/>
      <c r="T19" s="158">
        <v>1</v>
      </c>
      <c r="U19" s="158">
        <f>ROUNDUP(H19/(I19*Q19),0)</f>
      </c>
      <c r="V19" s="140">
        <f>ROUNDUP(T19+X19, 0)</f>
      </c>
      <c r="W19" s="148">
        <f>ROUNDUP(U19+X19, 0)</f>
      </c>
      <c r="X19" s="140">
        <v>0.5</v>
      </c>
      <c r="Y19" s="11" t="s">
        <v>183</v>
      </c>
      <c r="Z19" s="6"/>
      <c r="AA19" s="184"/>
      <c r="AB19" s="184"/>
      <c r="AC19" s="142"/>
      <c r="AD19" s="134"/>
      <c r="AE19" s="15"/>
    </row>
    <row x14ac:dyDescent="0.25" r="20" customHeight="1" ht="17.25">
      <c r="A20" s="6"/>
      <c r="B20" s="11"/>
      <c r="C20" s="28"/>
      <c r="D20" s="29"/>
      <c r="E20" s="28"/>
      <c r="F20" s="59" t="s">
        <v>47</v>
      </c>
      <c r="G20" s="59" t="s">
        <v>17</v>
      </c>
      <c r="H20" s="53">
        <f>1731*0.55</f>
      </c>
      <c r="I20" s="21">
        <f>인당생산성!H36</f>
      </c>
      <c r="J20" s="196">
        <f>ROUNDUP(H20/I20,0)</f>
      </c>
      <c r="K20" s="196">
        <f>ROUNDUP(J20/T20,0)</f>
      </c>
      <c r="L20" s="59"/>
      <c r="M20" s="131">
        <f>작업조구성!$B$3</f>
      </c>
      <c r="N20" s="193">
        <f>CEILING((H20*0.5/(D17*0.001))/30, 1)</f>
      </c>
      <c r="O20" s="12">
        <f>M20*N20</f>
      </c>
      <c r="P20" s="12">
        <f>'부분별 보정계수설정'!$B$7</f>
      </c>
      <c r="Q20" s="131">
        <f>ROUND(O20*P20/M20, 0)*M20</f>
      </c>
      <c r="R20" s="59"/>
      <c r="S20" s="197"/>
      <c r="T20" s="198">
        <v>1</v>
      </c>
      <c r="U20" s="198">
        <f>ROUNDUP(H20/(I20*Q20),0)</f>
      </c>
      <c r="V20" s="140">
        <f>ROUNDUP(T20+X20, 0)</f>
      </c>
      <c r="W20" s="148">
        <f>ROUNDUP(U20+X20, 0)</f>
      </c>
      <c r="X20" s="140">
        <v>0.5</v>
      </c>
      <c r="Y20" s="11" t="s">
        <v>183</v>
      </c>
      <c r="Z20" s="6"/>
      <c r="AA20" s="6"/>
      <c r="AB20" s="6"/>
      <c r="AC20" s="142"/>
      <c r="AD20" s="134"/>
      <c r="AE20" s="15"/>
    </row>
    <row x14ac:dyDescent="0.25" r="21" customHeight="1" ht="17.25">
      <c r="A21" s="6"/>
      <c r="B21" s="11"/>
      <c r="C21" s="28"/>
      <c r="D21" s="29"/>
      <c r="E21" s="28"/>
      <c r="F21" s="30" t="s">
        <v>32</v>
      </c>
      <c r="G21" s="30" t="s">
        <v>23</v>
      </c>
      <c r="H21" s="31">
        <f>18.83*0.5</f>
      </c>
      <c r="I21" s="21">
        <f>인당생산성!H37</f>
      </c>
      <c r="J21" s="156">
        <f>ROUNDUP(H21/I21,0)</f>
      </c>
      <c r="K21" s="156">
        <f>ROUNDUP(J21/T21,0)</f>
      </c>
      <c r="L21" s="30"/>
      <c r="M21" s="131">
        <f>작업조구성!$B$9</f>
      </c>
      <c r="N21" s="162">
        <f>CEILING(H22/($H$40*0.001)/200,1)</f>
      </c>
      <c r="O21" s="12">
        <f>M21*N21</f>
      </c>
      <c r="P21" s="12">
        <f>'부분별 보정계수설정'!$B$7</f>
      </c>
      <c r="Q21" s="131">
        <f>ROUND(O21*P21/M21, 0)*M21</f>
      </c>
      <c r="R21" s="30"/>
      <c r="S21" s="157"/>
      <c r="T21" s="158">
        <v>1</v>
      </c>
      <c r="U21" s="158">
        <f>ROUNDUP(H21/(I21*Q21),0)</f>
      </c>
      <c r="V21" s="140">
        <f>ROUNDUP(T21+X21, 0)</f>
      </c>
      <c r="W21" s="148">
        <f>ROUNDUP(U21+X21, 0)</f>
      </c>
      <c r="X21" s="140">
        <v>0.5</v>
      </c>
      <c r="Y21" s="11" t="s">
        <v>183</v>
      </c>
      <c r="Z21" s="6"/>
      <c r="AA21" s="6"/>
      <c r="AB21" s="6"/>
      <c r="AC21" s="142"/>
      <c r="AD21" s="134"/>
      <c r="AE21" s="15"/>
    </row>
    <row x14ac:dyDescent="0.25" r="22" customHeight="1" ht="17.25">
      <c r="A22" s="6"/>
      <c r="B22" s="11"/>
      <c r="C22" s="22"/>
      <c r="D22" s="23"/>
      <c r="E22" s="22"/>
      <c r="F22" s="24" t="s">
        <v>44</v>
      </c>
      <c r="G22" s="24" t="s">
        <v>19</v>
      </c>
      <c r="H22" s="25">
        <v>224</v>
      </c>
      <c r="I22" s="21">
        <f>인당생산성!H38</f>
      </c>
      <c r="J22" s="143">
        <f>K22*T22</f>
      </c>
      <c r="K22" s="143">
        <f>S22*6</f>
      </c>
      <c r="L22" s="24" t="s">
        <v>195</v>
      </c>
      <c r="M22" s="144">
        <v>4</v>
      </c>
      <c r="N22" s="145">
        <f>S22</f>
      </c>
      <c r="O22" s="144">
        <f>N22*M22</f>
      </c>
      <c r="P22" s="144">
        <v>1</v>
      </c>
      <c r="Q22" s="144">
        <f>O22*P22</f>
      </c>
      <c r="R22" s="24" t="s">
        <v>179</v>
      </c>
      <c r="S22" s="146">
        <f>CEILING(MIN(2, H22/'펌프카 부위별 타설량'!B6), 1)</f>
      </c>
      <c r="T22" s="147">
        <v>1</v>
      </c>
      <c r="U22" s="147">
        <f>T22</f>
      </c>
      <c r="V22" s="140">
        <f>ROUNDUP(T22+X22, 0)</f>
      </c>
      <c r="W22" s="148">
        <f>ROUNDUP(U22+X22, 0)</f>
      </c>
      <c r="X22" s="140">
        <v>2</v>
      </c>
      <c r="Y22" s="11" t="s">
        <v>180</v>
      </c>
      <c r="Z22" s="6"/>
      <c r="AA22" s="6"/>
      <c r="AB22" s="6"/>
      <c r="AC22" s="142"/>
      <c r="AD22" s="134"/>
      <c r="AE22" s="15"/>
    </row>
    <row x14ac:dyDescent="0.25" r="23" customHeight="1" ht="16.5">
      <c r="A23" s="6"/>
      <c r="B23" s="16" t="s">
        <v>49</v>
      </c>
      <c r="C23" s="17"/>
      <c r="D23" s="18">
        <f>층고!C7</f>
      </c>
      <c r="E23" s="17"/>
      <c r="F23" s="26" t="s">
        <v>28</v>
      </c>
      <c r="G23" s="26" t="s">
        <v>17</v>
      </c>
      <c r="H23" s="27">
        <v>297.71</v>
      </c>
      <c r="I23" s="21">
        <v>250</v>
      </c>
      <c r="J23" s="150"/>
      <c r="K23" s="150">
        <v>3</v>
      </c>
      <c r="L23" s="26"/>
      <c r="M23" s="151">
        <f>작업조구성!$B$10</f>
      </c>
      <c r="N23" s="152">
        <v>1</v>
      </c>
      <c r="O23" s="153">
        <f>M23*N23</f>
      </c>
      <c r="P23" s="153">
        <f>'부분별 보정계수설정'!$B$10</f>
      </c>
      <c r="Q23" s="151">
        <f>ROUND(O23*P23/M23, 0)*M23</f>
      </c>
      <c r="R23" s="26"/>
      <c r="S23" s="154"/>
      <c r="T23" s="155">
        <v>1</v>
      </c>
      <c r="U23" s="155">
        <f>MAX(1, CEILING(H23/(N23*작업조구성!$D$10), 1))</f>
      </c>
      <c r="V23" s="140">
        <f>ROUNDUP(T23+X23, 0)</f>
      </c>
      <c r="W23" s="148">
        <f>ROUNDUP(U23+X23, 0)</f>
      </c>
      <c r="X23" s="191">
        <v>1</v>
      </c>
      <c r="Y23" s="11" t="s">
        <v>183</v>
      </c>
      <c r="Z23" s="6"/>
      <c r="AA23" s="199"/>
      <c r="AB23" s="199"/>
      <c r="AC23" s="142"/>
      <c r="AD23" s="6"/>
      <c r="AE23" s="15"/>
    </row>
    <row x14ac:dyDescent="0.25" r="24" customHeight="1" ht="16.5">
      <c r="A24" s="6"/>
      <c r="B24" s="11"/>
      <c r="C24" s="28"/>
      <c r="D24" s="29"/>
      <c r="E24" s="28"/>
      <c r="F24" s="58" t="s">
        <v>46</v>
      </c>
      <c r="G24" s="58" t="s">
        <v>17</v>
      </c>
      <c r="H24" s="50">
        <f>1731*0.45</f>
      </c>
      <c r="I24" s="21">
        <f>인당생산성!H40</f>
      </c>
      <c r="J24" s="192">
        <f>ROUNDUP(H24/I24,0)</f>
      </c>
      <c r="K24" s="192">
        <f>ROUNDUP(J24/T24,0)</f>
      </c>
      <c r="L24" s="58"/>
      <c r="M24" s="131">
        <f>작업조구성!$B$2</f>
      </c>
      <c r="N24" s="193">
        <f>CEILING((H24/(D23*0.001))/40, 1)</f>
      </c>
      <c r="O24" s="12">
        <f>M24*N24</f>
      </c>
      <c r="P24" s="128">
        <f>'부분별 보정계수설정'!$B$8</f>
      </c>
      <c r="Q24" s="131">
        <f>ROUND(O24*P24/M24, 0)*M24</f>
      </c>
      <c r="R24" s="58"/>
      <c r="S24" s="194"/>
      <c r="T24" s="195">
        <v>1</v>
      </c>
      <c r="U24" s="195">
        <f>ROUNDUP(H24/(I24*Q24),0)</f>
      </c>
      <c r="V24" s="140">
        <f>ROUNDUP(T24+X24, 0)</f>
      </c>
      <c r="W24" s="148">
        <f>ROUNDUP(U24+X24, 0)</f>
      </c>
      <c r="X24" s="140">
        <v>1</v>
      </c>
      <c r="Y24" s="11" t="s">
        <v>188</v>
      </c>
      <c r="Z24" s="6"/>
      <c r="AA24" s="199"/>
      <c r="AB24" s="199"/>
      <c r="AC24" s="142"/>
      <c r="AD24" s="6"/>
      <c r="AE24" s="15"/>
    </row>
    <row x14ac:dyDescent="0.25" r="25" customHeight="1" ht="16.5">
      <c r="A25" s="6"/>
      <c r="B25" s="11"/>
      <c r="C25" s="28"/>
      <c r="D25" s="29"/>
      <c r="E25" s="28"/>
      <c r="F25" s="30" t="s">
        <v>29</v>
      </c>
      <c r="G25" s="30" t="s">
        <v>23</v>
      </c>
      <c r="H25" s="31">
        <f>18.83*0.5</f>
      </c>
      <c r="I25" s="21">
        <v>0.8</v>
      </c>
      <c r="J25" s="156">
        <f>ROUNDUP(H25/I25,0)</f>
      </c>
      <c r="K25" s="156">
        <f>ROUNDUP(J25/T25,0)</f>
      </c>
      <c r="L25" s="30"/>
      <c r="M25" s="131">
        <f>작업조구성!$B$8</f>
      </c>
      <c r="N25" s="162">
        <f>CEILING((H24*0.3)/(D23*0.001*19),1)</f>
      </c>
      <c r="O25" s="12">
        <f>M25*N25</f>
      </c>
      <c r="P25" s="128">
        <f>'부분별 보정계수설정'!$B$8</f>
      </c>
      <c r="Q25" s="131">
        <f>ROUND(O25*P25/M25, 0)*M25</f>
      </c>
      <c r="R25" s="30"/>
      <c r="S25" s="157"/>
      <c r="T25" s="158">
        <v>1</v>
      </c>
      <c r="U25" s="158">
        <f>ROUNDUP(H25/(I25*Q25),0)</f>
      </c>
      <c r="V25" s="140">
        <f>ROUNDUP(T25+X25, 0)</f>
      </c>
      <c r="W25" s="148">
        <f>ROUNDUP(U25+X25, 0)</f>
      </c>
      <c r="X25" s="140">
        <v>0.5</v>
      </c>
      <c r="Y25" s="11" t="s">
        <v>183</v>
      </c>
      <c r="Z25" s="6"/>
      <c r="AA25" s="199"/>
      <c r="AB25" s="199"/>
      <c r="AC25" s="142"/>
      <c r="AD25" s="6"/>
      <c r="AE25" s="15"/>
    </row>
    <row x14ac:dyDescent="0.25" r="26" customHeight="1" ht="16.5">
      <c r="A26" s="6"/>
      <c r="B26" s="11"/>
      <c r="C26" s="28"/>
      <c r="D26" s="29"/>
      <c r="E26" s="28"/>
      <c r="F26" s="59" t="s">
        <v>47</v>
      </c>
      <c r="G26" s="59" t="s">
        <v>17</v>
      </c>
      <c r="H26" s="53">
        <f>1731*0.55</f>
      </c>
      <c r="I26" s="21">
        <f>인당생산성!H42</f>
      </c>
      <c r="J26" s="196">
        <f>ROUNDUP(H26/I26,0)</f>
      </c>
      <c r="K26" s="196">
        <f>ROUNDUP(J26/T26,0)</f>
      </c>
      <c r="L26" s="59"/>
      <c r="M26" s="131">
        <f>작업조구성!$B$3</f>
      </c>
      <c r="N26" s="193">
        <f>CEILING((H26*0.5/(D23*0.001))/30, 1)</f>
      </c>
      <c r="O26" s="12">
        <f>M26*N26</f>
      </c>
      <c r="P26" s="128">
        <f>'부분별 보정계수설정'!$B$8</f>
      </c>
      <c r="Q26" s="131">
        <f>ROUND(O26*P26/M26, 0)*M26</f>
      </c>
      <c r="R26" s="59"/>
      <c r="S26" s="197"/>
      <c r="T26" s="198">
        <v>1</v>
      </c>
      <c r="U26" s="198">
        <f>ROUNDUP(H26/(I26*Q26),0)</f>
      </c>
      <c r="V26" s="140">
        <f>ROUNDUP(T26+X26, 0)</f>
      </c>
      <c r="W26" s="148">
        <f>ROUNDUP(U26+X26, 0)</f>
      </c>
      <c r="X26" s="140">
        <v>0.5</v>
      </c>
      <c r="Y26" s="11" t="s">
        <v>183</v>
      </c>
      <c r="Z26" s="6"/>
      <c r="AA26" s="199"/>
      <c r="AB26" s="199"/>
      <c r="AC26" s="142"/>
      <c r="AD26" s="6"/>
      <c r="AE26" s="15"/>
    </row>
    <row x14ac:dyDescent="0.25" r="27" customHeight="1" ht="16.5">
      <c r="A27" s="6"/>
      <c r="B27" s="11"/>
      <c r="C27" s="28"/>
      <c r="D27" s="29"/>
      <c r="E27" s="28"/>
      <c r="F27" s="30" t="s">
        <v>32</v>
      </c>
      <c r="G27" s="30" t="s">
        <v>23</v>
      </c>
      <c r="H27" s="31">
        <f>18.83*0.5</f>
      </c>
      <c r="I27" s="21">
        <f>인당생산성!H43</f>
      </c>
      <c r="J27" s="156">
        <f>ROUNDUP(H27/I27,0)</f>
      </c>
      <c r="K27" s="156">
        <f>ROUNDUP(J27/T27,0)</f>
      </c>
      <c r="L27" s="30"/>
      <c r="M27" s="131">
        <f>작업조구성!$B$9</f>
      </c>
      <c r="N27" s="162">
        <f>CEILING(H28/($H$40*0.001)/200,1)</f>
      </c>
      <c r="O27" s="12">
        <f>M27*N27</f>
      </c>
      <c r="P27" s="128">
        <f>'부분별 보정계수설정'!$B$8</f>
      </c>
      <c r="Q27" s="131">
        <f>ROUND(O27*P27/M27, 0)*M27</f>
      </c>
      <c r="R27" s="30"/>
      <c r="S27" s="157"/>
      <c r="T27" s="158">
        <v>1</v>
      </c>
      <c r="U27" s="158">
        <f>ROUNDUP(H27/(I27*Q27),0)</f>
      </c>
      <c r="V27" s="140">
        <f>ROUNDUP(T27+X27, 0)</f>
      </c>
      <c r="W27" s="148">
        <f>ROUNDUP(U27+X27, 0)</f>
      </c>
      <c r="X27" s="140">
        <v>0.5</v>
      </c>
      <c r="Y27" s="11" t="s">
        <v>183</v>
      </c>
      <c r="Z27" s="6"/>
      <c r="AA27" s="199"/>
      <c r="AB27" s="199"/>
      <c r="AC27" s="142"/>
      <c r="AD27" s="6"/>
      <c r="AE27" s="15"/>
    </row>
    <row x14ac:dyDescent="0.25" r="28" customHeight="1" ht="16.5">
      <c r="A28" s="6"/>
      <c r="B28" s="11"/>
      <c r="C28" s="22"/>
      <c r="D28" s="23"/>
      <c r="E28" s="22"/>
      <c r="F28" s="24" t="s">
        <v>44</v>
      </c>
      <c r="G28" s="24" t="s">
        <v>19</v>
      </c>
      <c r="H28" s="25">
        <v>224</v>
      </c>
      <c r="I28" s="21">
        <f>인당생산성!H44</f>
      </c>
      <c r="J28" s="143">
        <f>K28*T28</f>
      </c>
      <c r="K28" s="143">
        <f>S28*6</f>
      </c>
      <c r="L28" s="24" t="s">
        <v>196</v>
      </c>
      <c r="M28" s="144">
        <v>4</v>
      </c>
      <c r="N28" s="145">
        <f>S28</f>
      </c>
      <c r="O28" s="144">
        <f>N28*M28</f>
      </c>
      <c r="P28" s="144">
        <v>1</v>
      </c>
      <c r="Q28" s="144">
        <f>O28*P28</f>
      </c>
      <c r="R28" s="24" t="s">
        <v>179</v>
      </c>
      <c r="S28" s="146">
        <f>CEILING(MIN(2, H28/'펌프카 부위별 타설량'!B7), 1)</f>
      </c>
      <c r="T28" s="147">
        <v>1</v>
      </c>
      <c r="U28" s="147">
        <f>T28</f>
      </c>
      <c r="V28" s="140">
        <f>ROUNDUP(T28+X28, 0)</f>
      </c>
      <c r="W28" s="148">
        <f>ROUNDUP(U28+X28, 0)</f>
      </c>
      <c r="X28" s="140">
        <v>2</v>
      </c>
      <c r="Y28" s="11" t="s">
        <v>180</v>
      </c>
      <c r="Z28" s="6"/>
      <c r="AA28" s="199"/>
      <c r="AB28" s="199"/>
      <c r="AC28" s="142"/>
      <c r="AD28" s="6"/>
      <c r="AE28" s="15"/>
    </row>
    <row x14ac:dyDescent="0.25" r="29" customHeight="1" ht="17.25">
      <c r="A29" s="6"/>
      <c r="B29" s="16" t="s">
        <v>50</v>
      </c>
      <c r="C29" s="17"/>
      <c r="D29" s="18">
        <f>층고!C8</f>
      </c>
      <c r="E29" s="17"/>
      <c r="F29" s="26" t="s">
        <v>28</v>
      </c>
      <c r="G29" s="26" t="s">
        <v>17</v>
      </c>
      <c r="H29" s="27">
        <v>50</v>
      </c>
      <c r="I29" s="21">
        <v>250</v>
      </c>
      <c r="J29" s="150"/>
      <c r="K29" s="150">
        <v>3</v>
      </c>
      <c r="L29" s="26"/>
      <c r="M29" s="151">
        <f>작업조구성!$B$10</f>
      </c>
      <c r="N29" s="152">
        <v>1</v>
      </c>
      <c r="O29" s="153">
        <f>M29*N29</f>
      </c>
      <c r="P29" s="153">
        <f>'부분별 보정계수설정'!$B$10</f>
      </c>
      <c r="Q29" s="151">
        <f>ROUND(O29*P29/M29, 0)*M29</f>
      </c>
      <c r="R29" s="26"/>
      <c r="S29" s="154"/>
      <c r="T29" s="155">
        <v>1</v>
      </c>
      <c r="U29" s="155">
        <f>MAX(1, CEILING(H29/(N29*작업조구성!$D$10), 1))</f>
      </c>
      <c r="V29" s="140">
        <f>ROUNDUP(T29+X29, 0)</f>
      </c>
      <c r="W29" s="148">
        <f>ROUNDUP(U29+X29, 0)</f>
      </c>
      <c r="X29" s="191">
        <v>1</v>
      </c>
      <c r="Y29" s="11" t="s">
        <v>183</v>
      </c>
      <c r="Z29" s="6"/>
      <c r="AA29" s="6"/>
      <c r="AB29" s="6"/>
      <c r="AC29" s="142"/>
      <c r="AD29" s="6"/>
      <c r="AE29" s="15"/>
    </row>
    <row x14ac:dyDescent="0.25" r="30" customHeight="1" ht="17.25">
      <c r="A30" s="6"/>
      <c r="B30" s="11"/>
      <c r="C30" s="28"/>
      <c r="D30" s="29"/>
      <c r="E30" s="28"/>
      <c r="F30" s="30" t="s">
        <v>29</v>
      </c>
      <c r="G30" s="30" t="s">
        <v>23</v>
      </c>
      <c r="H30" s="31">
        <f>9.93/2</f>
      </c>
      <c r="I30" s="21">
        <f>인당생산성!H46</f>
      </c>
      <c r="J30" s="156">
        <f>ROUNDUP(H30/I30,0)</f>
      </c>
      <c r="K30" s="156">
        <f>ROUNDUP(J30/T30,0)</f>
      </c>
      <c r="L30" s="30"/>
      <c r="M30" s="131">
        <f>작업조구성!$B$8</f>
      </c>
      <c r="N30" s="162">
        <f>CEILING(H32/(D29*0.001*25),1)</f>
      </c>
      <c r="O30" s="12">
        <f>M30*N30</f>
      </c>
      <c r="P30" s="128">
        <f>'부분별 보정계수설정'!$B$9</f>
      </c>
      <c r="Q30" s="131">
        <f>ROUND(O30*P30/M30, 0)*M30</f>
      </c>
      <c r="R30" s="30"/>
      <c r="S30" s="157"/>
      <c r="T30" s="158">
        <v>1</v>
      </c>
      <c r="U30" s="158">
        <f>ROUNDUP(H30/(I30*Q30),0)</f>
      </c>
      <c r="V30" s="140">
        <f>ROUNDUP(T30+X30, 0)</f>
      </c>
      <c r="W30" s="148">
        <f>ROUNDUP(U30+X30, 0)</f>
      </c>
      <c r="X30" s="140">
        <v>0.5</v>
      </c>
      <c r="Y30" s="11" t="s">
        <v>183</v>
      </c>
      <c r="Z30" s="6"/>
      <c r="AA30" s="6"/>
      <c r="AB30" s="6"/>
      <c r="AC30" s="142"/>
      <c r="AD30" s="6"/>
      <c r="AE30" s="15"/>
    </row>
    <row x14ac:dyDescent="0.25" r="31" customHeight="1" ht="17.25">
      <c r="A31" s="6"/>
      <c r="B31" s="11"/>
      <c r="C31" s="28"/>
      <c r="D31" s="29"/>
      <c r="E31" s="28"/>
      <c r="F31" s="19" t="s">
        <v>42</v>
      </c>
      <c r="G31" s="19" t="s">
        <v>17</v>
      </c>
      <c r="H31" s="21">
        <v>279.79</v>
      </c>
      <c r="I31" s="21">
        <f>인당생산성!H46</f>
      </c>
      <c r="J31" s="136">
        <f>ROUNDUP(H31/I31,0)</f>
      </c>
      <c r="K31" s="136">
        <f>ROUNDUP(J31/T31,0)</f>
      </c>
      <c r="L31" s="19"/>
      <c r="M31" s="131">
        <f>작업조구성!$B$4</f>
      </c>
      <c r="N31" s="162"/>
      <c r="O31" s="12">
        <f>M31*N31</f>
      </c>
      <c r="P31" s="128">
        <f>'부분별 보정계수설정'!$B$9</f>
      </c>
      <c r="Q31" s="131">
        <f>ROUND(O31*P31/M31, 0)*M31</f>
      </c>
      <c r="R31" s="19"/>
      <c r="S31" s="137"/>
      <c r="T31" s="138">
        <v>6</v>
      </c>
      <c r="U31" s="139">
        <f>ROUNDUP(H31/(I31*Q31),0)</f>
      </c>
      <c r="V31" s="140">
        <f>ROUNDUP(T31+X31, 0)</f>
      </c>
      <c r="W31" s="141">
        <f>ROUNDUP(U31+X31, 0)</f>
      </c>
      <c r="X31" s="140">
        <v>0.5</v>
      </c>
      <c r="Y31" s="11" t="s">
        <v>183</v>
      </c>
      <c r="Z31" s="6"/>
      <c r="AA31" s="6"/>
      <c r="AB31" s="6"/>
      <c r="AC31" s="142"/>
      <c r="AD31" s="6"/>
      <c r="AE31" s="15"/>
    </row>
    <row x14ac:dyDescent="0.25" r="32" customHeight="1" ht="17.25">
      <c r="A32" s="6"/>
      <c r="B32" s="11"/>
      <c r="C32" s="28"/>
      <c r="D32" s="29"/>
      <c r="E32" s="28"/>
      <c r="F32" s="19" t="s">
        <v>43</v>
      </c>
      <c r="G32" s="19" t="s">
        <v>17</v>
      </c>
      <c r="H32" s="21">
        <v>279.79</v>
      </c>
      <c r="I32" s="21">
        <f>인당생산성!H47</f>
      </c>
      <c r="J32" s="136">
        <f>ROUNDUP(H32/I32,0)</f>
      </c>
      <c r="K32" s="136">
        <f>ROUNDUP(J32/T32,0)</f>
      </c>
      <c r="L32" s="19"/>
      <c r="M32" s="131">
        <f>작업조구성!$B$4</f>
      </c>
      <c r="N32" s="162"/>
      <c r="O32" s="12">
        <f>M32*N32</f>
      </c>
      <c r="P32" s="128">
        <f>'부분별 보정계수설정'!$B$9</f>
      </c>
      <c r="Q32" s="131">
        <f>ROUND(O32*P32/M32, 0)*M32</f>
      </c>
      <c r="R32" s="19"/>
      <c r="S32" s="137"/>
      <c r="T32" s="138">
        <v>6</v>
      </c>
      <c r="U32" s="139">
        <f>ROUNDUP(H32/(I32*Q32),0)</f>
      </c>
      <c r="V32" s="140">
        <f>ROUNDUP(T32+X32, 0)</f>
      </c>
      <c r="W32" s="141">
        <f>ROUNDUP(U32+X32, 0)</f>
      </c>
      <c r="X32" s="140">
        <v>0.5</v>
      </c>
      <c r="Y32" s="11" t="s">
        <v>183</v>
      </c>
      <c r="Z32" s="6"/>
      <c r="AA32" s="6"/>
      <c r="AB32" s="6"/>
      <c r="AC32" s="142"/>
      <c r="AD32" s="6"/>
      <c r="AE32" s="15"/>
    </row>
    <row x14ac:dyDescent="0.25" r="33" customHeight="1" ht="17.25">
      <c r="A33" s="6"/>
      <c r="B33" s="11"/>
      <c r="C33" s="28"/>
      <c r="D33" s="29"/>
      <c r="E33" s="28"/>
      <c r="F33" s="30" t="s">
        <v>32</v>
      </c>
      <c r="G33" s="30" t="s">
        <v>23</v>
      </c>
      <c r="H33" s="31">
        <f>9.93/2</f>
      </c>
      <c r="I33" s="21">
        <f>인당생산성!H48</f>
      </c>
      <c r="J33" s="156">
        <f>ROUNDUP(H33/I33,0)</f>
      </c>
      <c r="K33" s="156">
        <f>ROUNDUP(J33/T33,0)</f>
      </c>
      <c r="L33" s="30"/>
      <c r="M33" s="131">
        <f>작업조구성!$B$9</f>
      </c>
      <c r="N33" s="162">
        <f>CEILING(H34/($H$40*0.001)/200,1)</f>
      </c>
      <c r="O33" s="12">
        <f>M33*N33</f>
      </c>
      <c r="P33" s="128">
        <f>'부분별 보정계수설정'!$B$9</f>
      </c>
      <c r="Q33" s="131">
        <f>ROUND(O33*P33/M33, 0)*M33</f>
      </c>
      <c r="R33" s="30"/>
      <c r="S33" s="157"/>
      <c r="T33" s="158">
        <v>1</v>
      </c>
      <c r="U33" s="158">
        <f>ROUNDUP(H33/(I33*Q33),0)</f>
      </c>
      <c r="V33" s="140">
        <f>ROUNDUP(T33+X33, 0)</f>
      </c>
      <c r="W33" s="148">
        <f>ROUNDUP(U33+X33, 0)</f>
      </c>
      <c r="X33" s="140">
        <v>0.5</v>
      </c>
      <c r="Y33" s="11" t="s">
        <v>183</v>
      </c>
      <c r="Z33" s="6"/>
      <c r="AA33" s="6"/>
      <c r="AB33" s="6"/>
      <c r="AC33" s="142"/>
      <c r="AD33" s="6"/>
      <c r="AE33" s="15"/>
    </row>
    <row x14ac:dyDescent="0.25" r="34" customHeight="1" ht="17.25">
      <c r="A34" s="6"/>
      <c r="B34" s="11"/>
      <c r="C34" s="28"/>
      <c r="D34" s="29"/>
      <c r="E34" s="28"/>
      <c r="F34" s="62" t="s">
        <v>44</v>
      </c>
      <c r="G34" s="62" t="s">
        <v>19</v>
      </c>
      <c r="H34" s="200">
        <v>102</v>
      </c>
      <c r="I34" s="201">
        <f>인당생산성!H49</f>
      </c>
      <c r="J34" s="202">
        <f>K34*T34</f>
      </c>
      <c r="K34" s="202">
        <f>S34*4</f>
      </c>
      <c r="L34" s="62" t="s">
        <v>197</v>
      </c>
      <c r="M34" s="203">
        <v>4</v>
      </c>
      <c r="N34" s="204">
        <f>S34</f>
      </c>
      <c r="O34" s="203">
        <f>N34*M34</f>
      </c>
      <c r="P34" s="203">
        <v>1</v>
      </c>
      <c r="Q34" s="203">
        <f>O34*P34</f>
      </c>
      <c r="R34" s="62" t="s">
        <v>179</v>
      </c>
      <c r="S34" s="205">
        <f>CEILING(MIN(2, H34/'펌프카 부위별 타설량'!B8), 1)</f>
      </c>
      <c r="T34" s="206">
        <v>1</v>
      </c>
      <c r="U34" s="206">
        <f>T34</f>
      </c>
      <c r="V34" s="207">
        <f>ROUNDUP(T34+X34, 0)</f>
      </c>
      <c r="W34" s="208">
        <f>ROUNDUP(U34+X34, 0)</f>
      </c>
      <c r="X34" s="207">
        <v>2</v>
      </c>
      <c r="Y34" s="135" t="s">
        <v>180</v>
      </c>
      <c r="Z34" s="6"/>
      <c r="AA34" s="6"/>
      <c r="AB34" s="6"/>
      <c r="AC34" s="142"/>
      <c r="AD34" s="6"/>
      <c r="AE34" s="15"/>
    </row>
    <row x14ac:dyDescent="0.25" r="35" customHeight="1" ht="17.25">
      <c r="A35" s="6"/>
      <c r="B35" s="11"/>
      <c r="C35" s="22"/>
      <c r="D35" s="23"/>
      <c r="E35" s="63"/>
      <c r="F35" s="43" t="s">
        <v>35</v>
      </c>
      <c r="G35" s="43" t="s">
        <v>17</v>
      </c>
      <c r="H35" s="40">
        <f>(H32)*2</f>
      </c>
      <c r="I35" s="21">
        <v>50</v>
      </c>
      <c r="J35" s="169">
        <f>ROUNDUP(H35/I35,0)</f>
      </c>
      <c r="K35" s="169">
        <f>ROUNDUP(J35/T35,0)</f>
      </c>
      <c r="L35" s="43"/>
      <c r="M35" s="12">
        <f>작업조구성!$B$5</f>
      </c>
      <c r="N35" s="162"/>
      <c r="O35" s="12">
        <f>M35*N35</f>
      </c>
      <c r="P35" s="128">
        <f>'부분별 보정계수설정'!$B$4</f>
      </c>
      <c r="Q35" s="131">
        <f>ROUND(O35*P35/M35, 0)*M35</f>
      </c>
      <c r="R35" s="43"/>
      <c r="S35" s="170"/>
      <c r="T35" s="171">
        <v>1</v>
      </c>
      <c r="U35" s="172">
        <f>MAX(1, CEILING(H35/(N35*작업조구성!$D$10), 1))</f>
      </c>
      <c r="V35" s="140">
        <f>ROUNDUP(T35+X35, 0)</f>
      </c>
      <c r="W35" s="141">
        <f>ROUNDUP(U35+X35, 0)</f>
      </c>
      <c r="X35" s="140"/>
      <c r="Y35" s="11"/>
      <c r="Z35" s="6"/>
      <c r="AA35" s="6"/>
      <c r="AB35" s="6"/>
      <c r="AC35" s="142"/>
      <c r="AD35" s="6"/>
      <c r="AE35" s="15"/>
    </row>
    <row x14ac:dyDescent="0.25" r="36" customHeight="1" ht="17.25">
      <c r="A36" s="6"/>
      <c r="B36" s="6"/>
      <c r="C36" s="6"/>
      <c r="D36" s="7"/>
      <c r="E36" s="6"/>
      <c r="F36" s="6"/>
      <c r="G36" s="6"/>
      <c r="H36" s="7"/>
      <c r="I36" s="60"/>
      <c r="J36" s="173"/>
      <c r="K36" s="116"/>
      <c r="L36" s="6"/>
      <c r="M36" s="174"/>
      <c r="N36" s="175"/>
      <c r="O36" s="174"/>
      <c r="P36" s="176"/>
      <c r="Q36" s="174"/>
      <c r="R36" s="6"/>
      <c r="S36" s="60"/>
      <c r="T36" s="116"/>
      <c r="U36" s="116"/>
      <c r="V36" s="116"/>
      <c r="W36" s="116"/>
      <c r="X36" s="116"/>
      <c r="Y36" s="6"/>
      <c r="Z36" s="6"/>
      <c r="AA36" s="6"/>
      <c r="AB36" s="6"/>
      <c r="AC36" s="6"/>
      <c r="AD36" s="6"/>
      <c r="AE36" s="15"/>
    </row>
    <row x14ac:dyDescent="0.25" r="37" customHeight="1" ht="17.25">
      <c r="A37" s="6"/>
      <c r="B37" s="6"/>
      <c r="C37" s="6"/>
      <c r="D37" s="7"/>
      <c r="E37" s="6"/>
      <c r="F37" s="6"/>
      <c r="G37" s="107" t="s">
        <v>177</v>
      </c>
      <c r="H37" s="142">
        <v>1.2</v>
      </c>
      <c r="I37" s="60"/>
      <c r="J37" s="116"/>
      <c r="K37" s="180"/>
      <c r="L37" s="181"/>
      <c r="M37" s="174"/>
      <c r="N37" s="175"/>
      <c r="O37" s="174"/>
      <c r="P37" s="176"/>
      <c r="Q37" s="174"/>
      <c r="R37" s="6"/>
      <c r="S37" s="60"/>
      <c r="T37" s="116"/>
      <c r="U37" s="116"/>
      <c r="V37" s="116"/>
      <c r="W37" s="116"/>
      <c r="X37" s="116"/>
      <c r="Y37" s="6"/>
      <c r="Z37" s="6"/>
      <c r="AA37" s="6"/>
      <c r="AB37" s="6"/>
      <c r="AC37" s="6"/>
      <c r="AD37" s="6"/>
      <c r="AE37" s="15"/>
    </row>
    <row x14ac:dyDescent="0.25" r="38" customHeight="1" ht="17.25">
      <c r="A38" s="6"/>
      <c r="B38" s="6"/>
      <c r="C38" s="6"/>
      <c r="D38" s="7"/>
      <c r="E38" s="6"/>
      <c r="F38" s="6"/>
      <c r="G38" s="107" t="s">
        <v>181</v>
      </c>
      <c r="H38" s="149">
        <v>250</v>
      </c>
      <c r="I38" s="60"/>
      <c r="J38" s="116"/>
      <c r="K38" s="116"/>
      <c r="L38" s="6"/>
      <c r="M38" s="7"/>
      <c r="N38" s="117"/>
      <c r="O38" s="7"/>
      <c r="P38" s="60"/>
      <c r="Q38" s="7"/>
      <c r="R38" s="6"/>
      <c r="S38" s="60"/>
      <c r="T38" s="116"/>
      <c r="U38" s="116"/>
      <c r="V38" s="116"/>
      <c r="W38" s="116"/>
      <c r="X38" s="116"/>
      <c r="Y38" s="6"/>
      <c r="Z38" s="6"/>
      <c r="AA38" s="6"/>
      <c r="AB38" s="6"/>
      <c r="AC38" s="6"/>
      <c r="AD38" s="6"/>
      <c r="AE38" s="15"/>
    </row>
    <row x14ac:dyDescent="0.25" r="39" customHeight="1" ht="17.25">
      <c r="A39" s="6"/>
      <c r="B39" s="6"/>
      <c r="C39" s="6"/>
      <c r="D39" s="7"/>
      <c r="E39" s="6"/>
      <c r="F39" s="6"/>
      <c r="G39" s="107" t="s">
        <v>182</v>
      </c>
      <c r="H39" s="149">
        <v>250</v>
      </c>
      <c r="I39" s="60"/>
      <c r="J39" s="116"/>
      <c r="K39" s="116"/>
      <c r="L39" s="6"/>
      <c r="M39" s="7"/>
      <c r="N39" s="117"/>
      <c r="O39" s="7"/>
      <c r="P39" s="60"/>
      <c r="Q39" s="7"/>
      <c r="R39" s="6"/>
      <c r="S39" s="60"/>
      <c r="T39" s="116"/>
      <c r="U39" s="116"/>
      <c r="V39" s="116"/>
      <c r="W39" s="116"/>
      <c r="X39" s="116"/>
      <c r="Y39" s="6"/>
      <c r="Z39" s="6"/>
      <c r="AA39" s="6"/>
      <c r="AB39" s="6"/>
      <c r="AC39" s="6"/>
      <c r="AD39" s="6"/>
      <c r="AE39" s="15"/>
    </row>
    <row x14ac:dyDescent="0.25" r="40" customHeight="1" ht="17.25">
      <c r="A40" s="6"/>
      <c r="B40" s="6"/>
      <c r="C40" s="6"/>
      <c r="D40" s="7"/>
      <c r="E40" s="6"/>
      <c r="F40" s="6"/>
      <c r="G40" s="107" t="s">
        <v>184</v>
      </c>
      <c r="H40" s="149">
        <v>250</v>
      </c>
      <c r="I40" s="60"/>
      <c r="J40" s="116"/>
      <c r="K40" s="116"/>
      <c r="L40" s="6"/>
      <c r="M40" s="7"/>
      <c r="N40" s="117"/>
      <c r="O40" s="7"/>
      <c r="P40" s="60"/>
      <c r="Q40" s="7"/>
      <c r="R40" s="6"/>
      <c r="S40" s="60"/>
      <c r="T40" s="116"/>
      <c r="U40" s="116"/>
      <c r="V40" s="116"/>
      <c r="W40" s="116"/>
      <c r="X40" s="116"/>
      <c r="Y40" s="6"/>
      <c r="Z40" s="183"/>
      <c r="AA40" s="183"/>
      <c r="AB40" s="6"/>
      <c r="AC40" s="6"/>
      <c r="AD40" s="6"/>
      <c r="AE40" s="15"/>
    </row>
    <row x14ac:dyDescent="0.25" r="41" customHeight="1" ht="17.25" customFormat="1" s="3">
      <c r="A41" s="15"/>
      <c r="B41" s="15"/>
      <c r="C41" s="15"/>
      <c r="D41" s="177"/>
      <c r="E41" s="15"/>
      <c r="F41" s="15"/>
      <c r="G41" s="15"/>
      <c r="H41" s="177"/>
      <c r="I41" s="178"/>
      <c r="J41" s="179"/>
      <c r="K41" s="179"/>
      <c r="L41" s="15"/>
      <c r="M41" s="177"/>
      <c r="N41" s="182"/>
      <c r="O41" s="177"/>
      <c r="P41" s="178"/>
      <c r="Q41" s="177"/>
      <c r="R41" s="15"/>
      <c r="S41" s="178"/>
      <c r="T41" s="179"/>
      <c r="U41" s="179"/>
      <c r="V41" s="179"/>
      <c r="W41" s="179"/>
      <c r="X41" s="179"/>
      <c r="Y41" s="15"/>
      <c r="Z41" s="181"/>
      <c r="AA41" s="181"/>
      <c r="AB41" s="15"/>
      <c r="AC41" s="15"/>
      <c r="AD41" s="15"/>
      <c r="AE41" s="15"/>
    </row>
    <row x14ac:dyDescent="0.25" r="42" customHeight="1" ht="17.25" customFormat="1" s="3">
      <c r="A42" s="15"/>
      <c r="B42" s="15"/>
      <c r="C42" s="15"/>
      <c r="D42" s="177"/>
      <c r="E42" s="15"/>
      <c r="F42" s="15"/>
      <c r="G42" s="15"/>
      <c r="H42" s="177"/>
      <c r="I42" s="178"/>
      <c r="J42" s="179"/>
      <c r="K42" s="179"/>
      <c r="L42" s="15"/>
      <c r="M42" s="177"/>
      <c r="N42" s="182"/>
      <c r="O42" s="177"/>
      <c r="P42" s="178"/>
      <c r="Q42" s="177"/>
      <c r="R42" s="15"/>
      <c r="S42" s="178"/>
      <c r="T42" s="179"/>
      <c r="U42" s="179"/>
      <c r="V42" s="179"/>
      <c r="W42" s="179"/>
      <c r="X42" s="179"/>
      <c r="Y42" s="15"/>
      <c r="Z42" s="181"/>
      <c r="AA42" s="181"/>
      <c r="AB42" s="15"/>
      <c r="AC42" s="15"/>
      <c r="AD42" s="184"/>
      <c r="AE42" s="184"/>
    </row>
    <row x14ac:dyDescent="0.25" r="43" customHeight="1" ht="17.25" customFormat="1" s="3">
      <c r="A43" s="15"/>
      <c r="B43" s="15"/>
      <c r="C43" s="15"/>
      <c r="D43" s="177"/>
      <c r="E43" s="15"/>
      <c r="F43" s="15"/>
      <c r="G43" s="15"/>
      <c r="H43" s="177"/>
      <c r="I43" s="178"/>
      <c r="J43" s="179"/>
      <c r="K43" s="179"/>
      <c r="L43" s="15"/>
      <c r="M43" s="177"/>
      <c r="N43" s="182"/>
      <c r="O43" s="177"/>
      <c r="P43" s="178"/>
      <c r="Q43" s="177"/>
      <c r="R43" s="15"/>
      <c r="S43" s="178"/>
      <c r="T43" s="179"/>
      <c r="U43" s="179"/>
      <c r="V43" s="179"/>
      <c r="W43" s="179"/>
      <c r="X43" s="179"/>
      <c r="Y43" s="15"/>
      <c r="Z43" s="181"/>
      <c r="AA43" s="181"/>
      <c r="AB43" s="15"/>
      <c r="AC43" s="15"/>
      <c r="AD43" s="15"/>
      <c r="AE43" s="15"/>
    </row>
    <row x14ac:dyDescent="0.25" r="44" customHeight="1" ht="17.25" customFormat="1" s="3">
      <c r="A44" s="15"/>
      <c r="B44" s="15"/>
      <c r="C44" s="15"/>
      <c r="D44" s="177"/>
      <c r="E44" s="15"/>
      <c r="F44" s="15"/>
      <c r="G44" s="15"/>
      <c r="H44" s="177"/>
      <c r="I44" s="178"/>
      <c r="J44" s="179"/>
      <c r="K44" s="179"/>
      <c r="L44" s="15"/>
      <c r="M44" s="177"/>
      <c r="N44" s="182"/>
      <c r="O44" s="177"/>
      <c r="P44" s="178"/>
      <c r="Q44" s="177"/>
      <c r="R44" s="15"/>
      <c r="S44" s="178"/>
      <c r="T44" s="179"/>
      <c r="U44" s="179"/>
      <c r="V44" s="179"/>
      <c r="W44" s="179"/>
      <c r="X44" s="179"/>
      <c r="Y44" s="15"/>
      <c r="Z44" s="181"/>
      <c r="AA44" s="181"/>
      <c r="AB44" s="15"/>
      <c r="AC44" s="15"/>
      <c r="AD44" s="15"/>
      <c r="AE44" s="15"/>
    </row>
    <row x14ac:dyDescent="0.25" r="45" customHeight="1" ht="17.25" customFormat="1" s="3">
      <c r="A45" s="15"/>
      <c r="B45" s="15"/>
      <c r="C45" s="15"/>
      <c r="D45" s="177"/>
      <c r="E45" s="15"/>
      <c r="F45" s="15"/>
      <c r="G45" s="15"/>
      <c r="H45" s="177"/>
      <c r="I45" s="178"/>
      <c r="J45" s="179"/>
      <c r="K45" s="179"/>
      <c r="L45" s="15"/>
      <c r="M45" s="177"/>
      <c r="N45" s="182"/>
      <c r="O45" s="177"/>
      <c r="P45" s="178"/>
      <c r="Q45" s="177"/>
      <c r="R45" s="15"/>
      <c r="S45" s="178"/>
      <c r="T45" s="179"/>
      <c r="U45" s="179"/>
      <c r="V45" s="179"/>
      <c r="W45" s="179"/>
      <c r="X45" s="179"/>
      <c r="Y45" s="15"/>
      <c r="Z45" s="181"/>
      <c r="AA45" s="181"/>
      <c r="AB45" s="15"/>
      <c r="AC45" s="15"/>
      <c r="AD45" s="15"/>
      <c r="AE45" s="15"/>
    </row>
    <row x14ac:dyDescent="0.25" r="46" customHeight="1" ht="17.25" customFormat="1" s="3">
      <c r="A46" s="15"/>
      <c r="B46" s="15"/>
      <c r="C46" s="15"/>
      <c r="D46" s="177"/>
      <c r="E46" s="15"/>
      <c r="F46" s="15"/>
      <c r="G46" s="15"/>
      <c r="H46" s="177"/>
      <c r="I46" s="178"/>
      <c r="J46" s="179"/>
      <c r="K46" s="179"/>
      <c r="L46" s="15"/>
      <c r="M46" s="177"/>
      <c r="N46" s="182"/>
      <c r="O46" s="177"/>
      <c r="P46" s="178"/>
      <c r="Q46" s="177"/>
      <c r="R46" s="15"/>
      <c r="S46" s="178"/>
      <c r="T46" s="179"/>
      <c r="U46" s="179"/>
      <c r="V46" s="179"/>
      <c r="W46" s="179"/>
      <c r="X46" s="179"/>
      <c r="Y46" s="15"/>
      <c r="Z46" s="181"/>
      <c r="AA46" s="181"/>
      <c r="AB46" s="15"/>
      <c r="AC46" s="15"/>
      <c r="AD46" s="15"/>
      <c r="AE46" s="15"/>
    </row>
    <row x14ac:dyDescent="0.25" r="47" customHeight="1" ht="17.25" customFormat="1" s="3">
      <c r="A47" s="15"/>
      <c r="B47" s="15"/>
      <c r="C47" s="15"/>
      <c r="D47" s="177"/>
      <c r="E47" s="15"/>
      <c r="F47" s="15"/>
      <c r="G47" s="15"/>
      <c r="H47" s="177"/>
      <c r="I47" s="178"/>
      <c r="J47" s="179"/>
      <c r="K47" s="179"/>
      <c r="L47" s="15"/>
      <c r="M47" s="177"/>
      <c r="N47" s="182"/>
      <c r="O47" s="177"/>
      <c r="P47" s="178"/>
      <c r="Q47" s="177"/>
      <c r="R47" s="15"/>
      <c r="S47" s="178"/>
      <c r="T47" s="179"/>
      <c r="U47" s="179"/>
      <c r="V47" s="179"/>
      <c r="W47" s="179"/>
      <c r="X47" s="179"/>
      <c r="Y47" s="15"/>
      <c r="Z47" s="181"/>
      <c r="AA47" s="181"/>
      <c r="AB47" s="15"/>
      <c r="AC47" s="15"/>
      <c r="AD47" s="15"/>
      <c r="AE47" s="15"/>
    </row>
    <row x14ac:dyDescent="0.25" r="48" customHeight="1" ht="17.25" customFormat="1" s="3">
      <c r="A48" s="15"/>
      <c r="B48" s="15"/>
      <c r="C48" s="15"/>
      <c r="D48" s="177"/>
      <c r="E48" s="15"/>
      <c r="F48" s="15"/>
      <c r="G48" s="15"/>
      <c r="H48" s="177"/>
      <c r="I48" s="178"/>
      <c r="J48" s="179"/>
      <c r="K48" s="179"/>
      <c r="L48" s="15"/>
      <c r="M48" s="177"/>
      <c r="N48" s="182"/>
      <c r="O48" s="177"/>
      <c r="P48" s="178"/>
      <c r="Q48" s="177"/>
      <c r="R48" s="15"/>
      <c r="S48" s="178"/>
      <c r="T48" s="179"/>
      <c r="U48" s="179"/>
      <c r="V48" s="179"/>
      <c r="W48" s="179"/>
      <c r="X48" s="179"/>
      <c r="Y48" s="15"/>
      <c r="Z48" s="181"/>
      <c r="AA48" s="181"/>
      <c r="AB48" s="15"/>
      <c r="AC48" s="15"/>
      <c r="AD48" s="15"/>
      <c r="AE48" s="15"/>
    </row>
    <row x14ac:dyDescent="0.25" r="49" customHeight="1" ht="17.25" customFormat="1" s="3">
      <c r="A49" s="15"/>
      <c r="B49" s="15"/>
      <c r="C49" s="15"/>
      <c r="D49" s="177"/>
      <c r="E49" s="15"/>
      <c r="F49" s="15"/>
      <c r="G49" s="15"/>
      <c r="H49" s="177"/>
      <c r="I49" s="178"/>
      <c r="J49" s="179"/>
      <c r="K49" s="179"/>
      <c r="L49" s="15"/>
      <c r="M49" s="177"/>
      <c r="N49" s="182"/>
      <c r="O49" s="177"/>
      <c r="P49" s="178"/>
      <c r="Q49" s="177"/>
      <c r="R49" s="15"/>
      <c r="S49" s="178"/>
      <c r="T49" s="179"/>
      <c r="U49" s="179"/>
      <c r="V49" s="179"/>
      <c r="W49" s="179"/>
      <c r="X49" s="179"/>
      <c r="Y49" s="15"/>
      <c r="Z49" s="181"/>
      <c r="AA49" s="181"/>
      <c r="AB49" s="15"/>
      <c r="AC49" s="15"/>
      <c r="AD49" s="15"/>
      <c r="AE49" s="15"/>
    </row>
  </sheetData>
  <mergeCells count="23">
    <mergeCell ref="J2:K2"/>
    <mergeCell ref="N2:O2"/>
    <mergeCell ref="P2:Q2"/>
    <mergeCell ref="B4:B10"/>
    <mergeCell ref="C4:C10"/>
    <mergeCell ref="D4:D10"/>
    <mergeCell ref="E4:E10"/>
    <mergeCell ref="B11:B16"/>
    <mergeCell ref="C11:C16"/>
    <mergeCell ref="D11:D16"/>
    <mergeCell ref="E11:E16"/>
    <mergeCell ref="B17:B22"/>
    <mergeCell ref="C17:C22"/>
    <mergeCell ref="D17:D22"/>
    <mergeCell ref="E17:E22"/>
    <mergeCell ref="B23:B28"/>
    <mergeCell ref="C23:C28"/>
    <mergeCell ref="D23:D28"/>
    <mergeCell ref="E23:E28"/>
    <mergeCell ref="B29:B35"/>
    <mergeCell ref="C29:C35"/>
    <mergeCell ref="D29:D35"/>
    <mergeCell ref="E29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43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9" width="12.43357142857143" customWidth="1" bestFit="1"/>
    <col min="2" max="2" style="9" width="7.147857142857143" customWidth="1" bestFit="1"/>
    <col min="3" max="3" style="9" width="7.147857142857143" customWidth="1" bestFit="1"/>
    <col min="4" max="4" style="9" width="5.2907142857142855" customWidth="1" bestFit="1"/>
    <col min="5" max="5" style="10" width="5.862142857142857" customWidth="1" bestFit="1"/>
    <col min="6" max="6" style="9" width="5.862142857142857" customWidth="1" bestFit="1"/>
    <col min="7" max="7" style="9" width="21.290714285714284" customWidth="1" bestFit="1"/>
    <col min="8" max="8" style="9" width="13.43357142857143" customWidth="1" bestFit="1"/>
    <col min="9" max="9" style="67" width="12.43357142857143" customWidth="1" bestFit="1"/>
    <col min="10" max="10" style="67" width="16.576428571428572" customWidth="1" bestFit="1"/>
    <col min="11" max="11" style="185" width="11.576428571428572" customWidth="1" bestFit="1"/>
    <col min="12" max="12" style="185" width="12.719285714285713" customWidth="1" bestFit="1"/>
    <col min="13" max="13" style="9" width="26.862142857142857" customWidth="1" bestFit="1"/>
    <col min="14" max="14" style="10" width="15.862142857142858" customWidth="1" bestFit="1"/>
    <col min="15" max="15" style="186" width="11.576428571428572" customWidth="1" bestFit="1"/>
    <col min="16" max="16" style="10" width="9.576428571428572" customWidth="1" bestFit="1"/>
    <col min="17" max="17" style="67" width="9.005" customWidth="1" bestFit="1"/>
    <col min="18" max="18" style="10" width="13.005" customWidth="1" bestFit="1"/>
    <col min="19" max="19" style="9" width="10.576428571428572" customWidth="1" bestFit="1"/>
    <col min="20" max="20" style="67" width="7.576428571428571" customWidth="1" bestFit="1"/>
    <col min="21" max="21" style="185" width="9.576428571428572" customWidth="1" bestFit="1"/>
    <col min="22" max="22" style="185" width="13.719285714285713" customWidth="1" bestFit="1"/>
    <col min="23" max="23" style="185" width="10.43357142857143" customWidth="1" bestFit="1"/>
    <col min="24" max="24" style="185" width="12.147857142857141" customWidth="1" bestFit="1"/>
    <col min="25" max="25" style="185" width="12.147857142857141" customWidth="1" bestFit="1"/>
    <col min="26" max="26" style="9" width="16.576428571428572" customWidth="1" bestFit="1"/>
    <col min="27" max="27" style="9" width="16.576428571428572" customWidth="1" bestFit="1"/>
    <col min="28" max="28" style="9" width="20.719285714285714" customWidth="1" bestFit="1"/>
    <col min="29" max="29" style="10" width="14.43357142857143" customWidth="1" bestFit="1"/>
    <col min="30" max="30" style="9" width="11.862142857142858" customWidth="1" bestFit="1"/>
    <col min="31" max="31" style="9" width="9.290714285714287" customWidth="1" bestFit="1"/>
    <col min="32" max="32" style="66" width="9.290714285714287" customWidth="1" bestFit="1"/>
    <col min="33" max="33" style="9" width="12.43357142857143" customWidth="1" bestFit="1"/>
    <col min="34" max="34" style="9" width="13.290714285714287" customWidth="1" bestFit="1"/>
    <col min="35" max="35" style="9" width="13.719285714285713" customWidth="1" bestFit="1"/>
    <col min="36" max="36" style="9" width="13.43357142857143" customWidth="1" bestFit="1"/>
    <col min="37" max="37" style="9" width="16.576428571428572" customWidth="1" bestFit="1"/>
  </cols>
  <sheetData>
    <row x14ac:dyDescent="0.25" r="1" customHeight="1" ht="17.25">
      <c r="A1" s="6"/>
      <c r="B1" s="114"/>
      <c r="C1" s="114"/>
      <c r="D1" s="114"/>
      <c r="E1" s="115"/>
      <c r="F1" s="114"/>
      <c r="G1" s="6"/>
      <c r="H1" s="6"/>
      <c r="I1" s="60"/>
      <c r="J1" s="60"/>
      <c r="K1" s="116"/>
      <c r="L1" s="116"/>
      <c r="M1" s="6"/>
      <c r="N1" s="7"/>
      <c r="O1" s="117"/>
      <c r="P1" s="7"/>
      <c r="Q1" s="60"/>
      <c r="R1" s="7"/>
      <c r="S1" s="6"/>
      <c r="T1" s="60"/>
      <c r="U1" s="116"/>
      <c r="V1" s="116"/>
      <c r="W1" s="116"/>
      <c r="X1" s="116"/>
      <c r="Y1" s="116"/>
      <c r="Z1" s="6"/>
      <c r="AA1" s="6"/>
      <c r="AB1" s="6"/>
      <c r="AC1" s="7"/>
      <c r="AD1" s="6"/>
      <c r="AE1" s="6"/>
      <c r="AF1" s="15"/>
      <c r="AG1" s="6"/>
      <c r="AH1" s="6"/>
      <c r="AI1" s="6"/>
      <c r="AJ1" s="6"/>
      <c r="AK1" s="6"/>
    </row>
    <row x14ac:dyDescent="0.25" r="2" customHeight="1" ht="17.25">
      <c r="A2" s="6"/>
      <c r="B2" s="6"/>
      <c r="C2" s="6"/>
      <c r="D2" s="6"/>
      <c r="E2" s="7"/>
      <c r="F2" s="6"/>
      <c r="G2" s="6"/>
      <c r="H2" s="6"/>
      <c r="I2" s="60"/>
      <c r="J2" s="118"/>
      <c r="K2" s="119" t="s">
        <v>156</v>
      </c>
      <c r="L2" s="119"/>
      <c r="M2" s="120"/>
      <c r="N2" s="121"/>
      <c r="O2" s="122" t="s">
        <v>157</v>
      </c>
      <c r="P2" s="123"/>
      <c r="Q2" s="124" t="s">
        <v>158</v>
      </c>
      <c r="R2" s="123"/>
      <c r="S2" s="120"/>
      <c r="T2" s="118"/>
      <c r="U2" s="125" t="s">
        <v>156</v>
      </c>
      <c r="V2" s="126"/>
      <c r="W2" s="125" t="s">
        <v>156</v>
      </c>
      <c r="X2" s="125"/>
      <c r="Y2" s="116"/>
      <c r="Z2" s="6"/>
      <c r="AA2" s="6"/>
      <c r="AB2" s="6"/>
      <c r="AC2" s="7"/>
      <c r="AD2" s="6"/>
      <c r="AE2" s="6"/>
      <c r="AF2" s="15"/>
      <c r="AG2" s="6"/>
      <c r="AH2" s="6"/>
      <c r="AI2" s="6"/>
      <c r="AJ2" s="6"/>
      <c r="AK2" s="6"/>
    </row>
    <row x14ac:dyDescent="0.25" r="3" customHeight="1" ht="17.25">
      <c r="A3" s="6"/>
      <c r="B3" s="11" t="s">
        <v>9</v>
      </c>
      <c r="C3" s="11"/>
      <c r="D3" s="11" t="s">
        <v>10</v>
      </c>
      <c r="E3" s="12" t="s">
        <v>11</v>
      </c>
      <c r="F3" s="11" t="s">
        <v>12</v>
      </c>
      <c r="G3" s="127" t="s">
        <v>13</v>
      </c>
      <c r="H3" s="11" t="s">
        <v>159</v>
      </c>
      <c r="I3" s="128" t="s">
        <v>160</v>
      </c>
      <c r="J3" s="129" t="s">
        <v>161</v>
      </c>
      <c r="K3" s="130" t="s">
        <v>162</v>
      </c>
      <c r="L3" s="130" t="s">
        <v>163</v>
      </c>
      <c r="M3" s="127" t="s">
        <v>164</v>
      </c>
      <c r="N3" s="131" t="s">
        <v>165</v>
      </c>
      <c r="O3" s="132" t="s">
        <v>166</v>
      </c>
      <c r="P3" s="131" t="s">
        <v>167</v>
      </c>
      <c r="Q3" s="129" t="s">
        <v>117</v>
      </c>
      <c r="R3" s="131" t="s">
        <v>168</v>
      </c>
      <c r="S3" s="11" t="s">
        <v>169</v>
      </c>
      <c r="T3" s="128" t="s">
        <v>170</v>
      </c>
      <c r="U3" s="130" t="s">
        <v>171</v>
      </c>
      <c r="V3" s="130" t="s">
        <v>172</v>
      </c>
      <c r="W3" s="130" t="s">
        <v>173</v>
      </c>
      <c r="X3" s="130" t="s">
        <v>174</v>
      </c>
      <c r="Y3" s="133" t="s">
        <v>175</v>
      </c>
      <c r="Z3" s="11" t="s">
        <v>176</v>
      </c>
      <c r="AA3" s="134"/>
      <c r="AB3" s="6"/>
      <c r="AC3" s="7"/>
      <c r="AD3" s="6"/>
      <c r="AE3" s="6"/>
      <c r="AF3" s="15"/>
      <c r="AG3" s="6"/>
      <c r="AH3" s="6"/>
      <c r="AI3" s="6"/>
      <c r="AJ3" s="6"/>
      <c r="AK3" s="6"/>
    </row>
    <row x14ac:dyDescent="0.25" r="4" customHeight="1" ht="17.25">
      <c r="A4" s="6"/>
      <c r="B4" s="16" t="s">
        <v>0</v>
      </c>
      <c r="C4" s="135"/>
      <c r="D4" s="17"/>
      <c r="E4" s="18"/>
      <c r="F4" s="17"/>
      <c r="G4" s="19" t="s">
        <v>16</v>
      </c>
      <c r="H4" s="19" t="s">
        <v>17</v>
      </c>
      <c r="I4" s="21">
        <v>40</v>
      </c>
      <c r="J4" s="21">
        <f>인당생산성!H2</f>
      </c>
      <c r="K4" s="136">
        <f>I4/J4</f>
      </c>
      <c r="L4" s="136">
        <f>ROUNDUP(K4/U4,0)</f>
      </c>
      <c r="M4" s="19"/>
      <c r="N4" s="131">
        <f>작업조구성!$B$6</f>
      </c>
      <c r="O4" s="132">
        <f>CEILING(I4/작업조구성!$D$11, 1)</f>
      </c>
      <c r="P4" s="12">
        <f>N4*O4</f>
      </c>
      <c r="Q4" s="12">
        <f>'부분별 보정계수설정'!B2</f>
      </c>
      <c r="R4" s="131">
        <f>ROUND(P4*Q4/N4, 0)*N4</f>
      </c>
      <c r="S4" s="19"/>
      <c r="T4" s="137"/>
      <c r="U4" s="138">
        <v>1</v>
      </c>
      <c r="V4" s="138">
        <f>MAX(1, CEILING(I4/(O4*작업조구성!D11), 1))</f>
      </c>
      <c r="W4" s="140">
        <f>ROUNDUP(U4+Y4, 0)</f>
      </c>
      <c r="X4" s="148">
        <f>ROUNDUP(V4+Y4, 0)</f>
      </c>
      <c r="Y4" s="140"/>
      <c r="Z4" s="11"/>
      <c r="AA4" s="6"/>
      <c r="AB4" s="107" t="s">
        <v>177</v>
      </c>
      <c r="AC4" s="142">
        <v>1.2</v>
      </c>
      <c r="AD4" s="142"/>
      <c r="AE4" s="6"/>
      <c r="AF4" s="15"/>
      <c r="AG4" s="6"/>
      <c r="AH4" s="6"/>
      <c r="AI4" s="6"/>
      <c r="AJ4" s="6"/>
      <c r="AK4" s="6"/>
    </row>
    <row x14ac:dyDescent="0.25" r="5" customHeight="1" ht="17.25">
      <c r="A5" s="6"/>
      <c r="B5" s="11"/>
      <c r="C5" s="22"/>
      <c r="D5" s="22"/>
      <c r="E5" s="23"/>
      <c r="F5" s="22"/>
      <c r="G5" s="24" t="s">
        <v>18</v>
      </c>
      <c r="H5" s="24" t="s">
        <v>19</v>
      </c>
      <c r="I5" s="25">
        <v>228</v>
      </c>
      <c r="J5" s="21">
        <f>인당생산성!H3</f>
      </c>
      <c r="K5" s="143">
        <f>L5*U5</f>
      </c>
      <c r="L5" s="143">
        <f>T5*4</f>
      </c>
      <c r="M5" s="24" t="s">
        <v>178</v>
      </c>
      <c r="N5" s="144">
        <v>4</v>
      </c>
      <c r="O5" s="145">
        <f>T5</f>
      </c>
      <c r="P5" s="144">
        <f>O5*N5</f>
      </c>
      <c r="Q5" s="144">
        <v>1</v>
      </c>
      <c r="R5" s="144">
        <f>P5*Q5</f>
      </c>
      <c r="S5" s="24" t="s">
        <v>179</v>
      </c>
      <c r="T5" s="146">
        <f>CEILING(MIN(2, I5/'펌프카 부위별 타설량'!B1), 1)</f>
      </c>
      <c r="U5" s="147">
        <v>1</v>
      </c>
      <c r="V5" s="147">
        <f>U5</f>
      </c>
      <c r="W5" s="140">
        <f>ROUNDUP(U5+Y5, 0)</f>
      </c>
      <c r="X5" s="148">
        <f>ROUNDUP(V5+Y5, 0)</f>
      </c>
      <c r="Y5" s="140">
        <v>1</v>
      </c>
      <c r="Z5" s="11" t="s">
        <v>180</v>
      </c>
      <c r="AA5" s="6"/>
      <c r="AB5" s="107" t="s">
        <v>181</v>
      </c>
      <c r="AC5" s="149">
        <v>250</v>
      </c>
      <c r="AD5" s="142"/>
      <c r="AE5" s="6"/>
      <c r="AF5" s="15"/>
      <c r="AG5" s="6"/>
      <c r="AH5" s="6"/>
      <c r="AI5" s="6"/>
      <c r="AJ5" s="6"/>
      <c r="AK5" s="6"/>
    </row>
    <row x14ac:dyDescent="0.25" r="6" customHeight="1" ht="17.25">
      <c r="A6" s="6"/>
      <c r="B6" s="16" t="s">
        <v>20</v>
      </c>
      <c r="C6" s="135"/>
      <c r="D6" s="17"/>
      <c r="E6" s="18"/>
      <c r="F6" s="17"/>
      <c r="G6" s="26" t="s">
        <v>21</v>
      </c>
      <c r="H6" s="26" t="s">
        <v>17</v>
      </c>
      <c r="I6" s="27">
        <v>562</v>
      </c>
      <c r="J6" s="21">
        <v>250</v>
      </c>
      <c r="K6" s="150"/>
      <c r="L6" s="150">
        <v>3</v>
      </c>
      <c r="M6" s="26"/>
      <c r="N6" s="151">
        <f>작업조구성!$B$10</f>
      </c>
      <c r="O6" s="152">
        <v>1</v>
      </c>
      <c r="P6" s="153">
        <f>N6*O6</f>
      </c>
      <c r="Q6" s="153">
        <f>'부분별 보정계수설정'!$B$10</f>
      </c>
      <c r="R6" s="151">
        <f>ROUND(P6*Q6/N6, 0)*N6</f>
      </c>
      <c r="S6" s="26"/>
      <c r="T6" s="154"/>
      <c r="U6" s="155">
        <v>1</v>
      </c>
      <c r="V6" s="155">
        <f>MAX(1, CEILING(I6/(O6*작업조구성!$D$10), 1))</f>
      </c>
      <c r="W6" s="140">
        <f>ROUNDUP(U6+Y6, 0)</f>
      </c>
      <c r="X6" s="148">
        <f>ROUNDUP(V6+Y6, 0)</f>
      </c>
      <c r="Y6" s="140"/>
      <c r="Z6" s="11"/>
      <c r="AA6" s="6"/>
      <c r="AB6" s="107" t="s">
        <v>182</v>
      </c>
      <c r="AC6" s="149">
        <v>250</v>
      </c>
      <c r="AD6" s="142"/>
      <c r="AE6" s="134"/>
      <c r="AF6" s="15"/>
      <c r="AG6" s="6"/>
      <c r="AH6" s="6"/>
      <c r="AI6" s="6"/>
      <c r="AJ6" s="6"/>
      <c r="AK6" s="6"/>
    </row>
    <row x14ac:dyDescent="0.25" r="7" customHeight="1" ht="17.25">
      <c r="A7" s="6"/>
      <c r="B7" s="11"/>
      <c r="C7" s="28"/>
      <c r="D7" s="28"/>
      <c r="E7" s="29"/>
      <c r="F7" s="28"/>
      <c r="G7" s="30" t="s">
        <v>22</v>
      </c>
      <c r="H7" s="30" t="s">
        <v>23</v>
      </c>
      <c r="I7" s="31">
        <v>110.62</v>
      </c>
      <c r="J7" s="21">
        <f>인당생산성!H5</f>
      </c>
      <c r="K7" s="156">
        <f>ROUNDUP(I7/J7,0)</f>
      </c>
      <c r="L7" s="156">
        <f>ROUNDUP(K7/U7,0)</f>
      </c>
      <c r="M7" s="30"/>
      <c r="N7" s="131">
        <f>작업조구성!$B$7</f>
      </c>
      <c r="O7" s="132">
        <f>ROUNDUP(I6/작업조구성!$D$7,0)</f>
      </c>
      <c r="P7" s="12">
        <f>N7*O7</f>
      </c>
      <c r="Q7" s="128">
        <f>'부분별 보정계수설정'!$B$3</f>
      </c>
      <c r="R7" s="131">
        <f>ROUND(P7*Q7/N7, 0)*N7</f>
      </c>
      <c r="S7" s="30"/>
      <c r="T7" s="157"/>
      <c r="U7" s="158">
        <v>6</v>
      </c>
      <c r="V7" s="158">
        <f>ROUNDUP(I7/(J7*R7),0)</f>
      </c>
      <c r="W7" s="140">
        <f>ROUNDUP(U7+Y7, 0)</f>
      </c>
      <c r="X7" s="148">
        <f>ROUNDUP(V7+Y7, 0)</f>
      </c>
      <c r="Y7" s="140">
        <v>0.5</v>
      </c>
      <c r="Z7" s="11" t="s">
        <v>183</v>
      </c>
      <c r="AA7" s="6"/>
      <c r="AB7" s="107" t="s">
        <v>184</v>
      </c>
      <c r="AC7" s="149">
        <v>250</v>
      </c>
      <c r="AD7" s="142"/>
      <c r="AE7" s="134"/>
      <c r="AF7" s="15"/>
      <c r="AG7" s="6"/>
      <c r="AH7" s="6"/>
      <c r="AI7" s="6"/>
      <c r="AJ7" s="6"/>
      <c r="AK7" s="6"/>
    </row>
    <row x14ac:dyDescent="0.25" r="8" customHeight="1" ht="17.25">
      <c r="A8" s="6"/>
      <c r="B8" s="11"/>
      <c r="C8" s="28"/>
      <c r="D8" s="28"/>
      <c r="E8" s="29"/>
      <c r="F8" s="28"/>
      <c r="G8" s="19" t="s">
        <v>24</v>
      </c>
      <c r="H8" s="19" t="s">
        <v>17</v>
      </c>
      <c r="I8" s="21">
        <v>120</v>
      </c>
      <c r="J8" s="21">
        <f>인당생산성!H6</f>
      </c>
      <c r="K8" s="136">
        <f>ROUNDUP(I8/J8,0)</f>
      </c>
      <c r="L8" s="136">
        <f>ROUNDUP(K8/U8,0)</f>
      </c>
      <c r="M8" s="19"/>
      <c r="N8" s="131">
        <f>작업조구성!$B$6</f>
      </c>
      <c r="O8" s="132">
        <f>CEILING(I8/작업조구성!$D$12, 1)</f>
      </c>
      <c r="P8" s="12">
        <f>N8*O8</f>
      </c>
      <c r="Q8" s="12">
        <f>'부분별 보정계수설정'!B12</f>
      </c>
      <c r="R8" s="131">
        <f>ROUND(P8*Q8/N8, 0)*N8</f>
      </c>
      <c r="S8" s="19"/>
      <c r="T8" s="137"/>
      <c r="U8" s="138">
        <v>2</v>
      </c>
      <c r="V8" s="138">
        <f>ROUNDUP(I8/(J8*R8),0)</f>
      </c>
      <c r="W8" s="140">
        <f>ROUNDUP(U8+Y8, 0)</f>
      </c>
      <c r="X8" s="148">
        <f>ROUNDUP(V8+Y8, 0)</f>
      </c>
      <c r="Y8" s="140">
        <v>0.5</v>
      </c>
      <c r="Z8" s="11" t="s">
        <v>183</v>
      </c>
      <c r="AA8" s="6"/>
      <c r="AB8" s="6"/>
      <c r="AC8" s="7"/>
      <c r="AD8" s="142"/>
      <c r="AE8" s="134"/>
      <c r="AF8" s="15"/>
      <c r="AG8" s="6"/>
      <c r="AH8" s="6"/>
      <c r="AI8" s="6"/>
      <c r="AJ8" s="6"/>
      <c r="AK8" s="6"/>
    </row>
    <row x14ac:dyDescent="0.25" r="9" customHeight="1" ht="17.25">
      <c r="A9" s="6"/>
      <c r="B9" s="11"/>
      <c r="C9" s="22"/>
      <c r="D9" s="22"/>
      <c r="E9" s="23"/>
      <c r="F9" s="22"/>
      <c r="G9" s="24" t="s">
        <v>25</v>
      </c>
      <c r="H9" s="24" t="s">
        <v>19</v>
      </c>
      <c r="I9" s="25">
        <v>1643</v>
      </c>
      <c r="J9" s="21">
        <f>인당생산성!H7</f>
      </c>
      <c r="K9" s="143">
        <f>L9*U9</f>
      </c>
      <c r="L9" s="143">
        <f>T9*5</f>
      </c>
      <c r="M9" s="24" t="s">
        <v>185</v>
      </c>
      <c r="N9" s="144">
        <v>5</v>
      </c>
      <c r="O9" s="145">
        <f>T9</f>
      </c>
      <c r="P9" s="144">
        <f>O9*N9</f>
      </c>
      <c r="Q9" s="144">
        <v>1</v>
      </c>
      <c r="R9" s="144">
        <f>P9*Q9</f>
      </c>
      <c r="S9" s="24" t="s">
        <v>179</v>
      </c>
      <c r="T9" s="146">
        <f>CEILING(MIN(2, I9/'펌프카 부위별 타설량'!B2), 1)</f>
      </c>
      <c r="U9" s="147">
        <v>1</v>
      </c>
      <c r="V9" s="147">
        <f>U9</f>
      </c>
      <c r="W9" s="140">
        <f>ROUNDUP(U9+Y9, 0)</f>
      </c>
      <c r="X9" s="148">
        <f>ROUNDUP(V9+Y9, 0)</f>
      </c>
      <c r="Y9" s="140">
        <v>2</v>
      </c>
      <c r="Z9" s="11" t="s">
        <v>180</v>
      </c>
      <c r="AA9" s="6"/>
      <c r="AB9" s="6"/>
      <c r="AC9" s="7"/>
      <c r="AD9" s="142"/>
      <c r="AE9" s="134"/>
      <c r="AF9" s="15"/>
      <c r="AG9" s="6"/>
      <c r="AH9" s="6"/>
      <c r="AI9" s="6"/>
      <c r="AJ9" s="6"/>
      <c r="AK9" s="6"/>
    </row>
    <row x14ac:dyDescent="0.25" r="10" customHeight="1" ht="17.25">
      <c r="A10" s="6"/>
      <c r="B10" s="32" t="s">
        <v>26</v>
      </c>
      <c r="C10" s="187" t="s">
        <v>191</v>
      </c>
      <c r="D10" s="33" t="s">
        <v>27</v>
      </c>
      <c r="E10" s="34">
        <f>층고!C2</f>
      </c>
      <c r="F10" s="35"/>
      <c r="G10" s="26" t="s">
        <v>28</v>
      </c>
      <c r="H10" s="26" t="s">
        <v>17</v>
      </c>
      <c r="I10" s="27">
        <v>562</v>
      </c>
      <c r="J10" s="21">
        <v>250</v>
      </c>
      <c r="K10" s="150"/>
      <c r="L10" s="150">
        <v>3</v>
      </c>
      <c r="M10" s="26"/>
      <c r="N10" s="151">
        <f>작업조구성!$B$10</f>
      </c>
      <c r="O10" s="152">
        <v>1</v>
      </c>
      <c r="P10" s="153">
        <f>N10*O10</f>
      </c>
      <c r="Q10" s="153">
        <f>'부분별 보정계수설정'!$B$10</f>
      </c>
      <c r="R10" s="151">
        <f>ROUND(P10*Q10/N10, 0)*N10</f>
      </c>
      <c r="S10" s="26"/>
      <c r="T10" s="154"/>
      <c r="U10" s="155">
        <v>1</v>
      </c>
      <c r="V10" s="155">
        <f>MAX(1, CEILING(I10/(O10*작업조구성!$D$10), 1))</f>
      </c>
      <c r="W10" s="140">
        <f>ROUNDUP(U10+Y10, 0)</f>
      </c>
      <c r="X10" s="148">
        <f>ROUNDUP(V10+Y10, 0)</f>
      </c>
      <c r="Y10" s="140"/>
      <c r="Z10" s="11"/>
      <c r="AA10" s="6"/>
      <c r="AB10" s="6"/>
      <c r="AC10" s="7"/>
      <c r="AD10" s="142"/>
      <c r="AE10" s="6"/>
      <c r="AF10" s="15"/>
      <c r="AG10" s="6"/>
      <c r="AH10" s="6"/>
      <c r="AI10" s="6"/>
      <c r="AJ10" s="6"/>
      <c r="AK10" s="6"/>
    </row>
    <row x14ac:dyDescent="0.25" r="11" customHeight="1" ht="17.25">
      <c r="A11" s="6"/>
      <c r="B11" s="36"/>
      <c r="C11" s="36"/>
      <c r="D11" s="37"/>
      <c r="E11" s="38"/>
      <c r="F11" s="39"/>
      <c r="G11" s="30" t="s">
        <v>29</v>
      </c>
      <c r="H11" s="30" t="s">
        <v>23</v>
      </c>
      <c r="I11" s="31">
        <f>118.01*0.5</f>
      </c>
      <c r="J11" s="21">
        <f>인당생산성!H9</f>
      </c>
      <c r="K11" s="156">
        <f>ROUNDUP(I11/J11,0)</f>
      </c>
      <c r="L11" s="156">
        <f>ROUNDUP(K11/U11,0)</f>
      </c>
      <c r="M11" s="30"/>
      <c r="N11" s="131">
        <f>작업조구성!$B$8</f>
      </c>
      <c r="O11" s="162">
        <f>CEILING(MAX(0, (I12+I13) - (I16/($AC$5/1000))*AC4) / ($E$10/1000) / 25,1)</f>
      </c>
      <c r="P11" s="12">
        <f>N11*O11</f>
      </c>
      <c r="Q11" s="128">
        <f>'부분별 보정계수설정'!$B$4</f>
      </c>
      <c r="R11" s="131">
        <f>ROUND(P11*Q11/N11, 0)*N11</f>
      </c>
      <c r="S11" s="30"/>
      <c r="T11" s="157"/>
      <c r="U11" s="158">
        <v>5</v>
      </c>
      <c r="V11" s="158">
        <f>ROUNDUP(I11/(J11*R11),0)</f>
      </c>
      <c r="W11" s="140">
        <f>ROUNDUP(U11+Y11, 0)</f>
      </c>
      <c r="X11" s="148">
        <f>ROUNDUP(V11+Y11, 0)</f>
      </c>
      <c r="Y11" s="140">
        <v>0.5</v>
      </c>
      <c r="Z11" s="11" t="s">
        <v>183</v>
      </c>
      <c r="AA11" s="6"/>
      <c r="AB11" s="6"/>
      <c r="AC11" s="7"/>
      <c r="AD11" s="142"/>
      <c r="AE11" s="6"/>
      <c r="AF11" s="15"/>
      <c r="AG11" s="6"/>
      <c r="AH11" s="6"/>
      <c r="AI11" s="6"/>
      <c r="AJ11" s="6"/>
      <c r="AK11" s="6"/>
    </row>
    <row x14ac:dyDescent="0.25" r="12" customHeight="1" ht="17.25">
      <c r="A12" s="6"/>
      <c r="B12" s="36"/>
      <c r="C12" s="36"/>
      <c r="D12" s="37"/>
      <c r="E12" s="38"/>
      <c r="F12" s="39"/>
      <c r="G12" s="19" t="s">
        <v>30</v>
      </c>
      <c r="H12" s="19" t="s">
        <v>17</v>
      </c>
      <c r="I12" s="21">
        <f>4855*0.95/2</f>
      </c>
      <c r="J12" s="21">
        <f>인당생산성!H10</f>
      </c>
      <c r="K12" s="136">
        <f>ROUNDUP(I12/J12,0)</f>
      </c>
      <c r="L12" s="136">
        <f>ROUNDUP(K12/U12,0)</f>
      </c>
      <c r="M12" s="19"/>
      <c r="N12" s="131">
        <f>작업조구성!$B$4</f>
      </c>
      <c r="O12" s="162"/>
      <c r="P12" s="12">
        <f>N12*O12</f>
      </c>
      <c r="Q12" s="128">
        <f>'부분별 보정계수설정'!$B$4</f>
      </c>
      <c r="R12" s="131">
        <f>ROUND(P12*Q12/N12, 0)*N12</f>
      </c>
      <c r="S12" s="19"/>
      <c r="T12" s="137"/>
      <c r="U12" s="138">
        <v>17</v>
      </c>
      <c r="V12" s="139">
        <f>ROUNDUP(I12/(J12*R12),0)</f>
      </c>
      <c r="W12" s="140"/>
      <c r="X12" s="148"/>
      <c r="Y12" s="140"/>
      <c r="Z12" s="11"/>
      <c r="AA12" s="6"/>
      <c r="AB12" s="6"/>
      <c r="AC12" s="7"/>
      <c r="AD12" s="142"/>
      <c r="AE12" s="6"/>
      <c r="AF12" s="15"/>
      <c r="AG12" s="6"/>
      <c r="AH12" s="6"/>
      <c r="AI12" s="6"/>
      <c r="AJ12" s="6"/>
      <c r="AK12" s="6"/>
    </row>
    <row x14ac:dyDescent="0.25" r="13" customHeight="1" ht="17.25">
      <c r="A13" s="6"/>
      <c r="B13" s="36"/>
      <c r="C13" s="36"/>
      <c r="D13" s="37"/>
      <c r="E13" s="38"/>
      <c r="F13" s="39"/>
      <c r="G13" s="19" t="s">
        <v>31</v>
      </c>
      <c r="H13" s="19" t="s">
        <v>17</v>
      </c>
      <c r="I13" s="21">
        <f>4855*0.95/2</f>
      </c>
      <c r="J13" s="21">
        <f>인당생산성!H10</f>
      </c>
      <c r="K13" s="136">
        <f>ROUNDUP(I13/J13,0)</f>
      </c>
      <c r="L13" s="136">
        <f>ROUNDUP(K13/U13,0)</f>
      </c>
      <c r="M13" s="19"/>
      <c r="N13" s="131">
        <f>작업조구성!$B$4</f>
      </c>
      <c r="O13" s="162"/>
      <c r="P13" s="12">
        <f>N13*O13</f>
      </c>
      <c r="Q13" s="128">
        <f>'부분별 보정계수설정'!$B$4</f>
      </c>
      <c r="R13" s="131">
        <f>ROUND(P13*Q13/N13, 0)*N13</f>
      </c>
      <c r="S13" s="19"/>
      <c r="T13" s="137"/>
      <c r="U13" s="138">
        <v>17</v>
      </c>
      <c r="V13" s="139">
        <f>ROUNDUP(I13/(J13*R13),0)</f>
      </c>
      <c r="W13" s="140">
        <f>ROUNDUP(U13+Y13, 0)</f>
      </c>
      <c r="X13" s="141">
        <f>ROUNDUP(V13+Y13, 0)</f>
      </c>
      <c r="Y13" s="140">
        <v>1</v>
      </c>
      <c r="Z13" s="11" t="s">
        <v>188</v>
      </c>
      <c r="AA13" s="6"/>
      <c r="AB13" s="6"/>
      <c r="AC13" s="7"/>
      <c r="AD13" s="142"/>
      <c r="AE13" s="134"/>
      <c r="AF13" s="15"/>
      <c r="AG13" s="6"/>
      <c r="AH13" s="6"/>
      <c r="AI13" s="6"/>
      <c r="AJ13" s="6"/>
      <c r="AK13" s="6"/>
    </row>
    <row x14ac:dyDescent="0.25" r="14" customHeight="1" ht="17.25">
      <c r="A14" s="6"/>
      <c r="B14" s="36"/>
      <c r="C14" s="36"/>
      <c r="D14" s="37"/>
      <c r="E14" s="38"/>
      <c r="F14" s="39"/>
      <c r="G14" s="30" t="s">
        <v>32</v>
      </c>
      <c r="H14" s="30" t="s">
        <v>23</v>
      </c>
      <c r="I14" s="31">
        <f>118.01*0.5</f>
      </c>
      <c r="J14" s="21">
        <f>인당생산성!H11</f>
      </c>
      <c r="K14" s="156">
        <f>ROUNDUP(I14/J14,0)</f>
      </c>
      <c r="L14" s="156">
        <f>ROUNDUP(K14/U14,0)</f>
      </c>
      <c r="M14" s="30"/>
      <c r="N14" s="131">
        <f>작업조구성!$B$9</f>
      </c>
      <c r="O14" s="162">
        <f>CEILING(I16*0.5/($AC$5*0.001)/200,1)</f>
      </c>
      <c r="P14" s="12">
        <f>N14*O14</f>
      </c>
      <c r="Q14" s="128">
        <f>'부분별 보정계수설정'!$B$4</f>
      </c>
      <c r="R14" s="131">
        <f>ROUND(P14*Q14/N14, 0)*N14</f>
      </c>
      <c r="S14" s="30"/>
      <c r="T14" s="157"/>
      <c r="U14" s="158">
        <v>5</v>
      </c>
      <c r="V14" s="158">
        <f>ROUNDUP(I14/(J14*R14),0)</f>
      </c>
      <c r="W14" s="140">
        <f>ROUNDUP(U14+Y14, 0)</f>
      </c>
      <c r="X14" s="148">
        <f>ROUNDUP(V14+Y14, 0)</f>
      </c>
      <c r="Y14" s="140">
        <v>0.5</v>
      </c>
      <c r="Z14" s="11" t="s">
        <v>183</v>
      </c>
      <c r="AA14" s="6"/>
      <c r="AB14" s="6"/>
      <c r="AC14" s="7"/>
      <c r="AD14" s="142"/>
      <c r="AE14" s="134"/>
      <c r="AF14" s="15"/>
      <c r="AG14" s="6"/>
      <c r="AH14" s="6"/>
      <c r="AI14" s="6"/>
      <c r="AJ14" s="6"/>
      <c r="AK14" s="6"/>
    </row>
    <row x14ac:dyDescent="0.25" r="15" customHeight="1" ht="17.25">
      <c r="A15" s="6"/>
      <c r="B15" s="36"/>
      <c r="C15" s="36"/>
      <c r="D15" s="37"/>
      <c r="E15" s="38"/>
      <c r="F15" s="39"/>
      <c r="G15" s="19" t="s">
        <v>33</v>
      </c>
      <c r="H15" s="19"/>
      <c r="I15" s="21">
        <f>4855*0.05</f>
      </c>
      <c r="J15" s="21">
        <f>인당생산성!H12</f>
      </c>
      <c r="K15" s="136">
        <f>ROUNDUP(I15/J15,0)</f>
      </c>
      <c r="L15" s="136">
        <f>ROUNDUP(K15/U15,0)</f>
      </c>
      <c r="M15" s="19"/>
      <c r="N15" s="131">
        <f>작업조구성!$B$6</f>
      </c>
      <c r="O15" s="132">
        <f>CEILING(I15/작업조구성!$D$6, 1)</f>
      </c>
      <c r="P15" s="12">
        <f>N15*O15</f>
      </c>
      <c r="Q15" s="12">
        <f>'부분별 보정계수설정'!B11</f>
      </c>
      <c r="R15" s="131">
        <f>ROUND(P15*Q15/N15, 0)*N15</f>
      </c>
      <c r="S15" s="19"/>
      <c r="T15" s="137"/>
      <c r="U15" s="138">
        <v>2</v>
      </c>
      <c r="V15" s="138">
        <f>ROUNDUP(I15/(J15*R15),0)</f>
      </c>
      <c r="W15" s="140">
        <f>ROUNDUP(U15+Y15, 0)</f>
      </c>
      <c r="X15" s="148">
        <f>ROUNDUP(V15+Y15, 0)</f>
      </c>
      <c r="Y15" s="140">
        <v>0.5</v>
      </c>
      <c r="Z15" s="11" t="s">
        <v>183</v>
      </c>
      <c r="AA15" s="6"/>
      <c r="AB15" s="6"/>
      <c r="AC15" s="7"/>
      <c r="AD15" s="142"/>
      <c r="AE15" s="6"/>
      <c r="AF15" s="15"/>
      <c r="AG15" s="6"/>
      <c r="AH15" s="168"/>
      <c r="AI15" s="168"/>
      <c r="AJ15" s="168"/>
      <c r="AK15" s="168"/>
    </row>
    <row x14ac:dyDescent="0.25" r="16" customHeight="1" ht="17.25">
      <c r="A16" s="6"/>
      <c r="B16" s="36"/>
      <c r="C16" s="36"/>
      <c r="D16" s="37"/>
      <c r="E16" s="38"/>
      <c r="F16" s="39"/>
      <c r="G16" s="24" t="s">
        <v>44</v>
      </c>
      <c r="H16" s="24" t="s">
        <v>19</v>
      </c>
      <c r="I16" s="25">
        <v>782</v>
      </c>
      <c r="J16" s="21">
        <f>인당생산성!H13</f>
      </c>
      <c r="K16" s="143">
        <f>L16*U16</f>
      </c>
      <c r="L16" s="143">
        <f>T16*5</f>
      </c>
      <c r="M16" s="24" t="s">
        <v>189</v>
      </c>
      <c r="N16" s="144">
        <v>5</v>
      </c>
      <c r="O16" s="145">
        <f>T16</f>
      </c>
      <c r="P16" s="144">
        <f>O16*N16</f>
      </c>
      <c r="Q16" s="144">
        <v>1</v>
      </c>
      <c r="R16" s="144">
        <f>P16*Q16</f>
      </c>
      <c r="S16" s="24" t="s">
        <v>179</v>
      </c>
      <c r="T16" s="146">
        <f>CEILING(MIN(2, I16/'펌프카 부위별 타설량'!B3), 1)</f>
      </c>
      <c r="U16" s="147">
        <v>1</v>
      </c>
      <c r="V16" s="147">
        <f>U16</f>
      </c>
      <c r="W16" s="140">
        <f>ROUNDUP(U16+Y16, 0)</f>
      </c>
      <c r="X16" s="148">
        <f>ROUNDUP(V16+Y16, 0)</f>
      </c>
      <c r="Y16" s="140">
        <v>3</v>
      </c>
      <c r="Z16" s="11" t="s">
        <v>180</v>
      </c>
      <c r="AA16" s="6"/>
      <c r="AB16" s="6"/>
      <c r="AC16" s="7"/>
      <c r="AD16" s="142"/>
      <c r="AE16" s="134"/>
      <c r="AF16" s="15"/>
      <c r="AG16" s="6"/>
      <c r="AH16" s="168"/>
      <c r="AI16" s="168"/>
      <c r="AJ16" s="168"/>
      <c r="AK16" s="168"/>
    </row>
    <row x14ac:dyDescent="0.25" r="17" customHeight="1" ht="17.25">
      <c r="A17" s="6"/>
      <c r="B17" s="36"/>
      <c r="C17" s="36"/>
      <c r="D17" s="41"/>
      <c r="E17" s="38"/>
      <c r="F17" s="42"/>
      <c r="G17" s="43" t="s">
        <v>35</v>
      </c>
      <c r="H17" s="43"/>
      <c r="I17" s="40">
        <f>(I13+I15+I12)*2</f>
      </c>
      <c r="J17" s="21">
        <f>인당생산성!H14</f>
      </c>
      <c r="K17" s="169">
        <f>ROUNDUP(I17/J17,0)</f>
      </c>
      <c r="L17" s="169">
        <f>ROUNDUP(K17/U17,0)</f>
      </c>
      <c r="M17" s="43"/>
      <c r="N17" s="12">
        <f>작업조구성!$B$5</f>
      </c>
      <c r="O17" s="162"/>
      <c r="P17" s="12">
        <f>N17*O17</f>
      </c>
      <c r="Q17" s="128">
        <f>'부분별 보정계수설정'!$B$4</f>
      </c>
      <c r="R17" s="131">
        <f>ROUND(P17*Q17/N17, 0)*N17</f>
      </c>
      <c r="S17" s="43"/>
      <c r="T17" s="170"/>
      <c r="U17" s="171">
        <v>16</v>
      </c>
      <c r="V17" s="172">
        <f>MAX(1, CEILING(I17/(O17*작업조구성!$D$10), 1))</f>
      </c>
      <c r="W17" s="140">
        <f>ROUNDUP(U17+Y17, 0)</f>
      </c>
      <c r="X17" s="141">
        <f>ROUNDUP(V17+Y17, 0)</f>
      </c>
      <c r="Y17" s="140"/>
      <c r="Z17" s="11"/>
      <c r="AA17" s="6"/>
      <c r="AB17" s="6"/>
      <c r="AC17" s="7"/>
      <c r="AD17" s="142"/>
      <c r="AE17" s="134"/>
      <c r="AF17" s="15"/>
      <c r="AG17" s="6"/>
      <c r="AH17" s="6"/>
      <c r="AI17" s="6"/>
      <c r="AJ17" s="6"/>
      <c r="AK17" s="6"/>
    </row>
    <row x14ac:dyDescent="0.25" r="18" customHeight="1" ht="17.25">
      <c r="A18" s="6"/>
      <c r="B18" s="36"/>
      <c r="C18" s="36"/>
      <c r="D18" s="32" t="s">
        <v>36</v>
      </c>
      <c r="E18" s="44">
        <f>층고!C3</f>
      </c>
      <c r="F18" s="35"/>
      <c r="G18" s="26" t="s">
        <v>28</v>
      </c>
      <c r="H18" s="26" t="s">
        <v>17</v>
      </c>
      <c r="I18" s="27">
        <v>562</v>
      </c>
      <c r="J18" s="21">
        <v>250</v>
      </c>
      <c r="K18" s="150"/>
      <c r="L18" s="150">
        <v>3</v>
      </c>
      <c r="M18" s="26"/>
      <c r="N18" s="151">
        <f>작업조구성!$B$10</f>
      </c>
      <c r="O18" s="152">
        <v>1</v>
      </c>
      <c r="P18" s="153">
        <f>N18*O18</f>
      </c>
      <c r="Q18" s="153">
        <f>'부분별 보정계수설정'!$B$10</f>
      </c>
      <c r="R18" s="151">
        <f>ROUND(P18*Q18/N18, 0)*N18</f>
      </c>
      <c r="S18" s="26"/>
      <c r="T18" s="154"/>
      <c r="U18" s="155">
        <v>1</v>
      </c>
      <c r="V18" s="155">
        <f>MAX(1, CEILING(I18/(O18*작업조구성!$D$10), 1))</f>
      </c>
      <c r="W18" s="140">
        <f>ROUNDUP(U18+Y18, 0)</f>
      </c>
      <c r="X18" s="148">
        <f>ROUNDUP(V18+Y18, 0)</f>
      </c>
      <c r="Y18" s="140">
        <v>1</v>
      </c>
      <c r="Z18" s="11"/>
      <c r="AA18" s="6"/>
      <c r="AB18" s="6"/>
      <c r="AC18" s="7"/>
      <c r="AD18" s="142"/>
      <c r="AE18" s="134"/>
      <c r="AF18" s="15"/>
      <c r="AG18" s="6"/>
      <c r="AH18" s="6"/>
      <c r="AI18" s="6"/>
      <c r="AJ18" s="6"/>
      <c r="AK18" s="6"/>
    </row>
    <row x14ac:dyDescent="0.25" r="19" customHeight="1" ht="17.25">
      <c r="A19" s="6"/>
      <c r="B19" s="36"/>
      <c r="C19" s="36"/>
      <c r="D19" s="36"/>
      <c r="E19" s="45"/>
      <c r="F19" s="39"/>
      <c r="G19" s="30" t="s">
        <v>29</v>
      </c>
      <c r="H19" s="30" t="s">
        <v>23</v>
      </c>
      <c r="I19" s="31">
        <f>152.26*0.6*0.5</f>
      </c>
      <c r="J19" s="21">
        <f>인당생산성!H16</f>
      </c>
      <c r="K19" s="156">
        <f>ROUNDUP(I19/J19,0)</f>
      </c>
      <c r="L19" s="156">
        <f>ROUNDUP(K19/U19,0)</f>
      </c>
      <c r="M19" s="30"/>
      <c r="N19" s="131">
        <f>작업조구성!$B$8</f>
      </c>
      <c r="O19" s="162">
        <f>CEILING(MAX(0, (I20+I21) - (I24/($AC$6/1000))*AC4) / ($E$18/1000) / 25,1)</f>
      </c>
      <c r="P19" s="12">
        <f>N19*O19</f>
      </c>
      <c r="Q19" s="128">
        <f>'부분별 보정계수설정'!$B$4</f>
      </c>
      <c r="R19" s="131">
        <f>ROUND(P19*Q19/N19, 0)*N19</f>
      </c>
      <c r="S19" s="30"/>
      <c r="T19" s="157"/>
      <c r="U19" s="158">
        <v>5</v>
      </c>
      <c r="V19" s="188">
        <f>ROUNDUP(I19/(J19*R19),0)</f>
      </c>
      <c r="W19" s="140">
        <f>ROUNDUP(U19+Y19, 0)</f>
      </c>
      <c r="X19" s="141">
        <f>ROUNDUP(V19+Y19, 0)</f>
      </c>
      <c r="Y19" s="140">
        <v>0.5</v>
      </c>
      <c r="Z19" s="11" t="s">
        <v>183</v>
      </c>
      <c r="AA19" s="6"/>
      <c r="AB19" s="6"/>
      <c r="AC19" s="7"/>
      <c r="AD19" s="142"/>
      <c r="AE19" s="134"/>
      <c r="AF19" s="15"/>
      <c r="AG19" s="6"/>
      <c r="AH19" s="6"/>
      <c r="AI19" s="6"/>
      <c r="AJ19" s="6"/>
      <c r="AK19" s="6"/>
    </row>
    <row x14ac:dyDescent="0.25" r="20" customHeight="1" ht="17.25">
      <c r="A20" s="6"/>
      <c r="B20" s="36"/>
      <c r="C20" s="36"/>
      <c r="D20" s="36"/>
      <c r="E20" s="45"/>
      <c r="F20" s="39"/>
      <c r="G20" s="19" t="s">
        <v>30</v>
      </c>
      <c r="H20" s="19" t="s">
        <v>17</v>
      </c>
      <c r="I20" s="21">
        <f>5072*0.65/2</f>
      </c>
      <c r="J20" s="21">
        <f>인당생산성!H17</f>
      </c>
      <c r="K20" s="136">
        <f>ROUNDUP(I20/J20,0)</f>
      </c>
      <c r="L20" s="136">
        <f>ROUNDUP(K20/U20,0)</f>
      </c>
      <c r="M20" s="19"/>
      <c r="N20" s="131">
        <f>작업조구성!$B$4</f>
      </c>
      <c r="O20" s="162"/>
      <c r="P20" s="12">
        <f>N20*O20</f>
      </c>
      <c r="Q20" s="128">
        <f>'부분별 보정계수설정'!$B$4</f>
      </c>
      <c r="R20" s="131">
        <f>ROUND(P20*Q20/N20, 0)*N20</f>
      </c>
      <c r="S20" s="19"/>
      <c r="T20" s="137"/>
      <c r="U20" s="138">
        <v>19</v>
      </c>
      <c r="V20" s="139">
        <f>ROUNDUP(I20/(J20*R20),0)</f>
      </c>
      <c r="W20" s="140">
        <f>ROUNDUP(U20+Y20, 0)</f>
      </c>
      <c r="X20" s="141">
        <f>ROUNDUP(V20+Y20, 0)</f>
      </c>
      <c r="Y20" s="140">
        <v>0.5</v>
      </c>
      <c r="Z20" s="11" t="s">
        <v>183</v>
      </c>
      <c r="AA20" s="6"/>
      <c r="AB20" s="6"/>
      <c r="AC20" s="7"/>
      <c r="AD20" s="142"/>
      <c r="AE20" s="134"/>
      <c r="AF20" s="15"/>
      <c r="AG20" s="6"/>
      <c r="AH20" s="6"/>
      <c r="AI20" s="6"/>
      <c r="AJ20" s="6"/>
      <c r="AK20" s="6"/>
    </row>
    <row x14ac:dyDescent="0.25" r="21" customHeight="1" ht="17.25">
      <c r="A21" s="6"/>
      <c r="B21" s="36"/>
      <c r="C21" s="36"/>
      <c r="D21" s="36"/>
      <c r="E21" s="45"/>
      <c r="F21" s="39"/>
      <c r="G21" s="19" t="s">
        <v>31</v>
      </c>
      <c r="H21" s="19" t="s">
        <v>17</v>
      </c>
      <c r="I21" s="21">
        <f>5072*0.65/2</f>
      </c>
      <c r="J21" s="21">
        <f>인당생산성!H17</f>
      </c>
      <c r="K21" s="136">
        <f>ROUNDUP(I21/J21,0)</f>
      </c>
      <c r="L21" s="136">
        <f>ROUNDUP(K21/U21,0)</f>
      </c>
      <c r="M21" s="19"/>
      <c r="N21" s="131">
        <f>작업조구성!$B$4</f>
      </c>
      <c r="O21" s="162"/>
      <c r="P21" s="12">
        <f>N21*O21</f>
      </c>
      <c r="Q21" s="128">
        <f>'부분별 보정계수설정'!$B$4</f>
      </c>
      <c r="R21" s="131">
        <f>ROUND(P21*Q21/N21, 0)*N21</f>
      </c>
      <c r="S21" s="19"/>
      <c r="T21" s="137"/>
      <c r="U21" s="138">
        <v>19</v>
      </c>
      <c r="V21" s="139">
        <f>ROUNDUP(I21/(J21*R21),0)</f>
      </c>
      <c r="W21" s="140">
        <f>ROUNDUP(U21+Y21, 0)</f>
      </c>
      <c r="X21" s="141">
        <f>ROUNDUP(V21+Y21, 0)</f>
      </c>
      <c r="Y21" s="140">
        <v>0.5</v>
      </c>
      <c r="Z21" s="11" t="s">
        <v>183</v>
      </c>
      <c r="AA21" s="6"/>
      <c r="AB21" s="6"/>
      <c r="AC21" s="7"/>
      <c r="AD21" s="142"/>
      <c r="AE21" s="134"/>
      <c r="AF21" s="15"/>
      <c r="AG21" s="6"/>
      <c r="AH21" s="6"/>
      <c r="AI21" s="6"/>
      <c r="AJ21" s="6"/>
      <c r="AK21" s="6"/>
    </row>
    <row x14ac:dyDescent="0.25" r="22" customHeight="1" ht="17.25">
      <c r="A22" s="6"/>
      <c r="B22" s="36"/>
      <c r="C22" s="36"/>
      <c r="D22" s="36"/>
      <c r="E22" s="45"/>
      <c r="F22" s="39"/>
      <c r="G22" s="30" t="s">
        <v>32</v>
      </c>
      <c r="H22" s="30" t="s">
        <v>23</v>
      </c>
      <c r="I22" s="31">
        <f>152.26*0.6*0.5</f>
      </c>
      <c r="J22" s="21">
        <f>인당생산성!$H$18</f>
      </c>
      <c r="K22" s="156">
        <f>ROUNDUP(I22/J22,0)</f>
      </c>
      <c r="L22" s="156">
        <f>ROUNDUP(K22/U22,0)</f>
      </c>
      <c r="M22" s="30"/>
      <c r="N22" s="131">
        <f>작업조구성!$B$9</f>
      </c>
      <c r="O22" s="162">
        <f>CEILING(I24*0.5/($AC$5*0.001)/200,1)</f>
      </c>
      <c r="P22" s="12">
        <f>N22*O22</f>
      </c>
      <c r="Q22" s="128">
        <f>'부분별 보정계수설정'!$B$4</f>
      </c>
      <c r="R22" s="131">
        <f>ROUND(P22*Q22/N22, 0)*N22</f>
      </c>
      <c r="S22" s="30"/>
      <c r="T22" s="157"/>
      <c r="U22" s="158">
        <v>5</v>
      </c>
      <c r="V22" s="158">
        <f>ROUNDUP(I22/(J22*R22),0)</f>
      </c>
      <c r="W22" s="140">
        <f>ROUNDUP(U22+Y22, 0)</f>
      </c>
      <c r="X22" s="148">
        <f>ROUNDUP(V22+Y22, 0)</f>
      </c>
      <c r="Y22" s="140">
        <v>0.5</v>
      </c>
      <c r="Z22" s="11" t="s">
        <v>183</v>
      </c>
      <c r="AA22" s="6"/>
      <c r="AB22" s="110"/>
      <c r="AC22" s="8"/>
      <c r="AD22" s="142"/>
      <c r="AE22" s="6"/>
      <c r="AF22" s="15"/>
      <c r="AG22" s="6"/>
      <c r="AH22" s="6"/>
      <c r="AI22" s="6"/>
      <c r="AJ22" s="6"/>
      <c r="AK22" s="6"/>
    </row>
    <row x14ac:dyDescent="0.25" r="23" customHeight="1" ht="17.25">
      <c r="A23" s="6"/>
      <c r="B23" s="36"/>
      <c r="C23" s="36"/>
      <c r="D23" s="36"/>
      <c r="E23" s="45"/>
      <c r="F23" s="39"/>
      <c r="G23" s="19" t="s">
        <v>33</v>
      </c>
      <c r="H23" s="19"/>
      <c r="I23" s="21">
        <f>5072*0.05</f>
      </c>
      <c r="J23" s="21">
        <f>인당생산성!H19</f>
      </c>
      <c r="K23" s="136">
        <f>ROUNDUP(I23/J23,0)</f>
      </c>
      <c r="L23" s="136">
        <f>ROUNDUP(K23/U23,0)</f>
      </c>
      <c r="M23" s="19"/>
      <c r="N23" s="131">
        <f>작업조구성!$B$6</f>
      </c>
      <c r="O23" s="132">
        <f>CEILING(I23/작업조구성!$D$6, 1)</f>
      </c>
      <c r="P23" s="12">
        <f>N23*O23</f>
      </c>
      <c r="Q23" s="128">
        <f>'부분별 보정계수설정'!$B$4</f>
      </c>
      <c r="R23" s="131">
        <f>ROUND(P23*Q23/N23, 0)*N23</f>
      </c>
      <c r="S23" s="19"/>
      <c r="T23" s="137"/>
      <c r="U23" s="138">
        <v>2</v>
      </c>
      <c r="V23" s="138">
        <f>ROUNDUP(I23/(J23*R23),0)</f>
      </c>
      <c r="W23" s="140">
        <f>ROUNDUP(U23+Y23, 0)</f>
      </c>
      <c r="X23" s="148">
        <f>ROUNDUP(V23+Y23, 0)</f>
      </c>
      <c r="Y23" s="140">
        <v>0.5</v>
      </c>
      <c r="Z23" s="11" t="s">
        <v>183</v>
      </c>
      <c r="AA23" s="6"/>
      <c r="AB23" s="110"/>
      <c r="AC23" s="8"/>
      <c r="AD23" s="142"/>
      <c r="AE23" s="6"/>
      <c r="AF23" s="15"/>
      <c r="AG23" s="6"/>
      <c r="AH23" s="6"/>
      <c r="AI23" s="6"/>
      <c r="AJ23" s="6"/>
      <c r="AK23" s="6"/>
    </row>
    <row x14ac:dyDescent="0.25" r="24" customHeight="1" ht="17.25">
      <c r="A24" s="6"/>
      <c r="B24" s="36"/>
      <c r="C24" s="36"/>
      <c r="D24" s="36"/>
      <c r="E24" s="45"/>
      <c r="F24" s="39"/>
      <c r="G24" s="24" t="s">
        <v>44</v>
      </c>
      <c r="H24" s="24" t="s">
        <v>19</v>
      </c>
      <c r="I24" s="25">
        <f>1247*0.6</f>
      </c>
      <c r="J24" s="21">
        <f>인당생산성!H13</f>
      </c>
      <c r="K24" s="143">
        <f>L24*U24</f>
      </c>
      <c r="L24" s="143">
        <f>T24*5</f>
      </c>
      <c r="M24" s="24" t="s">
        <v>189</v>
      </c>
      <c r="N24" s="144">
        <v>5</v>
      </c>
      <c r="O24" s="145">
        <f>T24</f>
      </c>
      <c r="P24" s="144">
        <f>O24*N24</f>
      </c>
      <c r="Q24" s="144">
        <v>1</v>
      </c>
      <c r="R24" s="144">
        <f>P24*Q24</f>
      </c>
      <c r="S24" s="24" t="s">
        <v>179</v>
      </c>
      <c r="T24" s="146">
        <f>CEILING(MIN(2, I24/'펌프카 부위별 타설량'!B2), 1)</f>
      </c>
      <c r="U24" s="147">
        <v>1</v>
      </c>
      <c r="V24" s="147">
        <f>U24</f>
      </c>
      <c r="W24" s="140">
        <f>ROUNDUP(U24+Y24, 0)</f>
      </c>
      <c r="X24" s="148">
        <f>ROUNDUP(V24+Y24, 0)</f>
      </c>
      <c r="Y24" s="140">
        <v>3</v>
      </c>
      <c r="Z24" s="11" t="s">
        <v>180</v>
      </c>
      <c r="AA24" s="6"/>
      <c r="AB24" s="110"/>
      <c r="AC24" s="8"/>
      <c r="AD24" s="142"/>
      <c r="AE24" s="6"/>
      <c r="AF24" s="15"/>
      <c r="AG24" s="6"/>
      <c r="AH24" s="6"/>
      <c r="AI24" s="6"/>
      <c r="AJ24" s="6"/>
      <c r="AK24" s="6"/>
    </row>
    <row x14ac:dyDescent="0.25" r="25" customHeight="1" ht="17.25">
      <c r="A25" s="6"/>
      <c r="B25" s="36"/>
      <c r="C25" s="36"/>
      <c r="D25" s="36"/>
      <c r="E25" s="45"/>
      <c r="F25" s="39"/>
      <c r="G25" s="30" t="s">
        <v>29</v>
      </c>
      <c r="H25" s="30" t="s">
        <v>23</v>
      </c>
      <c r="I25" s="31">
        <f>152.26*0.4*0.5</f>
      </c>
      <c r="J25" s="21">
        <f>인당생산성!H9</f>
      </c>
      <c r="K25" s="156">
        <f>ROUNDUP(I25/J25,0)</f>
      </c>
      <c r="L25" s="156">
        <f>ROUNDUP(K25/U25,0)</f>
      </c>
      <c r="M25" s="30"/>
      <c r="N25" s="131">
        <f>작업조구성!$B$8</f>
      </c>
      <c r="O25" s="162">
        <f>CEILING(MAX(0, (I26) - (I28/($AC$6/1000))*AC4) / ($E$18/1000) / 25,1)</f>
      </c>
      <c r="P25" s="12">
        <f>N25*O25</f>
      </c>
      <c r="Q25" s="128">
        <f>'부분별 보정계수설정'!$B$4</f>
      </c>
      <c r="R25" s="131">
        <f>ROUND(P25*Q25/N25, 0)*N25</f>
      </c>
      <c r="S25" s="30"/>
      <c r="T25" s="157"/>
      <c r="U25" s="158">
        <v>5</v>
      </c>
      <c r="V25" s="188">
        <f>ROUNDUP(I25/(J25*R25),0)</f>
      </c>
      <c r="W25" s="140">
        <f>ROUNDUP(U25+Y25, 0)</f>
      </c>
      <c r="X25" s="141">
        <f>ROUNDUP(V25+Y25, 0)</f>
      </c>
      <c r="Y25" s="140">
        <v>0.5</v>
      </c>
      <c r="Z25" s="11" t="s">
        <v>183</v>
      </c>
      <c r="AA25" s="6"/>
      <c r="AB25" s="110"/>
      <c r="AC25" s="8"/>
      <c r="AD25" s="142"/>
      <c r="AE25" s="6"/>
      <c r="AF25" s="15"/>
      <c r="AG25" s="6"/>
      <c r="AH25" s="6"/>
      <c r="AI25" s="6"/>
      <c r="AJ25" s="6"/>
      <c r="AK25" s="6"/>
    </row>
    <row x14ac:dyDescent="0.25" r="26" customHeight="1" ht="17.25">
      <c r="A26" s="6"/>
      <c r="B26" s="36"/>
      <c r="C26" s="36"/>
      <c r="D26" s="36"/>
      <c r="E26" s="45"/>
      <c r="F26" s="39"/>
      <c r="G26" s="19" t="s">
        <v>38</v>
      </c>
      <c r="H26" s="19"/>
      <c r="I26" s="21">
        <f>5072*0.3</f>
      </c>
      <c r="J26" s="21">
        <f>인당생산성!H17</f>
      </c>
      <c r="K26" s="136">
        <f>ROUNDUP(I26/J26,0)</f>
      </c>
      <c r="L26" s="136">
        <f>ROUNDUP(K26/U26,0)</f>
      </c>
      <c r="M26" s="19"/>
      <c r="N26" s="131">
        <f>작업조구성!$B$6</f>
      </c>
      <c r="O26" s="132">
        <f>CEILING(I26/작업조구성!$D$6, 1)</f>
      </c>
      <c r="P26" s="12">
        <f>N26*O26</f>
      </c>
      <c r="Q26" s="128">
        <f>'부분별 보정계수설정'!$B$4</f>
      </c>
      <c r="R26" s="131">
        <f>ROUND(P26*Q26/N26, 0)*N26</f>
      </c>
      <c r="S26" s="19"/>
      <c r="T26" s="137"/>
      <c r="U26" s="138">
        <v>2</v>
      </c>
      <c r="V26" s="138">
        <f>ROUNDUP(I26/(J26*R26),0)</f>
      </c>
      <c r="W26" s="140">
        <f>ROUNDUP(U26+Y26, 0)</f>
      </c>
      <c r="X26" s="148">
        <f>ROUNDUP(V26+Y26, 0)</f>
      </c>
      <c r="Y26" s="140">
        <v>0.5</v>
      </c>
      <c r="Z26" s="11" t="s">
        <v>183</v>
      </c>
      <c r="AA26" s="6"/>
      <c r="AB26" s="189"/>
      <c r="AC26" s="190"/>
      <c r="AD26" s="142"/>
      <c r="AE26" s="6"/>
      <c r="AF26" s="15"/>
      <c r="AG26" s="6"/>
      <c r="AH26" s="6"/>
      <c r="AI26" s="6"/>
      <c r="AJ26" s="6"/>
      <c r="AK26" s="6"/>
    </row>
    <row x14ac:dyDescent="0.25" r="27" customHeight="1" ht="17.25">
      <c r="A27" s="6"/>
      <c r="B27" s="36"/>
      <c r="C27" s="36"/>
      <c r="D27" s="36"/>
      <c r="E27" s="45"/>
      <c r="F27" s="39"/>
      <c r="G27" s="30" t="s">
        <v>39</v>
      </c>
      <c r="H27" s="30" t="s">
        <v>23</v>
      </c>
      <c r="I27" s="31">
        <f>152.26*0.4*0.5</f>
      </c>
      <c r="J27" s="21">
        <f>인당생산성!H9</f>
      </c>
      <c r="K27" s="156">
        <f>ROUNDUP(I27/J27,0)</f>
      </c>
      <c r="L27" s="156">
        <f>ROUNDUP(K27/U27,0)</f>
      </c>
      <c r="M27" s="30"/>
      <c r="N27" s="131">
        <f>작업조구성!$B$8</f>
      </c>
      <c r="O27" s="162">
        <f>CEILING(MAX(0, (I26+I28) - (#REF!/($AC$6/1000))*I37) / ($E$18/1000) / 25,1)</f>
      </c>
      <c r="P27" s="12">
        <f>N27*O27</f>
      </c>
      <c r="Q27" s="128">
        <f>'부분별 보정계수설정'!$B$4</f>
      </c>
      <c r="R27" s="131">
        <f>ROUND(P27*Q27/N27, 0)*N27</f>
      </c>
      <c r="S27" s="30"/>
      <c r="T27" s="157"/>
      <c r="U27" s="158">
        <v>5</v>
      </c>
      <c r="V27" s="188">
        <f>ROUNDUP(I27/(J27*R27),0)</f>
      </c>
      <c r="W27" s="140">
        <f>ROUNDUP(U27+Y27, 0)</f>
      </c>
      <c r="X27" s="141">
        <f>ROUNDUP(V27+Y27, 0)</f>
      </c>
      <c r="Y27" s="140">
        <v>0.5</v>
      </c>
      <c r="Z27" s="11" t="s">
        <v>183</v>
      </c>
      <c r="AA27" s="6"/>
      <c r="AB27" s="189"/>
      <c r="AC27" s="190"/>
      <c r="AD27" s="142"/>
      <c r="AE27" s="6"/>
      <c r="AF27" s="15"/>
      <c r="AG27" s="6"/>
      <c r="AH27" s="6"/>
      <c r="AI27" s="6"/>
      <c r="AJ27" s="6"/>
      <c r="AK27" s="6"/>
    </row>
    <row x14ac:dyDescent="0.25" r="28" customHeight="1" ht="17.25">
      <c r="A28" s="6"/>
      <c r="B28" s="36"/>
      <c r="C28" s="36"/>
      <c r="D28" s="36"/>
      <c r="E28" s="45"/>
      <c r="F28" s="39"/>
      <c r="G28" s="24" t="s">
        <v>40</v>
      </c>
      <c r="H28" s="24" t="s">
        <v>19</v>
      </c>
      <c r="I28" s="25">
        <f>1247*0.4</f>
      </c>
      <c r="J28" s="21">
        <f>인당생산성!H13</f>
      </c>
      <c r="K28" s="143">
        <f>L28*U28</f>
      </c>
      <c r="L28" s="143">
        <f>T28*5</f>
      </c>
      <c r="M28" s="24" t="s">
        <v>189</v>
      </c>
      <c r="N28" s="144">
        <v>5</v>
      </c>
      <c r="O28" s="145">
        <f>T28</f>
      </c>
      <c r="P28" s="144">
        <f>O28*N28</f>
      </c>
      <c r="Q28" s="144">
        <v>1</v>
      </c>
      <c r="R28" s="144">
        <f>P28*Q28</f>
      </c>
      <c r="S28" s="24" t="s">
        <v>179</v>
      </c>
      <c r="T28" s="146">
        <f>CEILING(MIN(2, I28/'펌프카 부위별 타설량'!B4), 1)</f>
      </c>
      <c r="U28" s="147">
        <v>1</v>
      </c>
      <c r="V28" s="147">
        <f>U28</f>
      </c>
      <c r="W28" s="140">
        <f>ROUNDUP(U28+Y28, 0)</f>
      </c>
      <c r="X28" s="148">
        <f>ROUNDUP(V28+Y28, 0)</f>
      </c>
      <c r="Y28" s="140">
        <v>3</v>
      </c>
      <c r="Z28" s="11" t="s">
        <v>180</v>
      </c>
      <c r="AA28" s="6"/>
      <c r="AB28" s="189"/>
      <c r="AC28" s="190"/>
      <c r="AD28" s="142"/>
      <c r="AE28" s="6"/>
      <c r="AF28" s="15"/>
      <c r="AG28" s="6"/>
      <c r="AH28" s="6"/>
      <c r="AI28" s="6"/>
      <c r="AJ28" s="6"/>
      <c r="AK28" s="6"/>
    </row>
    <row x14ac:dyDescent="0.25" r="29" customHeight="1" ht="17.25">
      <c r="A29" s="6"/>
      <c r="B29" s="46"/>
      <c r="C29" s="46"/>
      <c r="D29" s="46"/>
      <c r="E29" s="47"/>
      <c r="F29" s="42"/>
      <c r="G29" s="43" t="s">
        <v>35</v>
      </c>
      <c r="H29" s="43" t="s">
        <v>17</v>
      </c>
      <c r="I29" s="40">
        <f>(I21+I23+I20+I26)*2</f>
      </c>
      <c r="J29" s="21">
        <f>인당생산성!H21</f>
      </c>
      <c r="K29" s="169">
        <f>ROUNDUP(I29/J29,0)</f>
      </c>
      <c r="L29" s="169">
        <f>ROUNDUP(K29/U29,0)</f>
      </c>
      <c r="M29" s="43"/>
      <c r="N29" s="12">
        <f>작업조구성!$B$5</f>
      </c>
      <c r="O29" s="162"/>
      <c r="P29" s="12">
        <f>N29*O29</f>
      </c>
      <c r="Q29" s="128">
        <f>'부분별 보정계수설정'!$B$4</f>
      </c>
      <c r="R29" s="131">
        <f>ROUND(P29*Q29/N29, 0)*N29</f>
      </c>
      <c r="S29" s="43"/>
      <c r="T29" s="170"/>
      <c r="U29" s="171">
        <v>22</v>
      </c>
      <c r="V29" s="172">
        <f>MAX(1, CEILING(I29/(O29*작업조구성!$D$10), 1))</f>
      </c>
      <c r="W29" s="140">
        <f>ROUNDUP(U29+Y29, 0)</f>
      </c>
      <c r="X29" s="141">
        <f>ROUNDUP(V29+Y29, 0)</f>
      </c>
      <c r="Y29" s="140"/>
      <c r="Z29" s="11"/>
      <c r="AA29" s="6"/>
      <c r="AB29" s="189"/>
      <c r="AC29" s="190"/>
      <c r="AD29" s="142"/>
      <c r="AE29" s="6"/>
      <c r="AF29" s="15"/>
      <c r="AG29" s="6"/>
      <c r="AH29" s="6"/>
      <c r="AI29" s="6"/>
      <c r="AJ29" s="6"/>
      <c r="AK29" s="6"/>
    </row>
    <row x14ac:dyDescent="0.25" r="30" customHeight="1" ht="17.25">
      <c r="A30" s="6"/>
      <c r="B30" s="6"/>
      <c r="C30" s="6"/>
      <c r="D30" s="6"/>
      <c r="E30" s="7"/>
      <c r="F30" s="6"/>
      <c r="G30" s="6"/>
      <c r="H30" s="6"/>
      <c r="I30" s="60"/>
      <c r="J30" s="60"/>
      <c r="K30" s="173"/>
      <c r="L30" s="116"/>
      <c r="M30" s="6"/>
      <c r="N30" s="174"/>
      <c r="O30" s="175"/>
      <c r="P30" s="174"/>
      <c r="Q30" s="176"/>
      <c r="R30" s="174"/>
      <c r="S30" s="6"/>
      <c r="T30" s="60"/>
      <c r="U30" s="116"/>
      <c r="V30" s="116"/>
      <c r="W30" s="116"/>
      <c r="X30" s="116"/>
      <c r="Y30" s="116"/>
      <c r="Z30" s="6"/>
      <c r="AA30" s="6"/>
      <c r="AB30" s="6"/>
      <c r="AC30" s="7"/>
      <c r="AD30" s="6"/>
      <c r="AE30" s="6"/>
      <c r="AF30" s="15"/>
      <c r="AG30" s="6"/>
      <c r="AH30" s="6"/>
      <c r="AI30" s="6"/>
      <c r="AJ30" s="6"/>
      <c r="AK30" s="6"/>
    </row>
    <row x14ac:dyDescent="0.25" r="31" customHeight="1" ht="17.25" customFormat="1" s="3">
      <c r="A31" s="15"/>
      <c r="B31" s="15"/>
      <c r="C31" s="15"/>
      <c r="D31" s="15"/>
      <c r="E31" s="177"/>
      <c r="F31" s="15"/>
      <c r="G31" s="15"/>
      <c r="H31" s="15"/>
      <c r="I31" s="178"/>
      <c r="J31" s="178"/>
      <c r="K31" s="179"/>
      <c r="L31" s="180"/>
      <c r="M31" s="181"/>
      <c r="N31" s="174"/>
      <c r="O31" s="175"/>
      <c r="P31" s="174"/>
      <c r="Q31" s="176"/>
      <c r="R31" s="174"/>
      <c r="S31" s="15"/>
      <c r="T31" s="178"/>
      <c r="U31" s="179"/>
      <c r="V31" s="179"/>
      <c r="W31" s="179"/>
      <c r="X31" s="179"/>
      <c r="Y31" s="179"/>
      <c r="Z31" s="15"/>
      <c r="AA31" s="15"/>
      <c r="AB31" s="15"/>
      <c r="AC31" s="177"/>
      <c r="AD31" s="15"/>
      <c r="AE31" s="15"/>
      <c r="AF31" s="15"/>
      <c r="AG31" s="15"/>
      <c r="AH31" s="15"/>
      <c r="AI31" s="15"/>
      <c r="AJ31" s="15"/>
      <c r="AK31" s="15"/>
    </row>
    <row x14ac:dyDescent="0.25" r="32" customHeight="1" ht="17.25">
      <c r="A32" s="6"/>
      <c r="B32" s="6"/>
      <c r="C32" s="6"/>
      <c r="D32" s="6"/>
      <c r="E32" s="7"/>
      <c r="F32" s="6"/>
      <c r="G32" s="6"/>
      <c r="H32" s="6"/>
      <c r="I32" s="60"/>
      <c r="J32" s="60"/>
      <c r="K32" s="116"/>
      <c r="L32" s="116"/>
      <c r="M32" s="6"/>
      <c r="N32" s="7"/>
      <c r="O32" s="117"/>
      <c r="P32" s="7"/>
      <c r="Q32" s="60"/>
      <c r="R32" s="7"/>
      <c r="S32" s="6"/>
      <c r="T32" s="60"/>
      <c r="U32" s="116"/>
      <c r="V32" s="116"/>
      <c r="W32" s="116"/>
      <c r="X32" s="116"/>
      <c r="Y32" s="116"/>
      <c r="Z32" s="6"/>
      <c r="AA32" s="6"/>
      <c r="AB32" s="6"/>
      <c r="AC32" s="7"/>
      <c r="AD32" s="6"/>
      <c r="AE32" s="6"/>
      <c r="AF32" s="15"/>
      <c r="AG32" s="6"/>
      <c r="AH32" s="6"/>
      <c r="AI32" s="6"/>
      <c r="AJ32" s="6"/>
      <c r="AK32" s="6"/>
    </row>
    <row x14ac:dyDescent="0.25" r="33" customHeight="1" ht="17.25">
      <c r="A33" s="6"/>
      <c r="B33" s="6"/>
      <c r="C33" s="6"/>
      <c r="D33" s="6"/>
      <c r="E33" s="7"/>
      <c r="F33" s="6"/>
      <c r="G33" s="6"/>
      <c r="H33" s="6"/>
      <c r="I33" s="60"/>
      <c r="J33" s="60"/>
      <c r="K33" s="116"/>
      <c r="L33" s="116"/>
      <c r="M33" s="6"/>
      <c r="N33" s="7"/>
      <c r="O33" s="117"/>
      <c r="P33" s="7"/>
      <c r="Q33" s="60"/>
      <c r="R33" s="7"/>
      <c r="S33" s="6"/>
      <c r="T33" s="60"/>
      <c r="U33" s="116"/>
      <c r="V33" s="116"/>
      <c r="W33" s="116"/>
      <c r="X33" s="116"/>
      <c r="Y33" s="116"/>
      <c r="Z33" s="6"/>
      <c r="AA33" s="6"/>
      <c r="AB33" s="6"/>
      <c r="AC33" s="7"/>
      <c r="AD33" s="6"/>
      <c r="AE33" s="6"/>
      <c r="AF33" s="15"/>
      <c r="AG33" s="6"/>
      <c r="AH33" s="6"/>
      <c r="AI33" s="6"/>
      <c r="AJ33" s="6"/>
      <c r="AK33" s="6"/>
    </row>
    <row x14ac:dyDescent="0.25" r="34" customHeight="1" ht="17.25" customFormat="1" s="3">
      <c r="A34" s="15"/>
      <c r="B34" s="15"/>
      <c r="C34" s="15"/>
      <c r="D34" s="15"/>
      <c r="E34" s="177"/>
      <c r="F34" s="15"/>
      <c r="G34" s="15"/>
      <c r="H34" s="15"/>
      <c r="I34" s="178"/>
      <c r="J34" s="178"/>
      <c r="K34" s="179"/>
      <c r="L34" s="179"/>
      <c r="M34" s="15"/>
      <c r="N34" s="177"/>
      <c r="O34" s="182"/>
      <c r="P34" s="177"/>
      <c r="Q34" s="178"/>
      <c r="R34" s="177"/>
      <c r="S34" s="15"/>
      <c r="T34" s="178"/>
      <c r="U34" s="179"/>
      <c r="V34" s="179"/>
      <c r="W34" s="179"/>
      <c r="X34" s="179"/>
      <c r="Y34" s="179"/>
      <c r="Z34" s="15"/>
      <c r="AA34" s="183"/>
      <c r="AB34" s="183"/>
      <c r="AC34" s="177"/>
      <c r="AD34" s="15"/>
      <c r="AE34" s="15"/>
      <c r="AF34" s="15"/>
      <c r="AG34" s="15"/>
      <c r="AH34" s="15"/>
      <c r="AI34" s="15"/>
      <c r="AJ34" s="15"/>
      <c r="AK34" s="15"/>
    </row>
    <row x14ac:dyDescent="0.25" r="35" customHeight="1" ht="17.25" customFormat="1" s="3">
      <c r="A35" s="15"/>
      <c r="B35" s="15"/>
      <c r="C35" s="15"/>
      <c r="D35" s="15"/>
      <c r="E35" s="177"/>
      <c r="F35" s="15"/>
      <c r="G35" s="15"/>
      <c r="H35" s="15"/>
      <c r="I35" s="178"/>
      <c r="J35" s="178"/>
      <c r="K35" s="179"/>
      <c r="L35" s="179"/>
      <c r="M35" s="15"/>
      <c r="N35" s="177"/>
      <c r="O35" s="182"/>
      <c r="P35" s="177"/>
      <c r="Q35" s="178"/>
      <c r="R35" s="177"/>
      <c r="S35" s="15"/>
      <c r="T35" s="178"/>
      <c r="U35" s="179"/>
      <c r="V35" s="179"/>
      <c r="W35" s="179"/>
      <c r="X35" s="179"/>
      <c r="Y35" s="179"/>
      <c r="Z35" s="15"/>
      <c r="AA35" s="181"/>
      <c r="AB35" s="181"/>
      <c r="AC35" s="177"/>
      <c r="AD35" s="15"/>
      <c r="AE35" s="15"/>
      <c r="AF35" s="15"/>
      <c r="AG35" s="15"/>
      <c r="AH35" s="15"/>
      <c r="AI35" s="15"/>
      <c r="AJ35" s="15"/>
      <c r="AK35" s="15"/>
    </row>
    <row x14ac:dyDescent="0.25" r="36" customHeight="1" ht="17.25" customFormat="1" s="3">
      <c r="A36" s="15"/>
      <c r="B36" s="15"/>
      <c r="C36" s="15"/>
      <c r="D36" s="15"/>
      <c r="E36" s="177"/>
      <c r="F36" s="15"/>
      <c r="G36" s="15"/>
      <c r="H36" s="15"/>
      <c r="I36" s="178"/>
      <c r="J36" s="178"/>
      <c r="K36" s="179"/>
      <c r="L36" s="179"/>
      <c r="M36" s="15"/>
      <c r="N36" s="177"/>
      <c r="O36" s="182"/>
      <c r="P36" s="177"/>
      <c r="Q36" s="178"/>
      <c r="R36" s="177"/>
      <c r="S36" s="15"/>
      <c r="T36" s="178"/>
      <c r="U36" s="179"/>
      <c r="V36" s="179"/>
      <c r="W36" s="179"/>
      <c r="X36" s="179"/>
      <c r="Y36" s="179"/>
      <c r="Z36" s="15"/>
      <c r="AA36" s="181"/>
      <c r="AB36" s="181"/>
      <c r="AC36" s="177"/>
      <c r="AD36" s="15"/>
      <c r="AE36" s="184"/>
      <c r="AF36" s="184"/>
      <c r="AG36" s="15"/>
      <c r="AH36" s="15"/>
      <c r="AI36" s="15"/>
      <c r="AJ36" s="15"/>
      <c r="AK36" s="15"/>
    </row>
    <row x14ac:dyDescent="0.25" r="37" customHeight="1" ht="17.25" customFormat="1" s="3">
      <c r="A37" s="15"/>
      <c r="B37" s="15"/>
      <c r="C37" s="15"/>
      <c r="D37" s="15"/>
      <c r="E37" s="177"/>
      <c r="F37" s="15"/>
      <c r="G37" s="15"/>
      <c r="H37" s="15"/>
      <c r="I37" s="178"/>
      <c r="J37" s="178"/>
      <c r="K37" s="179"/>
      <c r="L37" s="179"/>
      <c r="M37" s="15"/>
      <c r="N37" s="177"/>
      <c r="O37" s="182"/>
      <c r="P37" s="177"/>
      <c r="Q37" s="178"/>
      <c r="R37" s="177"/>
      <c r="S37" s="15"/>
      <c r="T37" s="178"/>
      <c r="U37" s="179"/>
      <c r="V37" s="179"/>
      <c r="W37" s="179"/>
      <c r="X37" s="179"/>
      <c r="Y37" s="179"/>
      <c r="Z37" s="15"/>
      <c r="AA37" s="181"/>
      <c r="AB37" s="181"/>
      <c r="AC37" s="177"/>
      <c r="AD37" s="15"/>
      <c r="AE37" s="15"/>
      <c r="AF37" s="15"/>
      <c r="AG37" s="15"/>
      <c r="AH37" s="15"/>
      <c r="AI37" s="15"/>
      <c r="AJ37" s="15"/>
      <c r="AK37" s="15"/>
    </row>
    <row x14ac:dyDescent="0.25" r="38" customHeight="1" ht="17.25" customFormat="1" s="3">
      <c r="A38" s="15"/>
      <c r="B38" s="15"/>
      <c r="C38" s="15"/>
      <c r="D38" s="15"/>
      <c r="E38" s="177"/>
      <c r="F38" s="15"/>
      <c r="G38" s="15"/>
      <c r="H38" s="15"/>
      <c r="I38" s="178"/>
      <c r="J38" s="178"/>
      <c r="K38" s="179"/>
      <c r="L38" s="179"/>
      <c r="M38" s="15"/>
      <c r="N38" s="177"/>
      <c r="O38" s="182"/>
      <c r="P38" s="177"/>
      <c r="Q38" s="178"/>
      <c r="R38" s="177"/>
      <c r="S38" s="15"/>
      <c r="T38" s="178"/>
      <c r="U38" s="179"/>
      <c r="V38" s="179"/>
      <c r="W38" s="179"/>
      <c r="X38" s="179"/>
      <c r="Y38" s="179"/>
      <c r="Z38" s="15"/>
      <c r="AA38" s="181"/>
      <c r="AB38" s="181"/>
      <c r="AC38" s="177"/>
      <c r="AD38" s="15"/>
      <c r="AE38" s="15"/>
      <c r="AF38" s="15"/>
      <c r="AG38" s="15"/>
      <c r="AH38" s="15"/>
      <c r="AI38" s="15"/>
      <c r="AJ38" s="15"/>
      <c r="AK38" s="15"/>
    </row>
    <row x14ac:dyDescent="0.25" r="39" customHeight="1" ht="17.25" customFormat="1" s="3">
      <c r="A39" s="15"/>
      <c r="B39" s="15"/>
      <c r="C39" s="15"/>
      <c r="D39" s="15"/>
      <c r="E39" s="177"/>
      <c r="F39" s="15"/>
      <c r="G39" s="15"/>
      <c r="H39" s="15"/>
      <c r="I39" s="178"/>
      <c r="J39" s="178"/>
      <c r="K39" s="179"/>
      <c r="L39" s="179"/>
      <c r="M39" s="15"/>
      <c r="N39" s="177"/>
      <c r="O39" s="182"/>
      <c r="P39" s="177"/>
      <c r="Q39" s="178"/>
      <c r="R39" s="177"/>
      <c r="S39" s="15"/>
      <c r="T39" s="178"/>
      <c r="U39" s="179"/>
      <c r="V39" s="179"/>
      <c r="W39" s="179"/>
      <c r="X39" s="179"/>
      <c r="Y39" s="179"/>
      <c r="Z39" s="15"/>
      <c r="AA39" s="181"/>
      <c r="AB39" s="181"/>
      <c r="AC39" s="177"/>
      <c r="AD39" s="15"/>
      <c r="AE39" s="15"/>
      <c r="AF39" s="15"/>
      <c r="AG39" s="15"/>
      <c r="AH39" s="15"/>
      <c r="AI39" s="15"/>
      <c r="AJ39" s="15"/>
      <c r="AK39" s="15"/>
    </row>
    <row x14ac:dyDescent="0.25" r="40" customHeight="1" ht="17.25" customFormat="1" s="3">
      <c r="A40" s="15"/>
      <c r="B40" s="15"/>
      <c r="C40" s="15"/>
      <c r="D40" s="15"/>
      <c r="E40" s="177"/>
      <c r="F40" s="15"/>
      <c r="G40" s="15"/>
      <c r="H40" s="15"/>
      <c r="I40" s="178"/>
      <c r="J40" s="178"/>
      <c r="K40" s="179"/>
      <c r="L40" s="179"/>
      <c r="M40" s="15"/>
      <c r="N40" s="177"/>
      <c r="O40" s="182"/>
      <c r="P40" s="177"/>
      <c r="Q40" s="178"/>
      <c r="R40" s="177"/>
      <c r="S40" s="15"/>
      <c r="T40" s="178"/>
      <c r="U40" s="179"/>
      <c r="V40" s="179"/>
      <c r="W40" s="179"/>
      <c r="X40" s="179"/>
      <c r="Y40" s="179"/>
      <c r="Z40" s="15"/>
      <c r="AA40" s="181"/>
      <c r="AB40" s="181"/>
      <c r="AC40" s="177"/>
      <c r="AD40" s="15"/>
      <c r="AE40" s="15"/>
      <c r="AF40" s="15"/>
      <c r="AG40" s="15"/>
      <c r="AH40" s="15"/>
      <c r="AI40" s="15"/>
      <c r="AJ40" s="15"/>
      <c r="AK40" s="15"/>
    </row>
    <row x14ac:dyDescent="0.25" r="41" customHeight="1" ht="17.25" customFormat="1" s="3">
      <c r="A41" s="15"/>
      <c r="B41" s="15"/>
      <c r="C41" s="15"/>
      <c r="D41" s="15"/>
      <c r="E41" s="177"/>
      <c r="F41" s="15"/>
      <c r="G41" s="15"/>
      <c r="H41" s="15"/>
      <c r="I41" s="178"/>
      <c r="J41" s="178"/>
      <c r="K41" s="179"/>
      <c r="L41" s="179"/>
      <c r="M41" s="15"/>
      <c r="N41" s="177"/>
      <c r="O41" s="182"/>
      <c r="P41" s="177"/>
      <c r="Q41" s="178"/>
      <c r="R41" s="177"/>
      <c r="S41" s="15"/>
      <c r="T41" s="178"/>
      <c r="U41" s="179"/>
      <c r="V41" s="179"/>
      <c r="W41" s="179"/>
      <c r="X41" s="179"/>
      <c r="Y41" s="179"/>
      <c r="Z41" s="15"/>
      <c r="AA41" s="181"/>
      <c r="AB41" s="181"/>
      <c r="AC41" s="177"/>
      <c r="AD41" s="15"/>
      <c r="AE41" s="15"/>
      <c r="AF41" s="15"/>
      <c r="AG41" s="15"/>
      <c r="AH41" s="15"/>
      <c r="AI41" s="15"/>
      <c r="AJ41" s="15"/>
      <c r="AK41" s="15"/>
    </row>
    <row x14ac:dyDescent="0.25" r="42" customHeight="1" ht="17.25" customFormat="1" s="3">
      <c r="A42" s="15"/>
      <c r="B42" s="15"/>
      <c r="C42" s="15"/>
      <c r="D42" s="15"/>
      <c r="E42" s="177"/>
      <c r="F42" s="15"/>
      <c r="G42" s="15"/>
      <c r="H42" s="15"/>
      <c r="I42" s="178"/>
      <c r="J42" s="178"/>
      <c r="K42" s="179"/>
      <c r="L42" s="179"/>
      <c r="M42" s="15"/>
      <c r="N42" s="177"/>
      <c r="O42" s="182"/>
      <c r="P42" s="177"/>
      <c r="Q42" s="178"/>
      <c r="R42" s="177"/>
      <c r="S42" s="15"/>
      <c r="T42" s="178"/>
      <c r="U42" s="179"/>
      <c r="V42" s="179"/>
      <c r="W42" s="179"/>
      <c r="X42" s="179"/>
      <c r="Y42" s="179"/>
      <c r="Z42" s="15"/>
      <c r="AA42" s="181"/>
      <c r="AB42" s="181"/>
      <c r="AC42" s="177"/>
      <c r="AD42" s="15"/>
      <c r="AE42" s="15"/>
      <c r="AF42" s="15"/>
      <c r="AG42" s="15"/>
      <c r="AH42" s="15"/>
      <c r="AI42" s="15"/>
      <c r="AJ42" s="15"/>
      <c r="AK42" s="15"/>
    </row>
    <row x14ac:dyDescent="0.25" r="43" customHeight="1" ht="17.25" customFormat="1" s="3">
      <c r="A43" s="15"/>
      <c r="B43" s="15"/>
      <c r="C43" s="15"/>
      <c r="D43" s="15"/>
      <c r="E43" s="177"/>
      <c r="F43" s="15"/>
      <c r="G43" s="15"/>
      <c r="H43" s="15"/>
      <c r="I43" s="178"/>
      <c r="J43" s="178"/>
      <c r="K43" s="179"/>
      <c r="L43" s="179"/>
      <c r="M43" s="15"/>
      <c r="N43" s="177"/>
      <c r="O43" s="182"/>
      <c r="P43" s="177"/>
      <c r="Q43" s="178"/>
      <c r="R43" s="177"/>
      <c r="S43" s="15"/>
      <c r="T43" s="178"/>
      <c r="U43" s="179"/>
      <c r="V43" s="179"/>
      <c r="W43" s="179"/>
      <c r="X43" s="179"/>
      <c r="Y43" s="179"/>
      <c r="Z43" s="15"/>
      <c r="AA43" s="181"/>
      <c r="AB43" s="181"/>
      <c r="AC43" s="177"/>
      <c r="AD43" s="15"/>
      <c r="AE43" s="15"/>
      <c r="AF43" s="15"/>
      <c r="AG43" s="15"/>
      <c r="AH43" s="15"/>
      <c r="AI43" s="15"/>
      <c r="AJ43" s="15"/>
      <c r="AK43" s="15"/>
    </row>
  </sheetData>
  <mergeCells count="19">
    <mergeCell ref="K2:L2"/>
    <mergeCell ref="O2:P2"/>
    <mergeCell ref="Q2:R2"/>
    <mergeCell ref="B4:B5"/>
    <mergeCell ref="D4:D5"/>
    <mergeCell ref="E4:E5"/>
    <mergeCell ref="F4:F5"/>
    <mergeCell ref="B6:B9"/>
    <mergeCell ref="D6:D9"/>
    <mergeCell ref="E6:E9"/>
    <mergeCell ref="F6:F9"/>
    <mergeCell ref="B10:B29"/>
    <mergeCell ref="C10:C29"/>
    <mergeCell ref="D10:D17"/>
    <mergeCell ref="E10:E17"/>
    <mergeCell ref="F10:F17"/>
    <mergeCell ref="D18:D29"/>
    <mergeCell ref="E18:E29"/>
    <mergeCell ref="F18:F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39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9" width="12.43357142857143" customWidth="1" bestFit="1"/>
    <col min="2" max="2" style="9" width="7.147857142857143" customWidth="1" bestFit="1"/>
    <col min="3" max="3" style="9" width="7.147857142857143" customWidth="1" bestFit="1"/>
    <col min="4" max="4" style="9" width="5.2907142857142855" customWidth="1" bestFit="1"/>
    <col min="5" max="5" style="10" width="5.862142857142857" customWidth="1" bestFit="1"/>
    <col min="6" max="6" style="9" width="5.862142857142857" customWidth="1" bestFit="1"/>
    <col min="7" max="7" style="9" width="21.290714285714284" customWidth="1" bestFit="1"/>
    <col min="8" max="8" style="9" width="13.43357142857143" customWidth="1" bestFit="1"/>
    <col min="9" max="9" style="67" width="12.43357142857143" customWidth="1" bestFit="1"/>
    <col min="10" max="10" style="67" width="16.576428571428572" customWidth="1" bestFit="1"/>
    <col min="11" max="11" style="185" width="11.576428571428572" customWidth="1" bestFit="1"/>
    <col min="12" max="12" style="185" width="12.719285714285713" customWidth="1" bestFit="1"/>
    <col min="13" max="13" style="9" width="26.862142857142857" customWidth="1" bestFit="1"/>
    <col min="14" max="14" style="10" width="15.862142857142858" customWidth="1" bestFit="1"/>
    <col min="15" max="15" style="186" width="11.576428571428572" customWidth="1" bestFit="1"/>
    <col min="16" max="16" style="10" width="9.576428571428572" customWidth="1" bestFit="1"/>
    <col min="17" max="17" style="67" width="9.005" customWidth="1" bestFit="1"/>
    <col min="18" max="18" style="10" width="13.005" customWidth="1" bestFit="1"/>
    <col min="19" max="19" style="9" width="10.576428571428572" customWidth="1" bestFit="1"/>
    <col min="20" max="20" style="67" width="7.576428571428571" customWidth="1" bestFit="1"/>
    <col min="21" max="21" style="185" width="9.576428571428572" customWidth="1" bestFit="1"/>
    <col min="22" max="22" style="185" width="13.719285714285713" customWidth="1" bestFit="1"/>
    <col min="23" max="23" style="185" width="10.43357142857143" customWidth="1" bestFit="1"/>
    <col min="24" max="24" style="185" width="12.147857142857141" customWidth="1" bestFit="1"/>
    <col min="25" max="25" style="185" width="12.147857142857141" customWidth="1" bestFit="1"/>
    <col min="26" max="26" style="9" width="16.576428571428572" customWidth="1" bestFit="1"/>
    <col min="27" max="27" style="9" width="16.576428571428572" customWidth="1" bestFit="1"/>
    <col min="28" max="28" style="9" width="20.719285714285714" customWidth="1" bestFit="1"/>
    <col min="29" max="29" style="10" width="14.43357142857143" customWidth="1" bestFit="1"/>
    <col min="30" max="30" style="9" width="11.862142857142858" customWidth="1" bestFit="1"/>
    <col min="31" max="31" style="9" width="9.290714285714287" customWidth="1" bestFit="1"/>
    <col min="32" max="32" style="66" width="9.290714285714287" customWidth="1" bestFit="1"/>
    <col min="33" max="33" style="9" width="12.43357142857143" customWidth="1" bestFit="1"/>
    <col min="34" max="34" style="9" width="13.290714285714287" customWidth="1" bestFit="1"/>
    <col min="35" max="35" style="9" width="13.719285714285713" customWidth="1" bestFit="1"/>
    <col min="36" max="36" style="9" width="13.43357142857143" customWidth="1" bestFit="1"/>
    <col min="37" max="37" style="9" width="16.576428571428572" customWidth="1" bestFit="1"/>
  </cols>
  <sheetData>
    <row x14ac:dyDescent="0.25" r="1" customHeight="1" ht="17.25">
      <c r="A1" s="6"/>
      <c r="B1" s="114"/>
      <c r="C1" s="114"/>
      <c r="D1" s="114"/>
      <c r="E1" s="115"/>
      <c r="F1" s="114"/>
      <c r="G1" s="6"/>
      <c r="H1" s="6"/>
      <c r="I1" s="60"/>
      <c r="J1" s="60"/>
      <c r="K1" s="116"/>
      <c r="L1" s="116"/>
      <c r="M1" s="6"/>
      <c r="N1" s="7"/>
      <c r="O1" s="117"/>
      <c r="P1" s="7"/>
      <c r="Q1" s="60"/>
      <c r="R1" s="7"/>
      <c r="S1" s="6"/>
      <c r="T1" s="60"/>
      <c r="U1" s="116"/>
      <c r="V1" s="116"/>
      <c r="W1" s="116"/>
      <c r="X1" s="116"/>
      <c r="Y1" s="116"/>
      <c r="Z1" s="6"/>
      <c r="AA1" s="6"/>
      <c r="AB1" s="6"/>
      <c r="AC1" s="7"/>
      <c r="AD1" s="6"/>
      <c r="AE1" s="6"/>
      <c r="AF1" s="15"/>
      <c r="AG1" s="6"/>
      <c r="AH1" s="6"/>
      <c r="AI1" s="6"/>
      <c r="AJ1" s="6"/>
      <c r="AK1" s="6"/>
    </row>
    <row x14ac:dyDescent="0.25" r="2" customHeight="1" ht="17.25">
      <c r="A2" s="6"/>
      <c r="B2" s="6"/>
      <c r="C2" s="6"/>
      <c r="D2" s="6"/>
      <c r="E2" s="7"/>
      <c r="F2" s="6"/>
      <c r="G2" s="6"/>
      <c r="H2" s="6"/>
      <c r="I2" s="60"/>
      <c r="J2" s="118"/>
      <c r="K2" s="119" t="s">
        <v>156</v>
      </c>
      <c r="L2" s="119"/>
      <c r="M2" s="120"/>
      <c r="N2" s="121"/>
      <c r="O2" s="122" t="s">
        <v>157</v>
      </c>
      <c r="P2" s="123"/>
      <c r="Q2" s="124" t="s">
        <v>158</v>
      </c>
      <c r="R2" s="123"/>
      <c r="S2" s="120"/>
      <c r="T2" s="118"/>
      <c r="U2" s="125" t="s">
        <v>156</v>
      </c>
      <c r="V2" s="126"/>
      <c r="W2" s="125" t="s">
        <v>156</v>
      </c>
      <c r="X2" s="125"/>
      <c r="Y2" s="116"/>
      <c r="Z2" s="6"/>
      <c r="AA2" s="6"/>
      <c r="AB2" s="6"/>
      <c r="AC2" s="7"/>
      <c r="AD2" s="6"/>
      <c r="AE2" s="6"/>
      <c r="AF2" s="15"/>
      <c r="AG2" s="6"/>
      <c r="AH2" s="6"/>
      <c r="AI2" s="6"/>
      <c r="AJ2" s="6"/>
      <c r="AK2" s="6"/>
    </row>
    <row x14ac:dyDescent="0.25" r="3" customHeight="1" ht="17.25">
      <c r="A3" s="6"/>
      <c r="B3" s="11" t="s">
        <v>9</v>
      </c>
      <c r="C3" s="11"/>
      <c r="D3" s="11" t="s">
        <v>10</v>
      </c>
      <c r="E3" s="12" t="s">
        <v>11</v>
      </c>
      <c r="F3" s="11" t="s">
        <v>12</v>
      </c>
      <c r="G3" s="127" t="s">
        <v>13</v>
      </c>
      <c r="H3" s="11" t="s">
        <v>159</v>
      </c>
      <c r="I3" s="128" t="s">
        <v>160</v>
      </c>
      <c r="J3" s="129" t="s">
        <v>161</v>
      </c>
      <c r="K3" s="130" t="s">
        <v>162</v>
      </c>
      <c r="L3" s="130" t="s">
        <v>163</v>
      </c>
      <c r="M3" s="127" t="s">
        <v>164</v>
      </c>
      <c r="N3" s="131" t="s">
        <v>165</v>
      </c>
      <c r="O3" s="132" t="s">
        <v>166</v>
      </c>
      <c r="P3" s="131" t="s">
        <v>167</v>
      </c>
      <c r="Q3" s="129" t="s">
        <v>117</v>
      </c>
      <c r="R3" s="131" t="s">
        <v>168</v>
      </c>
      <c r="S3" s="11" t="s">
        <v>169</v>
      </c>
      <c r="T3" s="128" t="s">
        <v>170</v>
      </c>
      <c r="U3" s="130" t="s">
        <v>171</v>
      </c>
      <c r="V3" s="130" t="s">
        <v>172</v>
      </c>
      <c r="W3" s="130" t="s">
        <v>173</v>
      </c>
      <c r="X3" s="130" t="s">
        <v>174</v>
      </c>
      <c r="Y3" s="133" t="s">
        <v>175</v>
      </c>
      <c r="Z3" s="11" t="s">
        <v>176</v>
      </c>
      <c r="AA3" s="134"/>
      <c r="AB3" s="6"/>
      <c r="AC3" s="7"/>
      <c r="AD3" s="6"/>
      <c r="AE3" s="6"/>
      <c r="AF3" s="15"/>
      <c r="AG3" s="6"/>
      <c r="AH3" s="6"/>
      <c r="AI3" s="6"/>
      <c r="AJ3" s="6"/>
      <c r="AK3" s="6"/>
    </row>
    <row x14ac:dyDescent="0.25" r="4" customHeight="1" ht="17.25">
      <c r="A4" s="6"/>
      <c r="B4" s="16" t="s">
        <v>0</v>
      </c>
      <c r="C4" s="135"/>
      <c r="D4" s="17"/>
      <c r="E4" s="18"/>
      <c r="F4" s="17"/>
      <c r="G4" s="19" t="s">
        <v>16</v>
      </c>
      <c r="H4" s="19" t="s">
        <v>17</v>
      </c>
      <c r="I4" s="21">
        <v>0</v>
      </c>
      <c r="J4" s="21">
        <f>인당생산성!H2</f>
      </c>
      <c r="K4" s="136">
        <f>I4/J4</f>
      </c>
      <c r="L4" s="136">
        <f>ROUNDUP(K4/U4,0)</f>
      </c>
      <c r="M4" s="19"/>
      <c r="N4" s="131">
        <f>작업조구성!$B$6</f>
      </c>
      <c r="O4" s="132">
        <f>CEILING(I4/작업조구성!$D$11, 1)</f>
      </c>
      <c r="P4" s="12">
        <f>N4*O4</f>
      </c>
      <c r="Q4" s="12">
        <f>'부분별 보정계수설정'!B2</f>
      </c>
      <c r="R4" s="131">
        <f>ROUND(P4*Q4/N4, 0)*N4</f>
      </c>
      <c r="S4" s="19"/>
      <c r="T4" s="137"/>
      <c r="U4" s="138">
        <v>1</v>
      </c>
      <c r="V4" s="139">
        <f>MAX(1, CEILING(I4/(O4*작업조구성!D11), 1))</f>
      </c>
      <c r="W4" s="140">
        <f>ROUNDUP(U4+Y4, 0)</f>
      </c>
      <c r="X4" s="141">
        <f>ROUNDUP(V4+Y4, 0)</f>
      </c>
      <c r="Y4" s="140"/>
      <c r="Z4" s="11"/>
      <c r="AA4" s="6"/>
      <c r="AB4" s="107" t="s">
        <v>177</v>
      </c>
      <c r="AC4" s="142">
        <v>1.2</v>
      </c>
      <c r="AD4" s="142"/>
      <c r="AE4" s="6"/>
      <c r="AF4" s="15"/>
      <c r="AG4" s="6"/>
      <c r="AH4" s="6"/>
      <c r="AI4" s="6"/>
      <c r="AJ4" s="6"/>
      <c r="AK4" s="6"/>
    </row>
    <row x14ac:dyDescent="0.25" r="5" customHeight="1" ht="17.25">
      <c r="A5" s="6"/>
      <c r="B5" s="11"/>
      <c r="C5" s="22"/>
      <c r="D5" s="22"/>
      <c r="E5" s="23"/>
      <c r="F5" s="22"/>
      <c r="G5" s="24" t="s">
        <v>18</v>
      </c>
      <c r="H5" s="24" t="s">
        <v>19</v>
      </c>
      <c r="I5" s="25">
        <v>228</v>
      </c>
      <c r="J5" s="21">
        <f>인당생산성!H3</f>
      </c>
      <c r="K5" s="143">
        <f>L5*U5</f>
      </c>
      <c r="L5" s="143">
        <f>T5*4</f>
      </c>
      <c r="M5" s="24" t="s">
        <v>178</v>
      </c>
      <c r="N5" s="144">
        <v>4</v>
      </c>
      <c r="O5" s="145">
        <f>T5</f>
      </c>
      <c r="P5" s="144">
        <f>O5*N5</f>
      </c>
      <c r="Q5" s="144">
        <v>1</v>
      </c>
      <c r="R5" s="144">
        <f>P5*Q5</f>
      </c>
      <c r="S5" s="24" t="s">
        <v>179</v>
      </c>
      <c r="T5" s="146">
        <f>CEILING(MIN(2, I5/'펌프카 부위별 타설량'!B1), 1)</f>
      </c>
      <c r="U5" s="147">
        <v>1</v>
      </c>
      <c r="V5" s="147">
        <f>U5</f>
      </c>
      <c r="W5" s="140">
        <f>ROUNDUP(U5+Y5, 0)</f>
      </c>
      <c r="X5" s="148">
        <f>ROUNDUP(V5+Y5, 0)</f>
      </c>
      <c r="Y5" s="140">
        <v>1</v>
      </c>
      <c r="Z5" s="11" t="s">
        <v>180</v>
      </c>
      <c r="AA5" s="6"/>
      <c r="AB5" s="107" t="s">
        <v>181</v>
      </c>
      <c r="AC5" s="149">
        <v>250</v>
      </c>
      <c r="AD5" s="142"/>
      <c r="AE5" s="6"/>
      <c r="AF5" s="15"/>
      <c r="AG5" s="6"/>
      <c r="AH5" s="6"/>
      <c r="AI5" s="6"/>
      <c r="AJ5" s="6"/>
      <c r="AK5" s="6"/>
    </row>
    <row x14ac:dyDescent="0.25" r="6" customHeight="1" ht="17.25">
      <c r="A6" s="6"/>
      <c r="B6" s="16" t="s">
        <v>20</v>
      </c>
      <c r="C6" s="135"/>
      <c r="D6" s="17"/>
      <c r="E6" s="18"/>
      <c r="F6" s="17"/>
      <c r="G6" s="26" t="s">
        <v>21</v>
      </c>
      <c r="H6" s="26" t="s">
        <v>17</v>
      </c>
      <c r="I6" s="27">
        <v>562</v>
      </c>
      <c r="J6" s="21">
        <v>250</v>
      </c>
      <c r="K6" s="150"/>
      <c r="L6" s="150">
        <v>3</v>
      </c>
      <c r="M6" s="26"/>
      <c r="N6" s="151">
        <f>작업조구성!$B$10</f>
      </c>
      <c r="O6" s="152">
        <v>1</v>
      </c>
      <c r="P6" s="153">
        <f>N6*O6</f>
      </c>
      <c r="Q6" s="153">
        <f>'부분별 보정계수설정'!$B$10</f>
      </c>
      <c r="R6" s="151">
        <f>ROUND(P6*Q6/N6, 0)*N6</f>
      </c>
      <c r="S6" s="26"/>
      <c r="T6" s="154"/>
      <c r="U6" s="155">
        <v>1</v>
      </c>
      <c r="V6" s="155">
        <f>MAX(1, CEILING(I6/(O6*작업조구성!$D$10), 1))</f>
      </c>
      <c r="W6" s="140">
        <f>ROUNDUP(U6+Y6, 0)</f>
      </c>
      <c r="X6" s="148">
        <f>ROUNDUP(V6+Y6, 0)</f>
      </c>
      <c r="Y6" s="140"/>
      <c r="Z6" s="11"/>
      <c r="AA6" s="6"/>
      <c r="AB6" s="107" t="s">
        <v>182</v>
      </c>
      <c r="AC6" s="149">
        <v>250</v>
      </c>
      <c r="AD6" s="142"/>
      <c r="AE6" s="134"/>
      <c r="AF6" s="15"/>
      <c r="AG6" s="6"/>
      <c r="AH6" s="6"/>
      <c r="AI6" s="6"/>
      <c r="AJ6" s="6"/>
      <c r="AK6" s="6"/>
    </row>
    <row x14ac:dyDescent="0.25" r="7" customHeight="1" ht="17.25">
      <c r="A7" s="6"/>
      <c r="B7" s="11"/>
      <c r="C7" s="28"/>
      <c r="D7" s="28"/>
      <c r="E7" s="29"/>
      <c r="F7" s="28"/>
      <c r="G7" s="30" t="s">
        <v>22</v>
      </c>
      <c r="H7" s="30" t="s">
        <v>23</v>
      </c>
      <c r="I7" s="31">
        <v>110.62</v>
      </c>
      <c r="J7" s="21">
        <f>인당생산성!H5</f>
      </c>
      <c r="K7" s="156">
        <f>ROUNDUP(I7/J7,0)</f>
      </c>
      <c r="L7" s="156">
        <f>ROUNDUP(K7/U7,0)</f>
      </c>
      <c r="M7" s="30"/>
      <c r="N7" s="131">
        <f>작업조구성!$B$7</f>
      </c>
      <c r="O7" s="132">
        <f>ROUNDUP(I6/작업조구성!$D$7,0)</f>
      </c>
      <c r="P7" s="12">
        <f>N7*O7</f>
      </c>
      <c r="Q7" s="128">
        <f>'부분별 보정계수설정'!$B$3</f>
      </c>
      <c r="R7" s="131">
        <f>ROUND(P7*Q7/N7, 0)*N7</f>
      </c>
      <c r="S7" s="30"/>
      <c r="T7" s="157"/>
      <c r="U7" s="158">
        <v>6</v>
      </c>
      <c r="V7" s="158">
        <f>ROUNDUP(I7/(J7*R7),0)</f>
      </c>
      <c r="W7" s="140">
        <f>ROUNDUP(U7+Y7, 0)</f>
      </c>
      <c r="X7" s="148">
        <f>ROUNDUP(V7+Y7, 0)</f>
      </c>
      <c r="Y7" s="140">
        <v>0.5</v>
      </c>
      <c r="Z7" s="11" t="s">
        <v>183</v>
      </c>
      <c r="AA7" s="6"/>
      <c r="AB7" s="107" t="s">
        <v>184</v>
      </c>
      <c r="AC7" s="149">
        <v>250</v>
      </c>
      <c r="AD7" s="142"/>
      <c r="AE7" s="134"/>
      <c r="AF7" s="15"/>
      <c r="AG7" s="6"/>
      <c r="AH7" s="6"/>
      <c r="AI7" s="6"/>
      <c r="AJ7" s="6"/>
      <c r="AK7" s="6"/>
    </row>
    <row x14ac:dyDescent="0.25" r="8" customHeight="1" ht="17.25">
      <c r="A8" s="6"/>
      <c r="B8" s="11"/>
      <c r="C8" s="28"/>
      <c r="D8" s="28"/>
      <c r="E8" s="29"/>
      <c r="F8" s="28"/>
      <c r="G8" s="19" t="s">
        <v>24</v>
      </c>
      <c r="H8" s="19" t="s">
        <v>17</v>
      </c>
      <c r="I8" s="21">
        <v>120</v>
      </c>
      <c r="J8" s="21">
        <f>인당생산성!H6</f>
      </c>
      <c r="K8" s="136">
        <f>ROUNDUP(I8/J8,0)</f>
      </c>
      <c r="L8" s="136">
        <f>ROUNDUP(K8/U8,0)</f>
      </c>
      <c r="M8" s="19"/>
      <c r="N8" s="131">
        <f>작업조구성!$B$6</f>
      </c>
      <c r="O8" s="132">
        <f>CEILING(I8/작업조구성!$D$12, 1)</f>
      </c>
      <c r="P8" s="12">
        <f>N8*O8</f>
      </c>
      <c r="Q8" s="12">
        <f>'부분별 보정계수설정'!B12</f>
      </c>
      <c r="R8" s="131">
        <f>ROUND(P8*Q8/N8, 0)*N8</f>
      </c>
      <c r="S8" s="19"/>
      <c r="T8" s="137"/>
      <c r="U8" s="138">
        <v>2</v>
      </c>
      <c r="V8" s="138">
        <f>ROUNDUP(I8/(J8*R8),0)</f>
      </c>
      <c r="W8" s="140">
        <f>ROUNDUP(U8+Y8, 0)</f>
      </c>
      <c r="X8" s="148">
        <f>ROUNDUP(V8+Y8, 0)</f>
      </c>
      <c r="Y8" s="140">
        <v>0.5</v>
      </c>
      <c r="Z8" s="11" t="s">
        <v>183</v>
      </c>
      <c r="AA8" s="6"/>
      <c r="AB8" s="6"/>
      <c r="AC8" s="7"/>
      <c r="AD8" s="142"/>
      <c r="AE8" s="134"/>
      <c r="AF8" s="15"/>
      <c r="AG8" s="6"/>
      <c r="AH8" s="6"/>
      <c r="AI8" s="6"/>
      <c r="AJ8" s="6"/>
      <c r="AK8" s="6"/>
    </row>
    <row x14ac:dyDescent="0.25" r="9" customHeight="1" ht="17.25">
      <c r="A9" s="6"/>
      <c r="B9" s="11"/>
      <c r="C9" s="22"/>
      <c r="D9" s="22"/>
      <c r="E9" s="23"/>
      <c r="F9" s="22"/>
      <c r="G9" s="24" t="s">
        <v>25</v>
      </c>
      <c r="H9" s="24" t="s">
        <v>19</v>
      </c>
      <c r="I9" s="25">
        <v>1643</v>
      </c>
      <c r="J9" s="21">
        <f>인당생산성!H7</f>
      </c>
      <c r="K9" s="143">
        <f>L9*U9</f>
      </c>
      <c r="L9" s="143">
        <f>T9*5</f>
      </c>
      <c r="M9" s="24" t="s">
        <v>185</v>
      </c>
      <c r="N9" s="144">
        <v>5</v>
      </c>
      <c r="O9" s="145">
        <f>T9</f>
      </c>
      <c r="P9" s="144">
        <f>O9*N9</f>
      </c>
      <c r="Q9" s="144">
        <v>1</v>
      </c>
      <c r="R9" s="144">
        <f>P9*Q9</f>
      </c>
      <c r="S9" s="24" t="s">
        <v>179</v>
      </c>
      <c r="T9" s="146">
        <f>CEILING(MIN(2, I9/'펌프카 부위별 타설량'!B2), 1)</f>
      </c>
      <c r="U9" s="147">
        <v>1</v>
      </c>
      <c r="V9" s="147">
        <f>U9</f>
      </c>
      <c r="W9" s="140">
        <f>ROUNDUP(U9+Y9, 0)</f>
      </c>
      <c r="X9" s="148">
        <f>ROUNDUP(V9+Y9, 0)</f>
      </c>
      <c r="Y9" s="140">
        <v>2</v>
      </c>
      <c r="Z9" s="11" t="s">
        <v>180</v>
      </c>
      <c r="AA9" s="6"/>
      <c r="AB9" s="6"/>
      <c r="AC9" s="7"/>
      <c r="AD9" s="142"/>
      <c r="AE9" s="134"/>
      <c r="AF9" s="15"/>
      <c r="AG9" s="6"/>
      <c r="AH9" s="6"/>
      <c r="AI9" s="6"/>
      <c r="AJ9" s="6"/>
      <c r="AK9" s="6"/>
    </row>
    <row x14ac:dyDescent="0.25" r="10" customHeight="1" ht="17.25">
      <c r="A10" s="6"/>
      <c r="B10" s="32" t="s">
        <v>26</v>
      </c>
      <c r="C10" s="187" t="s">
        <v>190</v>
      </c>
      <c r="D10" s="33" t="s">
        <v>27</v>
      </c>
      <c r="E10" s="34">
        <f>층고!C2</f>
      </c>
      <c r="F10" s="35"/>
      <c r="G10" s="26" t="s">
        <v>28</v>
      </c>
      <c r="H10" s="26" t="s">
        <v>17</v>
      </c>
      <c r="I10" s="27">
        <v>562</v>
      </c>
      <c r="J10" s="21">
        <v>250</v>
      </c>
      <c r="K10" s="150"/>
      <c r="L10" s="150">
        <v>3</v>
      </c>
      <c r="M10" s="26"/>
      <c r="N10" s="151">
        <f>작업조구성!$B$10</f>
      </c>
      <c r="O10" s="152">
        <v>1</v>
      </c>
      <c r="P10" s="153">
        <f>N10*O10</f>
      </c>
      <c r="Q10" s="153">
        <f>'부분별 보정계수설정'!$B$10</f>
      </c>
      <c r="R10" s="151">
        <f>ROUND(P10*Q10/N10, 0)*N10</f>
      </c>
      <c r="S10" s="26"/>
      <c r="T10" s="154"/>
      <c r="U10" s="155">
        <v>1</v>
      </c>
      <c r="V10" s="155">
        <f>MAX(1, CEILING(I10/(O10*작업조구성!$D$10), 1))</f>
      </c>
      <c r="W10" s="140">
        <f>ROUNDUP(U10+Y10, 0)</f>
      </c>
      <c r="X10" s="148">
        <f>ROUNDUP(V10+Y10, 0)</f>
      </c>
      <c r="Y10" s="140"/>
      <c r="Z10" s="11"/>
      <c r="AA10" s="6"/>
      <c r="AB10" s="6"/>
      <c r="AC10" s="7"/>
      <c r="AD10" s="142"/>
      <c r="AE10" s="6"/>
      <c r="AF10" s="15"/>
      <c r="AG10" s="6"/>
      <c r="AH10" s="6"/>
      <c r="AI10" s="6"/>
      <c r="AJ10" s="6"/>
      <c r="AK10" s="6"/>
    </row>
    <row x14ac:dyDescent="0.25" r="11" customHeight="1" ht="17.25">
      <c r="A11" s="6"/>
      <c r="B11" s="36"/>
      <c r="C11" s="36"/>
      <c r="D11" s="37"/>
      <c r="E11" s="38"/>
      <c r="F11" s="39"/>
      <c r="G11" s="30" t="s">
        <v>29</v>
      </c>
      <c r="H11" s="30" t="s">
        <v>23</v>
      </c>
      <c r="I11" s="31">
        <f>118.01*0.5</f>
      </c>
      <c r="J11" s="21">
        <f>인당생산성!H9</f>
      </c>
      <c r="K11" s="156">
        <f>ROUNDUP(I11/J11,0)</f>
      </c>
      <c r="L11" s="156">
        <f>ROUNDUP(K11/U11,0)</f>
      </c>
      <c r="M11" s="30"/>
      <c r="N11" s="131">
        <f>작업조구성!$B$8</f>
      </c>
      <c r="O11" s="162">
        <f>CEILING(MAX(0, (I12+I13) - (I16/($AC$5/1000))*AC4) / ($E$10/1000) / 25,1)</f>
      </c>
      <c r="P11" s="12">
        <f>N11*O11</f>
      </c>
      <c r="Q11" s="128">
        <f>'부분별 보정계수설정'!$B$4</f>
      </c>
      <c r="R11" s="131">
        <f>ROUND(P11*Q11/N11, 0)*N11</f>
      </c>
      <c r="S11" s="30"/>
      <c r="T11" s="157"/>
      <c r="U11" s="158">
        <v>5</v>
      </c>
      <c r="V11" s="158">
        <f>ROUNDUP(I11/(J11*R11),0)</f>
      </c>
      <c r="W11" s="140">
        <f>ROUNDUP(U11+Y11, 0)</f>
      </c>
      <c r="X11" s="148">
        <f>ROUNDUP(V11+Y11, 0)</f>
      </c>
      <c r="Y11" s="140">
        <v>0.5</v>
      </c>
      <c r="Z11" s="11" t="s">
        <v>183</v>
      </c>
      <c r="AA11" s="6"/>
      <c r="AB11" s="6"/>
      <c r="AC11" s="7"/>
      <c r="AD11" s="142"/>
      <c r="AE11" s="6"/>
      <c r="AF11" s="15"/>
      <c r="AG11" s="6"/>
      <c r="AH11" s="6"/>
      <c r="AI11" s="6"/>
      <c r="AJ11" s="6"/>
      <c r="AK11" s="6"/>
    </row>
    <row x14ac:dyDescent="0.25" r="12" customHeight="1" ht="17.25">
      <c r="A12" s="6"/>
      <c r="B12" s="36"/>
      <c r="C12" s="36"/>
      <c r="D12" s="37"/>
      <c r="E12" s="38"/>
      <c r="F12" s="39"/>
      <c r="G12" s="19" t="s">
        <v>30</v>
      </c>
      <c r="H12" s="19" t="s">
        <v>17</v>
      </c>
      <c r="I12" s="21">
        <f>4855*0.95/2</f>
      </c>
      <c r="J12" s="21">
        <f>인당생산성!H10</f>
      </c>
      <c r="K12" s="136">
        <f>ROUNDUP(I12/J12,0)</f>
      </c>
      <c r="L12" s="136">
        <f>ROUNDUP(K12/U12,0)</f>
      </c>
      <c r="M12" s="19"/>
      <c r="N12" s="131">
        <f>작업조구성!$B$4</f>
      </c>
      <c r="O12" s="162"/>
      <c r="P12" s="12">
        <f>N12*O12</f>
      </c>
      <c r="Q12" s="128">
        <f>'부분별 보정계수설정'!$B$4</f>
      </c>
      <c r="R12" s="131">
        <f>ROUND(P12*Q12/N12, 0)*N12</f>
      </c>
      <c r="S12" s="19"/>
      <c r="T12" s="137"/>
      <c r="U12" s="138">
        <v>17</v>
      </c>
      <c r="V12" s="139">
        <f>ROUNDUP(I12/(J12*R12),0)</f>
      </c>
      <c r="W12" s="140"/>
      <c r="X12" s="148"/>
      <c r="Y12" s="140"/>
      <c r="Z12" s="11"/>
      <c r="AA12" s="6"/>
      <c r="AB12" s="6"/>
      <c r="AC12" s="7"/>
      <c r="AD12" s="142"/>
      <c r="AE12" s="6"/>
      <c r="AF12" s="15"/>
      <c r="AG12" s="6"/>
      <c r="AH12" s="6"/>
      <c r="AI12" s="6"/>
      <c r="AJ12" s="6"/>
      <c r="AK12" s="6"/>
    </row>
    <row x14ac:dyDescent="0.25" r="13" customHeight="1" ht="17.25">
      <c r="A13" s="6"/>
      <c r="B13" s="36"/>
      <c r="C13" s="36"/>
      <c r="D13" s="37"/>
      <c r="E13" s="38"/>
      <c r="F13" s="39"/>
      <c r="G13" s="19" t="s">
        <v>31</v>
      </c>
      <c r="H13" s="19" t="s">
        <v>17</v>
      </c>
      <c r="I13" s="21">
        <f>4855*0.95/2</f>
      </c>
      <c r="J13" s="21">
        <f>인당생산성!H10</f>
      </c>
      <c r="K13" s="136">
        <f>ROUNDUP(I13/J13,0)</f>
      </c>
      <c r="L13" s="136">
        <f>ROUNDUP(K13/U13,0)</f>
      </c>
      <c r="M13" s="19"/>
      <c r="N13" s="131">
        <f>작업조구성!$B$4</f>
      </c>
      <c r="O13" s="162"/>
      <c r="P13" s="12">
        <f>N13*O13</f>
      </c>
      <c r="Q13" s="128">
        <f>'부분별 보정계수설정'!$B$4</f>
      </c>
      <c r="R13" s="131">
        <f>ROUND(P13*Q13/N13, 0)*N13</f>
      </c>
      <c r="S13" s="19"/>
      <c r="T13" s="137"/>
      <c r="U13" s="138">
        <v>17</v>
      </c>
      <c r="V13" s="139">
        <f>ROUNDUP(I13/(J13*R13),0)</f>
      </c>
      <c r="W13" s="140">
        <f>ROUNDUP(U13+Y13, 0)</f>
      </c>
      <c r="X13" s="141">
        <f>ROUNDUP(V13+Y13, 0)</f>
      </c>
      <c r="Y13" s="140">
        <v>1</v>
      </c>
      <c r="Z13" s="11" t="s">
        <v>188</v>
      </c>
      <c r="AA13" s="6"/>
      <c r="AB13" s="6"/>
      <c r="AC13" s="7"/>
      <c r="AD13" s="142"/>
      <c r="AE13" s="134"/>
      <c r="AF13" s="15"/>
      <c r="AG13" s="6"/>
      <c r="AH13" s="6"/>
      <c r="AI13" s="6"/>
      <c r="AJ13" s="6"/>
      <c r="AK13" s="6"/>
    </row>
    <row x14ac:dyDescent="0.25" r="14" customHeight="1" ht="17.25">
      <c r="A14" s="6"/>
      <c r="B14" s="36"/>
      <c r="C14" s="36"/>
      <c r="D14" s="37"/>
      <c r="E14" s="38"/>
      <c r="F14" s="39"/>
      <c r="G14" s="30" t="s">
        <v>32</v>
      </c>
      <c r="H14" s="30" t="s">
        <v>23</v>
      </c>
      <c r="I14" s="31">
        <f>118.01*0.5</f>
      </c>
      <c r="J14" s="21">
        <f>인당생산성!H11</f>
      </c>
      <c r="K14" s="156">
        <f>ROUNDUP(I14/J14,0)</f>
      </c>
      <c r="L14" s="156">
        <f>ROUNDUP(K14/U14,0)</f>
      </c>
      <c r="M14" s="30"/>
      <c r="N14" s="131">
        <f>작업조구성!$B$9</f>
      </c>
      <c r="O14" s="162">
        <f>CEILING(I16*0.5/($AC$5*0.001)/200,1)</f>
      </c>
      <c r="P14" s="12">
        <f>N14*O14</f>
      </c>
      <c r="Q14" s="128">
        <f>'부분별 보정계수설정'!$B$4</f>
      </c>
      <c r="R14" s="131">
        <f>ROUND(P14*Q14/N14, 0)*N14</f>
      </c>
      <c r="S14" s="30"/>
      <c r="T14" s="157"/>
      <c r="U14" s="158">
        <v>5</v>
      </c>
      <c r="V14" s="158">
        <f>ROUNDUP(I14/(J14*R14),0)</f>
      </c>
      <c r="W14" s="140">
        <f>ROUNDUP(U14+Y14, 0)</f>
      </c>
      <c r="X14" s="148">
        <f>ROUNDUP(V14+Y14, 0)</f>
      </c>
      <c r="Y14" s="140">
        <v>0.5</v>
      </c>
      <c r="Z14" s="11" t="s">
        <v>183</v>
      </c>
      <c r="AA14" s="6"/>
      <c r="AB14" s="6"/>
      <c r="AC14" s="7"/>
      <c r="AD14" s="142"/>
      <c r="AE14" s="134"/>
      <c r="AF14" s="15"/>
      <c r="AG14" s="6"/>
      <c r="AH14" s="6"/>
      <c r="AI14" s="6"/>
      <c r="AJ14" s="6"/>
      <c r="AK14" s="6"/>
    </row>
    <row x14ac:dyDescent="0.25" r="15" customHeight="1" ht="17.25">
      <c r="A15" s="6"/>
      <c r="B15" s="36"/>
      <c r="C15" s="36"/>
      <c r="D15" s="37"/>
      <c r="E15" s="38"/>
      <c r="F15" s="39"/>
      <c r="G15" s="19" t="s">
        <v>33</v>
      </c>
      <c r="H15" s="19"/>
      <c r="I15" s="21">
        <f>4855*0.05</f>
      </c>
      <c r="J15" s="21">
        <f>인당생산성!H12</f>
      </c>
      <c r="K15" s="136">
        <f>ROUNDUP(I15/J15,0)</f>
      </c>
      <c r="L15" s="136">
        <f>ROUNDUP(K15/U15,0)</f>
      </c>
      <c r="M15" s="19"/>
      <c r="N15" s="131">
        <f>작업조구성!$B$6</f>
      </c>
      <c r="O15" s="132">
        <f>CEILING(I15/작업조구성!$D$6, 1)</f>
      </c>
      <c r="P15" s="12">
        <f>N15*O15</f>
      </c>
      <c r="Q15" s="12">
        <f>'부분별 보정계수설정'!B11</f>
      </c>
      <c r="R15" s="131">
        <f>ROUND(P15*Q15/N15, 0)*N15</f>
      </c>
      <c r="S15" s="19"/>
      <c r="T15" s="137"/>
      <c r="U15" s="138">
        <v>2</v>
      </c>
      <c r="V15" s="138">
        <f>ROUNDUP(I15/(J15*R15),0)</f>
      </c>
      <c r="W15" s="140">
        <f>ROUNDUP(U15+Y15, 0)</f>
      </c>
      <c r="X15" s="148">
        <f>ROUNDUP(V15+Y15, 0)</f>
      </c>
      <c r="Y15" s="140">
        <v>0.5</v>
      </c>
      <c r="Z15" s="11" t="s">
        <v>183</v>
      </c>
      <c r="AA15" s="6"/>
      <c r="AB15" s="6"/>
      <c r="AC15" s="7"/>
      <c r="AD15" s="142"/>
      <c r="AE15" s="6"/>
      <c r="AF15" s="15"/>
      <c r="AG15" s="6"/>
      <c r="AH15" s="168"/>
      <c r="AI15" s="168"/>
      <c r="AJ15" s="168"/>
      <c r="AK15" s="168"/>
    </row>
    <row x14ac:dyDescent="0.25" r="16" customHeight="1" ht="17.25">
      <c r="A16" s="6"/>
      <c r="B16" s="36"/>
      <c r="C16" s="36"/>
      <c r="D16" s="37"/>
      <c r="E16" s="38"/>
      <c r="F16" s="39"/>
      <c r="G16" s="24" t="s">
        <v>44</v>
      </c>
      <c r="H16" s="24" t="s">
        <v>19</v>
      </c>
      <c r="I16" s="25">
        <v>782</v>
      </c>
      <c r="J16" s="21">
        <f>인당생산성!H13</f>
      </c>
      <c r="K16" s="143">
        <f>L16*U16</f>
      </c>
      <c r="L16" s="143">
        <f>T16*5</f>
      </c>
      <c r="M16" s="24" t="s">
        <v>189</v>
      </c>
      <c r="N16" s="144">
        <v>5</v>
      </c>
      <c r="O16" s="145">
        <f>T16</f>
      </c>
      <c r="P16" s="144">
        <f>O16*N16</f>
      </c>
      <c r="Q16" s="144">
        <v>1</v>
      </c>
      <c r="R16" s="144">
        <f>P16*Q16</f>
      </c>
      <c r="S16" s="24" t="s">
        <v>179</v>
      </c>
      <c r="T16" s="146">
        <f>CEILING(MIN(2, I16/'펌프카 부위별 타설량'!B3), 1)</f>
      </c>
      <c r="U16" s="147">
        <v>1</v>
      </c>
      <c r="V16" s="147">
        <f>U16</f>
      </c>
      <c r="W16" s="140">
        <f>ROUNDUP(U16+Y16, 0)</f>
      </c>
      <c r="X16" s="148">
        <f>ROUNDUP(V16+Y16, 0)</f>
      </c>
      <c r="Y16" s="140">
        <v>3</v>
      </c>
      <c r="Z16" s="11" t="s">
        <v>180</v>
      </c>
      <c r="AA16" s="6"/>
      <c r="AB16" s="6"/>
      <c r="AC16" s="7"/>
      <c r="AD16" s="142"/>
      <c r="AE16" s="134"/>
      <c r="AF16" s="15"/>
      <c r="AG16" s="6"/>
      <c r="AH16" s="168"/>
      <c r="AI16" s="168"/>
      <c r="AJ16" s="168"/>
      <c r="AK16" s="168"/>
    </row>
    <row x14ac:dyDescent="0.25" r="17" customHeight="1" ht="17.25">
      <c r="A17" s="6"/>
      <c r="B17" s="36"/>
      <c r="C17" s="36"/>
      <c r="D17" s="41"/>
      <c r="E17" s="38"/>
      <c r="F17" s="42"/>
      <c r="G17" s="43" t="s">
        <v>35</v>
      </c>
      <c r="H17" s="43"/>
      <c r="I17" s="40">
        <f>(I13+I15+I12)*2</f>
      </c>
      <c r="J17" s="21">
        <f>인당생산성!H14</f>
      </c>
      <c r="K17" s="169">
        <f>ROUNDUP(I17/J17,0)</f>
      </c>
      <c r="L17" s="169">
        <f>ROUNDUP(K17/U17,0)</f>
      </c>
      <c r="M17" s="43"/>
      <c r="N17" s="12">
        <f>작업조구성!$B$5</f>
      </c>
      <c r="O17" s="162"/>
      <c r="P17" s="12">
        <f>N17*O17</f>
      </c>
      <c r="Q17" s="128">
        <f>'부분별 보정계수설정'!$B$4</f>
      </c>
      <c r="R17" s="131">
        <f>ROUND(P17*Q17/N17, 0)*N17</f>
      </c>
      <c r="S17" s="43"/>
      <c r="T17" s="170"/>
      <c r="U17" s="171">
        <v>16</v>
      </c>
      <c r="V17" s="172">
        <f>MAX(1, CEILING(I17/(O17*작업조구성!$D$10), 1))</f>
      </c>
      <c r="W17" s="140">
        <f>ROUNDUP(U17+Y17, 0)</f>
      </c>
      <c r="X17" s="141">
        <f>ROUNDUP(V17+Y17, 0)</f>
      </c>
      <c r="Y17" s="140"/>
      <c r="Z17" s="11"/>
      <c r="AA17" s="6"/>
      <c r="AB17" s="6"/>
      <c r="AC17" s="7"/>
      <c r="AD17" s="142"/>
      <c r="AE17" s="134"/>
      <c r="AF17" s="15"/>
      <c r="AG17" s="6"/>
      <c r="AH17" s="6"/>
      <c r="AI17" s="6"/>
      <c r="AJ17" s="6"/>
      <c r="AK17" s="6"/>
    </row>
    <row x14ac:dyDescent="0.25" r="18" customHeight="1" ht="17.25">
      <c r="A18" s="6"/>
      <c r="B18" s="36"/>
      <c r="C18" s="36"/>
      <c r="D18" s="32" t="s">
        <v>36</v>
      </c>
      <c r="E18" s="44">
        <f>층고!C3</f>
      </c>
      <c r="F18" s="35"/>
      <c r="G18" s="26" t="s">
        <v>28</v>
      </c>
      <c r="H18" s="26" t="s">
        <v>17</v>
      </c>
      <c r="I18" s="27">
        <v>562</v>
      </c>
      <c r="J18" s="21">
        <v>250</v>
      </c>
      <c r="K18" s="150"/>
      <c r="L18" s="150">
        <v>3</v>
      </c>
      <c r="M18" s="26"/>
      <c r="N18" s="151">
        <f>작업조구성!$B$10</f>
      </c>
      <c r="O18" s="152">
        <v>1</v>
      </c>
      <c r="P18" s="153">
        <f>N18*O18</f>
      </c>
      <c r="Q18" s="153">
        <f>'부분별 보정계수설정'!$B$10</f>
      </c>
      <c r="R18" s="151">
        <f>ROUND(P18*Q18/N18, 0)*N18</f>
      </c>
      <c r="S18" s="26"/>
      <c r="T18" s="154"/>
      <c r="U18" s="155">
        <v>1</v>
      </c>
      <c r="V18" s="155">
        <f>MAX(1, CEILING(I18/(O18*작업조구성!$D$10), 1))</f>
      </c>
      <c r="W18" s="140">
        <f>ROUNDUP(U18+Y18, 0)</f>
      </c>
      <c r="X18" s="148">
        <f>ROUNDUP(V18+Y18, 0)</f>
      </c>
      <c r="Y18" s="140">
        <v>1</v>
      </c>
      <c r="Z18" s="11"/>
      <c r="AA18" s="6"/>
      <c r="AB18" s="6"/>
      <c r="AC18" s="7"/>
      <c r="AD18" s="142"/>
      <c r="AE18" s="134"/>
      <c r="AF18" s="15"/>
      <c r="AG18" s="6"/>
      <c r="AH18" s="6"/>
      <c r="AI18" s="6"/>
      <c r="AJ18" s="6"/>
      <c r="AK18" s="6"/>
    </row>
    <row x14ac:dyDescent="0.25" r="19" customHeight="1" ht="17.25">
      <c r="A19" s="6"/>
      <c r="B19" s="36"/>
      <c r="C19" s="36"/>
      <c r="D19" s="36"/>
      <c r="E19" s="45"/>
      <c r="F19" s="39"/>
      <c r="G19" s="30" t="s">
        <v>29</v>
      </c>
      <c r="H19" s="30" t="s">
        <v>23</v>
      </c>
      <c r="I19" s="31">
        <f>152.26*0.6*0.5</f>
      </c>
      <c r="J19" s="21">
        <f>인당생산성!H16</f>
      </c>
      <c r="K19" s="156">
        <f>ROUNDUP(I19/J19,0)</f>
      </c>
      <c r="L19" s="156">
        <f>ROUNDUP(K19/U19,0)</f>
      </c>
      <c r="M19" s="30"/>
      <c r="N19" s="131">
        <f>작업조구성!$B$8</f>
      </c>
      <c r="O19" s="162">
        <f>CEILING(MAX(0, (I20+I21) - (I24/($AC$6/1000))*AC4) / ($E$18/1000) / 25,1)</f>
      </c>
      <c r="P19" s="12">
        <f>N19*O19</f>
      </c>
      <c r="Q19" s="128">
        <f>'부분별 보정계수설정'!$B$4</f>
      </c>
      <c r="R19" s="131">
        <f>ROUND(P19*Q19/N19, 0)*N19</f>
      </c>
      <c r="S19" s="30"/>
      <c r="T19" s="157"/>
      <c r="U19" s="158">
        <v>5</v>
      </c>
      <c r="V19" s="188">
        <f>ROUNDUP(I19/(J19*R19),0)</f>
      </c>
      <c r="W19" s="140">
        <f>ROUNDUP(U19+Y19, 0)</f>
      </c>
      <c r="X19" s="141">
        <f>ROUNDUP(V19+Y19, 0)</f>
      </c>
      <c r="Y19" s="140">
        <v>0.5</v>
      </c>
      <c r="Z19" s="11" t="s">
        <v>183</v>
      </c>
      <c r="AA19" s="6"/>
      <c r="AB19" s="6"/>
      <c r="AC19" s="7"/>
      <c r="AD19" s="142"/>
      <c r="AE19" s="134"/>
      <c r="AF19" s="15"/>
      <c r="AG19" s="6"/>
      <c r="AH19" s="6"/>
      <c r="AI19" s="6"/>
      <c r="AJ19" s="6"/>
      <c r="AK19" s="6"/>
    </row>
    <row x14ac:dyDescent="0.25" r="20" customHeight="1" ht="17.25">
      <c r="A20" s="6"/>
      <c r="B20" s="36"/>
      <c r="C20" s="36"/>
      <c r="D20" s="36"/>
      <c r="E20" s="45"/>
      <c r="F20" s="39"/>
      <c r="G20" s="19" t="s">
        <v>30</v>
      </c>
      <c r="H20" s="19" t="s">
        <v>17</v>
      </c>
      <c r="I20" s="21">
        <f>5072*0.65/2</f>
      </c>
      <c r="J20" s="21">
        <f>인당생산성!H17</f>
      </c>
      <c r="K20" s="136">
        <f>ROUNDUP(I20/J20,0)</f>
      </c>
      <c r="L20" s="136">
        <f>ROUNDUP(K20/U20,0)</f>
      </c>
      <c r="M20" s="19"/>
      <c r="N20" s="131">
        <f>작업조구성!$B$4</f>
      </c>
      <c r="O20" s="162"/>
      <c r="P20" s="12">
        <f>N20*O20</f>
      </c>
      <c r="Q20" s="128">
        <f>'부분별 보정계수설정'!$B$4</f>
      </c>
      <c r="R20" s="131">
        <f>ROUND(P20*Q20/N20, 0)*N20</f>
      </c>
      <c r="S20" s="19"/>
      <c r="T20" s="137"/>
      <c r="U20" s="138">
        <v>19</v>
      </c>
      <c r="V20" s="139">
        <f>ROUNDUP(I20/(J20*R20),0)</f>
      </c>
      <c r="W20" s="140">
        <f>ROUNDUP(U20+Y20, 0)</f>
      </c>
      <c r="X20" s="141">
        <f>ROUNDUP(V20+Y20, 0)</f>
      </c>
      <c r="Y20" s="140">
        <v>0.5</v>
      </c>
      <c r="Z20" s="11" t="s">
        <v>183</v>
      </c>
      <c r="AA20" s="6"/>
      <c r="AB20" s="6"/>
      <c r="AC20" s="7"/>
      <c r="AD20" s="142"/>
      <c r="AE20" s="134"/>
      <c r="AF20" s="15"/>
      <c r="AG20" s="6"/>
      <c r="AH20" s="6"/>
      <c r="AI20" s="6"/>
      <c r="AJ20" s="6"/>
      <c r="AK20" s="6"/>
    </row>
    <row x14ac:dyDescent="0.25" r="21" customHeight="1" ht="17.25">
      <c r="A21" s="6"/>
      <c r="B21" s="36"/>
      <c r="C21" s="36"/>
      <c r="D21" s="36"/>
      <c r="E21" s="45"/>
      <c r="F21" s="39"/>
      <c r="G21" s="19" t="s">
        <v>31</v>
      </c>
      <c r="H21" s="19" t="s">
        <v>17</v>
      </c>
      <c r="I21" s="21">
        <f>5072*0.65/2</f>
      </c>
      <c r="J21" s="21">
        <f>인당생산성!H17</f>
      </c>
      <c r="K21" s="136">
        <f>ROUNDUP(I21/J21,0)</f>
      </c>
      <c r="L21" s="136">
        <f>ROUNDUP(K21/U21,0)</f>
      </c>
      <c r="M21" s="19"/>
      <c r="N21" s="131">
        <f>작업조구성!$B$4</f>
      </c>
      <c r="O21" s="162"/>
      <c r="P21" s="12">
        <f>N21*O21</f>
      </c>
      <c r="Q21" s="128">
        <f>'부분별 보정계수설정'!$B$4</f>
      </c>
      <c r="R21" s="131">
        <f>ROUND(P21*Q21/N21, 0)*N21</f>
      </c>
      <c r="S21" s="19"/>
      <c r="T21" s="137"/>
      <c r="U21" s="138">
        <v>19</v>
      </c>
      <c r="V21" s="139">
        <f>ROUNDUP(I21/(J21*R21),0)</f>
      </c>
      <c r="W21" s="140">
        <f>ROUNDUP(U21+Y21, 0)</f>
      </c>
      <c r="X21" s="141">
        <f>ROUNDUP(V21+Y21, 0)</f>
      </c>
      <c r="Y21" s="140">
        <v>0.5</v>
      </c>
      <c r="Z21" s="11" t="s">
        <v>183</v>
      </c>
      <c r="AA21" s="6"/>
      <c r="AB21" s="6"/>
      <c r="AC21" s="7"/>
      <c r="AD21" s="142"/>
      <c r="AE21" s="134"/>
      <c r="AF21" s="15"/>
      <c r="AG21" s="6"/>
      <c r="AH21" s="6"/>
      <c r="AI21" s="6"/>
      <c r="AJ21" s="6"/>
      <c r="AK21" s="6"/>
    </row>
    <row x14ac:dyDescent="0.25" r="22" customHeight="1" ht="17.25">
      <c r="A22" s="6"/>
      <c r="B22" s="36"/>
      <c r="C22" s="36"/>
      <c r="D22" s="36"/>
      <c r="E22" s="45"/>
      <c r="F22" s="39"/>
      <c r="G22" s="30" t="s">
        <v>32</v>
      </c>
      <c r="H22" s="30" t="s">
        <v>23</v>
      </c>
      <c r="I22" s="31">
        <f>152.26*0.6*0.5</f>
      </c>
      <c r="J22" s="21">
        <f>인당생산성!$H$18</f>
      </c>
      <c r="K22" s="156">
        <f>ROUNDUP(I22/J22,0)</f>
      </c>
      <c r="L22" s="156">
        <f>ROUNDUP(K22/U22,0)</f>
      </c>
      <c r="M22" s="30"/>
      <c r="N22" s="131">
        <f>작업조구성!$B$9</f>
      </c>
      <c r="O22" s="162">
        <f>CEILING(I24*0.5/($AC$5*0.001)/200,1)</f>
      </c>
      <c r="P22" s="12">
        <f>N22*O22</f>
      </c>
      <c r="Q22" s="128">
        <f>'부분별 보정계수설정'!$B$4</f>
      </c>
      <c r="R22" s="131">
        <f>ROUND(P22*Q22/N22, 0)*N22</f>
      </c>
      <c r="S22" s="30"/>
      <c r="T22" s="157"/>
      <c r="U22" s="158">
        <v>5</v>
      </c>
      <c r="V22" s="158">
        <f>ROUNDUP(I22/(J22*R22),0)</f>
      </c>
      <c r="W22" s="140">
        <f>ROUNDUP(U22+Y22, 0)</f>
      </c>
      <c r="X22" s="148">
        <f>ROUNDUP(V22+Y22, 0)</f>
      </c>
      <c r="Y22" s="140">
        <v>0.5</v>
      </c>
      <c r="Z22" s="11" t="s">
        <v>183</v>
      </c>
      <c r="AA22" s="6"/>
      <c r="AB22" s="110"/>
      <c r="AC22" s="8"/>
      <c r="AD22" s="142"/>
      <c r="AE22" s="6"/>
      <c r="AF22" s="15"/>
      <c r="AG22" s="6"/>
      <c r="AH22" s="6"/>
      <c r="AI22" s="6"/>
      <c r="AJ22" s="6"/>
      <c r="AK22" s="6"/>
    </row>
    <row x14ac:dyDescent="0.25" r="23" customHeight="1" ht="17.25">
      <c r="A23" s="6"/>
      <c r="B23" s="36"/>
      <c r="C23" s="36"/>
      <c r="D23" s="36"/>
      <c r="E23" s="45"/>
      <c r="F23" s="39"/>
      <c r="G23" s="19" t="s">
        <v>33</v>
      </c>
      <c r="H23" s="19"/>
      <c r="I23" s="21">
        <f>5072*0.05</f>
      </c>
      <c r="J23" s="21">
        <f>인당생산성!H19</f>
      </c>
      <c r="K23" s="136">
        <f>ROUNDUP(I23/J23,0)</f>
      </c>
      <c r="L23" s="136">
        <f>ROUNDUP(K23/U23,0)</f>
      </c>
      <c r="M23" s="19"/>
      <c r="N23" s="131">
        <f>작업조구성!$B$6</f>
      </c>
      <c r="O23" s="132">
        <f>CEILING(I23/작업조구성!$D$6, 1)</f>
      </c>
      <c r="P23" s="12">
        <f>N23*O23</f>
      </c>
      <c r="Q23" s="128">
        <f>'부분별 보정계수설정'!$B$4</f>
      </c>
      <c r="R23" s="131">
        <f>ROUND(P23*Q23/N23, 0)*N23</f>
      </c>
      <c r="S23" s="19"/>
      <c r="T23" s="137"/>
      <c r="U23" s="138">
        <v>2</v>
      </c>
      <c r="V23" s="138">
        <f>ROUNDUP(I23/(J23*R23),0)</f>
      </c>
      <c r="W23" s="140">
        <f>ROUNDUP(U23+Y23, 0)</f>
      </c>
      <c r="X23" s="148">
        <f>ROUNDUP(V23+Y23, 0)</f>
      </c>
      <c r="Y23" s="140">
        <v>0.5</v>
      </c>
      <c r="Z23" s="11" t="s">
        <v>183</v>
      </c>
      <c r="AA23" s="6"/>
      <c r="AB23" s="110"/>
      <c r="AC23" s="8"/>
      <c r="AD23" s="142"/>
      <c r="AE23" s="6"/>
      <c r="AF23" s="15"/>
      <c r="AG23" s="6"/>
      <c r="AH23" s="6"/>
      <c r="AI23" s="6"/>
      <c r="AJ23" s="6"/>
      <c r="AK23" s="6"/>
    </row>
    <row x14ac:dyDescent="0.25" r="24" customHeight="1" ht="17.25">
      <c r="A24" s="6"/>
      <c r="B24" s="36"/>
      <c r="C24" s="36"/>
      <c r="D24" s="36"/>
      <c r="E24" s="45"/>
      <c r="F24" s="39"/>
      <c r="G24" s="24" t="s">
        <v>44</v>
      </c>
      <c r="H24" s="24" t="s">
        <v>19</v>
      </c>
      <c r="I24" s="25">
        <f>1247*0.6</f>
      </c>
      <c r="J24" s="21">
        <f>인당생산성!H13</f>
      </c>
      <c r="K24" s="143">
        <f>L24*U24</f>
      </c>
      <c r="L24" s="143">
        <f>T24*5</f>
      </c>
      <c r="M24" s="24" t="s">
        <v>189</v>
      </c>
      <c r="N24" s="144">
        <v>5</v>
      </c>
      <c r="O24" s="145">
        <f>T24</f>
      </c>
      <c r="P24" s="144">
        <f>O24*N24</f>
      </c>
      <c r="Q24" s="144">
        <v>1</v>
      </c>
      <c r="R24" s="144">
        <f>P24*Q24</f>
      </c>
      <c r="S24" s="24" t="s">
        <v>179</v>
      </c>
      <c r="T24" s="146">
        <f>CEILING(MIN(2, I24/'펌프카 부위별 타설량'!B2), 1)</f>
      </c>
      <c r="U24" s="147">
        <v>1</v>
      </c>
      <c r="V24" s="147">
        <f>U24</f>
      </c>
      <c r="W24" s="140">
        <f>ROUNDUP(U24+Y24, 0)</f>
      </c>
      <c r="X24" s="148">
        <f>ROUNDUP(V24+Y24, 0)</f>
      </c>
      <c r="Y24" s="140">
        <v>3</v>
      </c>
      <c r="Z24" s="11" t="s">
        <v>180</v>
      </c>
      <c r="AA24" s="6"/>
      <c r="AB24" s="110"/>
      <c r="AC24" s="8"/>
      <c r="AD24" s="142"/>
      <c r="AE24" s="6"/>
      <c r="AF24" s="15"/>
      <c r="AG24" s="6"/>
      <c r="AH24" s="6"/>
      <c r="AI24" s="6"/>
      <c r="AJ24" s="6"/>
      <c r="AK24" s="6"/>
    </row>
    <row x14ac:dyDescent="0.25" r="25" customHeight="1" ht="17.25">
      <c r="A25" s="6"/>
      <c r="B25" s="46"/>
      <c r="C25" s="46"/>
      <c r="D25" s="46"/>
      <c r="E25" s="47"/>
      <c r="F25" s="42"/>
      <c r="G25" s="43" t="s">
        <v>35</v>
      </c>
      <c r="H25" s="43" t="s">
        <v>17</v>
      </c>
      <c r="I25" s="40">
        <f>(I21+I23+I20)*2</f>
      </c>
      <c r="J25" s="21">
        <f>인당생산성!H21</f>
      </c>
      <c r="K25" s="169">
        <f>ROUNDUP(I25/J25,0)</f>
      </c>
      <c r="L25" s="169">
        <f>ROUNDUP(K25/U25,0)</f>
      </c>
      <c r="M25" s="43"/>
      <c r="N25" s="12">
        <f>작업조구성!$B$5</f>
      </c>
      <c r="O25" s="162"/>
      <c r="P25" s="12">
        <f>N25*O25</f>
      </c>
      <c r="Q25" s="128">
        <f>'부분별 보정계수설정'!$B$4</f>
      </c>
      <c r="R25" s="131">
        <f>ROUND(P25*Q25/N25, 0)*N25</f>
      </c>
      <c r="S25" s="43"/>
      <c r="T25" s="170"/>
      <c r="U25" s="171">
        <v>22</v>
      </c>
      <c r="V25" s="172">
        <f>MAX(1, CEILING(I25/(O25*작업조구성!$D$10), 1))</f>
      </c>
      <c r="W25" s="140">
        <f>ROUNDUP(U25+Y25, 0)</f>
      </c>
      <c r="X25" s="141">
        <f>ROUNDUP(V25+Y25, 0)</f>
      </c>
      <c r="Y25" s="140"/>
      <c r="Z25" s="11"/>
      <c r="AA25" s="6"/>
      <c r="AB25" s="189"/>
      <c r="AC25" s="190"/>
      <c r="AD25" s="142"/>
      <c r="AE25" s="6"/>
      <c r="AF25" s="15"/>
      <c r="AG25" s="6"/>
      <c r="AH25" s="6"/>
      <c r="AI25" s="6"/>
      <c r="AJ25" s="6"/>
      <c r="AK25" s="6"/>
    </row>
    <row x14ac:dyDescent="0.25" r="26" customHeight="1" ht="17.25">
      <c r="A26" s="6"/>
      <c r="B26" s="6"/>
      <c r="C26" s="6"/>
      <c r="D26" s="6"/>
      <c r="E26" s="7"/>
      <c r="F26" s="6"/>
      <c r="G26" s="6"/>
      <c r="H26" s="6"/>
      <c r="I26" s="60"/>
      <c r="J26" s="60"/>
      <c r="K26" s="173"/>
      <c r="L26" s="116"/>
      <c r="M26" s="6"/>
      <c r="N26" s="174"/>
      <c r="O26" s="175"/>
      <c r="P26" s="174"/>
      <c r="Q26" s="176"/>
      <c r="R26" s="174"/>
      <c r="S26" s="6"/>
      <c r="T26" s="60"/>
      <c r="U26" s="116"/>
      <c r="V26" s="116"/>
      <c r="W26" s="116"/>
      <c r="X26" s="116"/>
      <c r="Y26" s="116"/>
      <c r="Z26" s="6"/>
      <c r="AA26" s="6"/>
      <c r="AB26" s="6"/>
      <c r="AC26" s="7"/>
      <c r="AD26" s="6"/>
      <c r="AE26" s="6"/>
      <c r="AF26" s="15"/>
      <c r="AG26" s="6"/>
      <c r="AH26" s="6"/>
      <c r="AI26" s="6"/>
      <c r="AJ26" s="6"/>
      <c r="AK26" s="6"/>
    </row>
    <row x14ac:dyDescent="0.25" r="27" customHeight="1" ht="17.25" customFormat="1" s="3">
      <c r="A27" s="15"/>
      <c r="B27" s="15"/>
      <c r="C27" s="15"/>
      <c r="D27" s="15"/>
      <c r="E27" s="177"/>
      <c r="F27" s="15"/>
      <c r="G27" s="15"/>
      <c r="H27" s="15"/>
      <c r="I27" s="178"/>
      <c r="J27" s="178"/>
      <c r="K27" s="179"/>
      <c r="L27" s="180"/>
      <c r="M27" s="181"/>
      <c r="N27" s="174"/>
      <c r="O27" s="175"/>
      <c r="P27" s="174"/>
      <c r="Q27" s="176"/>
      <c r="R27" s="174"/>
      <c r="S27" s="15"/>
      <c r="T27" s="178"/>
      <c r="U27" s="179"/>
      <c r="V27" s="179"/>
      <c r="W27" s="179"/>
      <c r="X27" s="179"/>
      <c r="Y27" s="179"/>
      <c r="Z27" s="15"/>
      <c r="AA27" s="15"/>
      <c r="AB27" s="15"/>
      <c r="AC27" s="177"/>
      <c r="AD27" s="15"/>
      <c r="AE27" s="15"/>
      <c r="AF27" s="15"/>
      <c r="AG27" s="15"/>
      <c r="AH27" s="15"/>
      <c r="AI27" s="15"/>
      <c r="AJ27" s="15"/>
      <c r="AK27" s="15"/>
    </row>
    <row x14ac:dyDescent="0.25" r="28" customHeight="1" ht="17.25">
      <c r="A28" s="6"/>
      <c r="B28" s="6"/>
      <c r="C28" s="6"/>
      <c r="D28" s="6"/>
      <c r="E28" s="7"/>
      <c r="F28" s="6"/>
      <c r="G28" s="6"/>
      <c r="H28" s="6"/>
      <c r="I28" s="60"/>
      <c r="J28" s="60"/>
      <c r="K28" s="116"/>
      <c r="L28" s="116"/>
      <c r="M28" s="6"/>
      <c r="N28" s="7"/>
      <c r="O28" s="117"/>
      <c r="P28" s="7"/>
      <c r="Q28" s="60"/>
      <c r="R28" s="7"/>
      <c r="S28" s="6"/>
      <c r="T28" s="60"/>
      <c r="U28" s="116"/>
      <c r="V28" s="116"/>
      <c r="W28" s="116"/>
      <c r="X28" s="116"/>
      <c r="Y28" s="116"/>
      <c r="Z28" s="6"/>
      <c r="AA28" s="6"/>
      <c r="AB28" s="6"/>
      <c r="AC28" s="7"/>
      <c r="AD28" s="6"/>
      <c r="AE28" s="6"/>
      <c r="AF28" s="15"/>
      <c r="AG28" s="6"/>
      <c r="AH28" s="6"/>
      <c r="AI28" s="6"/>
      <c r="AJ28" s="6"/>
      <c r="AK28" s="6"/>
    </row>
    <row x14ac:dyDescent="0.25" r="29" customHeight="1" ht="17.25">
      <c r="A29" s="6"/>
      <c r="B29" s="6"/>
      <c r="C29" s="6"/>
      <c r="D29" s="6"/>
      <c r="E29" s="7"/>
      <c r="F29" s="6"/>
      <c r="G29" s="6"/>
      <c r="H29" s="6"/>
      <c r="I29" s="60"/>
      <c r="J29" s="60"/>
      <c r="K29" s="116"/>
      <c r="L29" s="116"/>
      <c r="M29" s="6"/>
      <c r="N29" s="7"/>
      <c r="O29" s="117"/>
      <c r="P29" s="7"/>
      <c r="Q29" s="60"/>
      <c r="R29" s="7"/>
      <c r="S29" s="6"/>
      <c r="T29" s="60"/>
      <c r="U29" s="116"/>
      <c r="V29" s="116"/>
      <c r="W29" s="116"/>
      <c r="X29" s="116"/>
      <c r="Y29" s="116"/>
      <c r="Z29" s="6"/>
      <c r="AA29" s="6"/>
      <c r="AB29" s="6"/>
      <c r="AC29" s="7"/>
      <c r="AD29" s="6"/>
      <c r="AE29" s="6"/>
      <c r="AF29" s="15"/>
      <c r="AG29" s="6"/>
      <c r="AH29" s="6"/>
      <c r="AI29" s="6"/>
      <c r="AJ29" s="6"/>
      <c r="AK29" s="6"/>
    </row>
    <row x14ac:dyDescent="0.25" r="30" customHeight="1" ht="17.25" customFormat="1" s="3">
      <c r="A30" s="15"/>
      <c r="B30" s="15"/>
      <c r="C30" s="15"/>
      <c r="D30" s="15"/>
      <c r="E30" s="177"/>
      <c r="F30" s="15"/>
      <c r="G30" s="15"/>
      <c r="H30" s="15"/>
      <c r="I30" s="178"/>
      <c r="J30" s="178"/>
      <c r="K30" s="179"/>
      <c r="L30" s="179"/>
      <c r="M30" s="15"/>
      <c r="N30" s="177"/>
      <c r="O30" s="182"/>
      <c r="P30" s="177"/>
      <c r="Q30" s="178"/>
      <c r="R30" s="177"/>
      <c r="S30" s="15"/>
      <c r="T30" s="178"/>
      <c r="U30" s="179"/>
      <c r="V30" s="179"/>
      <c r="W30" s="179"/>
      <c r="X30" s="179"/>
      <c r="Y30" s="179"/>
      <c r="Z30" s="15"/>
      <c r="AA30" s="183"/>
      <c r="AB30" s="183"/>
      <c r="AC30" s="177"/>
      <c r="AD30" s="15"/>
      <c r="AE30" s="15"/>
      <c r="AF30" s="15"/>
      <c r="AG30" s="15"/>
      <c r="AH30" s="15"/>
      <c r="AI30" s="15"/>
      <c r="AJ30" s="15"/>
      <c r="AK30" s="15"/>
    </row>
    <row x14ac:dyDescent="0.25" r="31" customHeight="1" ht="17.25" customFormat="1" s="3">
      <c r="A31" s="15"/>
      <c r="B31" s="15"/>
      <c r="C31" s="15"/>
      <c r="D31" s="15"/>
      <c r="E31" s="177"/>
      <c r="F31" s="15"/>
      <c r="G31" s="15"/>
      <c r="H31" s="15"/>
      <c r="I31" s="178"/>
      <c r="J31" s="178"/>
      <c r="K31" s="179"/>
      <c r="L31" s="179"/>
      <c r="M31" s="15"/>
      <c r="N31" s="177"/>
      <c r="O31" s="182"/>
      <c r="P31" s="177"/>
      <c r="Q31" s="178"/>
      <c r="R31" s="177"/>
      <c r="S31" s="15"/>
      <c r="T31" s="178"/>
      <c r="U31" s="179"/>
      <c r="V31" s="179"/>
      <c r="W31" s="179"/>
      <c r="X31" s="179"/>
      <c r="Y31" s="179"/>
      <c r="Z31" s="15"/>
      <c r="AA31" s="181"/>
      <c r="AB31" s="181"/>
      <c r="AC31" s="177"/>
      <c r="AD31" s="15"/>
      <c r="AE31" s="15"/>
      <c r="AF31" s="15"/>
      <c r="AG31" s="15"/>
      <c r="AH31" s="15"/>
      <c r="AI31" s="15"/>
      <c r="AJ31" s="15"/>
      <c r="AK31" s="15"/>
    </row>
    <row x14ac:dyDescent="0.25" r="32" customHeight="1" ht="17.25" customFormat="1" s="3">
      <c r="A32" s="15"/>
      <c r="B32" s="15"/>
      <c r="C32" s="15"/>
      <c r="D32" s="15"/>
      <c r="E32" s="177"/>
      <c r="F32" s="15"/>
      <c r="G32" s="15"/>
      <c r="H32" s="15"/>
      <c r="I32" s="178"/>
      <c r="J32" s="178"/>
      <c r="K32" s="179"/>
      <c r="L32" s="179"/>
      <c r="M32" s="15"/>
      <c r="N32" s="177"/>
      <c r="O32" s="182"/>
      <c r="P32" s="177"/>
      <c r="Q32" s="178"/>
      <c r="R32" s="177"/>
      <c r="S32" s="15"/>
      <c r="T32" s="178"/>
      <c r="U32" s="179"/>
      <c r="V32" s="179"/>
      <c r="W32" s="179"/>
      <c r="X32" s="179"/>
      <c r="Y32" s="179"/>
      <c r="Z32" s="15"/>
      <c r="AA32" s="181"/>
      <c r="AB32" s="181"/>
      <c r="AC32" s="177"/>
      <c r="AD32" s="15"/>
      <c r="AE32" s="184"/>
      <c r="AF32" s="184"/>
      <c r="AG32" s="15"/>
      <c r="AH32" s="15"/>
      <c r="AI32" s="15"/>
      <c r="AJ32" s="15"/>
      <c r="AK32" s="15"/>
    </row>
    <row x14ac:dyDescent="0.25" r="33" customHeight="1" ht="17.25" customFormat="1" s="3">
      <c r="A33" s="15"/>
      <c r="B33" s="15"/>
      <c r="C33" s="15"/>
      <c r="D33" s="15"/>
      <c r="E33" s="177"/>
      <c r="F33" s="15"/>
      <c r="G33" s="15"/>
      <c r="H33" s="15"/>
      <c r="I33" s="178"/>
      <c r="J33" s="178"/>
      <c r="K33" s="179"/>
      <c r="L33" s="179"/>
      <c r="M33" s="15"/>
      <c r="N33" s="177"/>
      <c r="O33" s="182"/>
      <c r="P33" s="177"/>
      <c r="Q33" s="178"/>
      <c r="R33" s="177"/>
      <c r="S33" s="15"/>
      <c r="T33" s="178"/>
      <c r="U33" s="179"/>
      <c r="V33" s="179"/>
      <c r="W33" s="179"/>
      <c r="X33" s="179"/>
      <c r="Y33" s="179"/>
      <c r="Z33" s="15"/>
      <c r="AA33" s="181"/>
      <c r="AB33" s="181"/>
      <c r="AC33" s="177"/>
      <c r="AD33" s="15"/>
      <c r="AE33" s="15"/>
      <c r="AF33" s="15"/>
      <c r="AG33" s="15"/>
      <c r="AH33" s="15"/>
      <c r="AI33" s="15"/>
      <c r="AJ33" s="15"/>
      <c r="AK33" s="15"/>
    </row>
    <row x14ac:dyDescent="0.25" r="34" customHeight="1" ht="17.25" customFormat="1" s="3">
      <c r="A34" s="15"/>
      <c r="B34" s="15"/>
      <c r="C34" s="15"/>
      <c r="D34" s="15"/>
      <c r="E34" s="177"/>
      <c r="F34" s="15"/>
      <c r="G34" s="15"/>
      <c r="H34" s="15"/>
      <c r="I34" s="178"/>
      <c r="J34" s="178"/>
      <c r="K34" s="179"/>
      <c r="L34" s="179"/>
      <c r="M34" s="15"/>
      <c r="N34" s="177"/>
      <c r="O34" s="182"/>
      <c r="P34" s="177"/>
      <c r="Q34" s="178"/>
      <c r="R34" s="177"/>
      <c r="S34" s="15"/>
      <c r="T34" s="178"/>
      <c r="U34" s="179"/>
      <c r="V34" s="179"/>
      <c r="W34" s="179"/>
      <c r="X34" s="179"/>
      <c r="Y34" s="179"/>
      <c r="Z34" s="15"/>
      <c r="AA34" s="181"/>
      <c r="AB34" s="181"/>
      <c r="AC34" s="177"/>
      <c r="AD34" s="15"/>
      <c r="AE34" s="15"/>
      <c r="AF34" s="15"/>
      <c r="AG34" s="15"/>
      <c r="AH34" s="15"/>
      <c r="AI34" s="15"/>
      <c r="AJ34" s="15"/>
      <c r="AK34" s="15"/>
    </row>
    <row x14ac:dyDescent="0.25" r="35" customHeight="1" ht="17.25" customFormat="1" s="3">
      <c r="A35" s="15"/>
      <c r="B35" s="15"/>
      <c r="C35" s="15"/>
      <c r="D35" s="15"/>
      <c r="E35" s="177"/>
      <c r="F35" s="15"/>
      <c r="G35" s="15"/>
      <c r="H35" s="15"/>
      <c r="I35" s="178"/>
      <c r="J35" s="178"/>
      <c r="K35" s="179"/>
      <c r="L35" s="179"/>
      <c r="M35" s="15"/>
      <c r="N35" s="177"/>
      <c r="O35" s="182"/>
      <c r="P35" s="177"/>
      <c r="Q35" s="178"/>
      <c r="R35" s="177"/>
      <c r="S35" s="15"/>
      <c r="T35" s="178"/>
      <c r="U35" s="179"/>
      <c r="V35" s="179"/>
      <c r="W35" s="179"/>
      <c r="X35" s="179"/>
      <c r="Y35" s="179"/>
      <c r="Z35" s="15"/>
      <c r="AA35" s="181"/>
      <c r="AB35" s="181"/>
      <c r="AC35" s="177"/>
      <c r="AD35" s="15"/>
      <c r="AE35" s="15"/>
      <c r="AF35" s="15"/>
      <c r="AG35" s="15"/>
      <c r="AH35" s="15"/>
      <c r="AI35" s="15"/>
      <c r="AJ35" s="15"/>
      <c r="AK35" s="15"/>
    </row>
    <row x14ac:dyDescent="0.25" r="36" customHeight="1" ht="17.25" customFormat="1" s="3">
      <c r="A36" s="15"/>
      <c r="B36" s="15"/>
      <c r="C36" s="15"/>
      <c r="D36" s="15"/>
      <c r="E36" s="177"/>
      <c r="F36" s="15"/>
      <c r="G36" s="15"/>
      <c r="H36" s="15"/>
      <c r="I36" s="178"/>
      <c r="J36" s="178"/>
      <c r="K36" s="179"/>
      <c r="L36" s="179"/>
      <c r="M36" s="15"/>
      <c r="N36" s="177"/>
      <c r="O36" s="182"/>
      <c r="P36" s="177"/>
      <c r="Q36" s="178"/>
      <c r="R36" s="177"/>
      <c r="S36" s="15"/>
      <c r="T36" s="178"/>
      <c r="U36" s="179"/>
      <c r="V36" s="179"/>
      <c r="W36" s="179"/>
      <c r="X36" s="179"/>
      <c r="Y36" s="179"/>
      <c r="Z36" s="15"/>
      <c r="AA36" s="181"/>
      <c r="AB36" s="181"/>
      <c r="AC36" s="177"/>
      <c r="AD36" s="15"/>
      <c r="AE36" s="15"/>
      <c r="AF36" s="15"/>
      <c r="AG36" s="15"/>
      <c r="AH36" s="15"/>
      <c r="AI36" s="15"/>
      <c r="AJ36" s="15"/>
      <c r="AK36" s="15"/>
    </row>
    <row x14ac:dyDescent="0.25" r="37" customHeight="1" ht="17.25" customFormat="1" s="3">
      <c r="A37" s="15"/>
      <c r="B37" s="15"/>
      <c r="C37" s="15"/>
      <c r="D37" s="15"/>
      <c r="E37" s="177"/>
      <c r="F37" s="15"/>
      <c r="G37" s="15"/>
      <c r="H37" s="15"/>
      <c r="I37" s="178"/>
      <c r="J37" s="178"/>
      <c r="K37" s="179"/>
      <c r="L37" s="179"/>
      <c r="M37" s="15"/>
      <c r="N37" s="177"/>
      <c r="O37" s="182"/>
      <c r="P37" s="177"/>
      <c r="Q37" s="178"/>
      <c r="R37" s="177"/>
      <c r="S37" s="15"/>
      <c r="T37" s="178"/>
      <c r="U37" s="179"/>
      <c r="V37" s="179"/>
      <c r="W37" s="179"/>
      <c r="X37" s="179"/>
      <c r="Y37" s="179"/>
      <c r="Z37" s="15"/>
      <c r="AA37" s="181"/>
      <c r="AB37" s="181"/>
      <c r="AC37" s="177"/>
      <c r="AD37" s="15"/>
      <c r="AE37" s="15"/>
      <c r="AF37" s="15"/>
      <c r="AG37" s="15"/>
      <c r="AH37" s="15"/>
      <c r="AI37" s="15"/>
      <c r="AJ37" s="15"/>
      <c r="AK37" s="15"/>
    </row>
    <row x14ac:dyDescent="0.25" r="38" customHeight="1" ht="17.25" customFormat="1" s="3">
      <c r="A38" s="15"/>
      <c r="B38" s="15"/>
      <c r="C38" s="15"/>
      <c r="D38" s="15"/>
      <c r="E38" s="177"/>
      <c r="F38" s="15"/>
      <c r="G38" s="15"/>
      <c r="H38" s="15"/>
      <c r="I38" s="178"/>
      <c r="J38" s="178"/>
      <c r="K38" s="179"/>
      <c r="L38" s="179"/>
      <c r="M38" s="15"/>
      <c r="N38" s="177"/>
      <c r="O38" s="182"/>
      <c r="P38" s="177"/>
      <c r="Q38" s="178"/>
      <c r="R38" s="177"/>
      <c r="S38" s="15"/>
      <c r="T38" s="178"/>
      <c r="U38" s="179"/>
      <c r="V38" s="179"/>
      <c r="W38" s="179"/>
      <c r="X38" s="179"/>
      <c r="Y38" s="179"/>
      <c r="Z38" s="15"/>
      <c r="AA38" s="181"/>
      <c r="AB38" s="181"/>
      <c r="AC38" s="177"/>
      <c r="AD38" s="15"/>
      <c r="AE38" s="15"/>
      <c r="AF38" s="15"/>
      <c r="AG38" s="15"/>
      <c r="AH38" s="15"/>
      <c r="AI38" s="15"/>
      <c r="AJ38" s="15"/>
      <c r="AK38" s="15"/>
    </row>
    <row x14ac:dyDescent="0.25" r="39" customHeight="1" ht="17.25" customFormat="1" s="3">
      <c r="A39" s="15"/>
      <c r="B39" s="15"/>
      <c r="C39" s="15"/>
      <c r="D39" s="15"/>
      <c r="E39" s="177"/>
      <c r="F39" s="15"/>
      <c r="G39" s="15"/>
      <c r="H39" s="15"/>
      <c r="I39" s="178"/>
      <c r="J39" s="178"/>
      <c r="K39" s="179"/>
      <c r="L39" s="179"/>
      <c r="M39" s="15"/>
      <c r="N39" s="177"/>
      <c r="O39" s="182"/>
      <c r="P39" s="177"/>
      <c r="Q39" s="178"/>
      <c r="R39" s="177"/>
      <c r="S39" s="15"/>
      <c r="T39" s="178"/>
      <c r="U39" s="179"/>
      <c r="V39" s="179"/>
      <c r="W39" s="179"/>
      <c r="X39" s="179"/>
      <c r="Y39" s="179"/>
      <c r="Z39" s="15"/>
      <c r="AA39" s="181"/>
      <c r="AB39" s="181"/>
      <c r="AC39" s="177"/>
      <c r="AD39" s="15"/>
      <c r="AE39" s="15"/>
      <c r="AF39" s="15"/>
      <c r="AG39" s="15"/>
      <c r="AH39" s="15"/>
      <c r="AI39" s="15"/>
      <c r="AJ39" s="15"/>
      <c r="AK39" s="15"/>
    </row>
  </sheetData>
  <mergeCells count="19">
    <mergeCell ref="K2:L2"/>
    <mergeCell ref="O2:P2"/>
    <mergeCell ref="Q2:R2"/>
    <mergeCell ref="B4:B5"/>
    <mergeCell ref="D4:D5"/>
    <mergeCell ref="E4:E5"/>
    <mergeCell ref="F4:F5"/>
    <mergeCell ref="B6:B9"/>
    <mergeCell ref="D6:D9"/>
    <mergeCell ref="E6:E9"/>
    <mergeCell ref="F6:F9"/>
    <mergeCell ref="B10:B25"/>
    <mergeCell ref="C10:C25"/>
    <mergeCell ref="D10:D17"/>
    <mergeCell ref="E10:E17"/>
    <mergeCell ref="F10:F17"/>
    <mergeCell ref="D18:D25"/>
    <mergeCell ref="E18:E25"/>
    <mergeCell ref="F18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32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9" width="12.43357142857143" customWidth="1" bestFit="1"/>
    <col min="2" max="2" style="9" width="7.147857142857143" customWidth="1" bestFit="1"/>
    <col min="3" max="3" style="9" width="7.147857142857143" customWidth="1" bestFit="1"/>
    <col min="4" max="4" style="9" width="5.2907142857142855" customWidth="1" bestFit="1"/>
    <col min="5" max="5" style="10" width="5.862142857142857" customWidth="1" bestFit="1"/>
    <col min="6" max="6" style="9" width="5.862142857142857" customWidth="1" bestFit="1"/>
    <col min="7" max="7" style="9" width="21.290714285714284" customWidth="1" bestFit="1"/>
    <col min="8" max="8" style="9" width="13.43357142857143" customWidth="1" bestFit="1"/>
    <col min="9" max="9" style="67" width="12.43357142857143" customWidth="1" bestFit="1"/>
    <col min="10" max="10" style="67" width="16.576428571428572" customWidth="1" bestFit="1"/>
    <col min="11" max="11" style="185" width="11.576428571428572" customWidth="1" bestFit="1"/>
    <col min="12" max="12" style="185" width="12.719285714285713" customWidth="1" bestFit="1"/>
    <col min="13" max="13" style="9" width="26.862142857142857" customWidth="1" bestFit="1"/>
    <col min="14" max="14" style="10" width="15.862142857142858" customWidth="1" bestFit="1"/>
    <col min="15" max="15" style="186" width="11.576428571428572" customWidth="1" bestFit="1"/>
    <col min="16" max="16" style="10" width="9.576428571428572" customWidth="1" bestFit="1"/>
    <col min="17" max="17" style="67" width="9.005" customWidth="1" bestFit="1"/>
    <col min="18" max="18" style="10" width="13.005" customWidth="1" bestFit="1"/>
    <col min="19" max="19" style="9" width="10.576428571428572" customWidth="1" bestFit="1"/>
    <col min="20" max="20" style="67" width="7.576428571428571" customWidth="1" bestFit="1"/>
    <col min="21" max="21" style="185" width="9.576428571428572" customWidth="1" bestFit="1"/>
    <col min="22" max="22" style="185" width="13.719285714285713" customWidth="1" bestFit="1"/>
    <col min="23" max="23" style="185" width="10.43357142857143" customWidth="1" bestFit="1"/>
    <col min="24" max="24" style="185" width="12.147857142857141" customWidth="1" bestFit="1"/>
    <col min="25" max="25" style="185" width="12.147857142857141" customWidth="1" bestFit="1"/>
    <col min="26" max="26" style="9" width="16.576428571428572" customWidth="1" bestFit="1"/>
    <col min="27" max="27" style="9" width="16.576428571428572" customWidth="1" bestFit="1"/>
    <col min="28" max="28" style="9" width="20.719285714285714" customWidth="1" bestFit="1"/>
    <col min="29" max="29" style="10" width="14.43357142857143" customWidth="1" bestFit="1"/>
    <col min="30" max="30" style="9" width="11.862142857142858" customWidth="1" bestFit="1"/>
    <col min="31" max="31" style="9" width="9.290714285714287" customWidth="1" bestFit="1"/>
    <col min="32" max="32" style="66" width="9.290714285714287" customWidth="1" bestFit="1"/>
    <col min="33" max="33" style="9" width="12.43357142857143" customWidth="1" bestFit="1"/>
    <col min="34" max="34" style="9" width="13.290714285714287" customWidth="1" bestFit="1"/>
    <col min="35" max="35" style="9" width="13.719285714285713" customWidth="1" bestFit="1"/>
    <col min="36" max="36" style="9" width="13.43357142857143" customWidth="1" bestFit="1"/>
    <col min="37" max="37" style="9" width="16.576428571428572" customWidth="1" bestFit="1"/>
  </cols>
  <sheetData>
    <row x14ac:dyDescent="0.25" r="1" customHeight="1" ht="17.25">
      <c r="A1" s="6"/>
      <c r="B1" s="114"/>
      <c r="C1" s="114"/>
      <c r="D1" s="114"/>
      <c r="E1" s="115"/>
      <c r="F1" s="114"/>
      <c r="G1" s="6"/>
      <c r="H1" s="6"/>
      <c r="I1" s="60"/>
      <c r="J1" s="60"/>
      <c r="K1" s="116"/>
      <c r="L1" s="116"/>
      <c r="M1" s="6"/>
      <c r="N1" s="7"/>
      <c r="O1" s="117"/>
      <c r="P1" s="7"/>
      <c r="Q1" s="60"/>
      <c r="R1" s="7"/>
      <c r="S1" s="6"/>
      <c r="T1" s="60"/>
      <c r="U1" s="116"/>
      <c r="V1" s="116"/>
      <c r="W1" s="116"/>
      <c r="X1" s="116"/>
      <c r="Y1" s="116"/>
      <c r="Z1" s="6"/>
      <c r="AA1" s="6"/>
      <c r="AB1" s="6"/>
      <c r="AC1" s="7"/>
      <c r="AD1" s="6"/>
      <c r="AE1" s="6"/>
      <c r="AF1" s="15"/>
      <c r="AG1" s="6"/>
      <c r="AH1" s="6"/>
      <c r="AI1" s="6"/>
      <c r="AJ1" s="6"/>
      <c r="AK1" s="6"/>
    </row>
    <row x14ac:dyDescent="0.25" r="2" customHeight="1" ht="17.25">
      <c r="A2" s="6"/>
      <c r="B2" s="6"/>
      <c r="C2" s="6"/>
      <c r="D2" s="6"/>
      <c r="E2" s="7"/>
      <c r="F2" s="6"/>
      <c r="G2" s="6"/>
      <c r="H2" s="6"/>
      <c r="I2" s="60"/>
      <c r="J2" s="118"/>
      <c r="K2" s="119" t="s">
        <v>156</v>
      </c>
      <c r="L2" s="119"/>
      <c r="M2" s="120"/>
      <c r="N2" s="121"/>
      <c r="O2" s="122" t="s">
        <v>157</v>
      </c>
      <c r="P2" s="123"/>
      <c r="Q2" s="124" t="s">
        <v>158</v>
      </c>
      <c r="R2" s="123"/>
      <c r="S2" s="120"/>
      <c r="T2" s="118"/>
      <c r="U2" s="125" t="s">
        <v>156</v>
      </c>
      <c r="V2" s="126"/>
      <c r="W2" s="125" t="s">
        <v>156</v>
      </c>
      <c r="X2" s="125"/>
      <c r="Y2" s="116"/>
      <c r="Z2" s="6"/>
      <c r="AA2" s="6"/>
      <c r="AB2" s="6"/>
      <c r="AC2" s="7"/>
      <c r="AD2" s="6"/>
      <c r="AE2" s="6"/>
      <c r="AF2" s="15"/>
      <c r="AG2" s="6"/>
      <c r="AH2" s="6"/>
      <c r="AI2" s="6"/>
      <c r="AJ2" s="6"/>
      <c r="AK2" s="6"/>
    </row>
    <row x14ac:dyDescent="0.25" r="3" customHeight="1" ht="17.25">
      <c r="A3" s="6"/>
      <c r="B3" s="11" t="s">
        <v>9</v>
      </c>
      <c r="C3" s="11"/>
      <c r="D3" s="11" t="s">
        <v>10</v>
      </c>
      <c r="E3" s="12" t="s">
        <v>11</v>
      </c>
      <c r="F3" s="11" t="s">
        <v>12</v>
      </c>
      <c r="G3" s="127" t="s">
        <v>13</v>
      </c>
      <c r="H3" s="11" t="s">
        <v>159</v>
      </c>
      <c r="I3" s="128" t="s">
        <v>160</v>
      </c>
      <c r="J3" s="129" t="s">
        <v>161</v>
      </c>
      <c r="K3" s="130" t="s">
        <v>162</v>
      </c>
      <c r="L3" s="130" t="s">
        <v>163</v>
      </c>
      <c r="M3" s="127" t="s">
        <v>164</v>
      </c>
      <c r="N3" s="131" t="s">
        <v>165</v>
      </c>
      <c r="O3" s="132" t="s">
        <v>166</v>
      </c>
      <c r="P3" s="131" t="s">
        <v>167</v>
      </c>
      <c r="Q3" s="129" t="s">
        <v>117</v>
      </c>
      <c r="R3" s="131" t="s">
        <v>168</v>
      </c>
      <c r="S3" s="11" t="s">
        <v>169</v>
      </c>
      <c r="T3" s="128" t="s">
        <v>170</v>
      </c>
      <c r="U3" s="130" t="s">
        <v>171</v>
      </c>
      <c r="V3" s="130" t="s">
        <v>172</v>
      </c>
      <c r="W3" s="130" t="s">
        <v>173</v>
      </c>
      <c r="X3" s="130" t="s">
        <v>174</v>
      </c>
      <c r="Y3" s="133" t="s">
        <v>175</v>
      </c>
      <c r="Z3" s="11" t="s">
        <v>176</v>
      </c>
      <c r="AA3" s="134"/>
      <c r="AB3" s="6"/>
      <c r="AC3" s="7"/>
      <c r="AD3" s="6"/>
      <c r="AE3" s="6"/>
      <c r="AF3" s="15"/>
      <c r="AG3" s="6"/>
      <c r="AH3" s="6"/>
      <c r="AI3" s="6"/>
      <c r="AJ3" s="6"/>
      <c r="AK3" s="6"/>
    </row>
    <row x14ac:dyDescent="0.25" r="4" customHeight="1" ht="17.25">
      <c r="A4" s="6"/>
      <c r="B4" s="16" t="s">
        <v>0</v>
      </c>
      <c r="C4" s="135"/>
      <c r="D4" s="17"/>
      <c r="E4" s="18"/>
      <c r="F4" s="17"/>
      <c r="G4" s="19" t="s">
        <v>16</v>
      </c>
      <c r="H4" s="19" t="s">
        <v>17</v>
      </c>
      <c r="I4" s="21">
        <v>0</v>
      </c>
      <c r="J4" s="21">
        <f>인당생산성!H2</f>
      </c>
      <c r="K4" s="136">
        <f>I4/J4</f>
      </c>
      <c r="L4" s="136">
        <f>ROUNDUP(K4/U4,0)</f>
      </c>
      <c r="M4" s="19"/>
      <c r="N4" s="131">
        <f>작업조구성!$B$6</f>
      </c>
      <c r="O4" s="132">
        <f>CEILING(I4/작업조구성!$D$11, 1)</f>
      </c>
      <c r="P4" s="12">
        <f>N4*O4</f>
      </c>
      <c r="Q4" s="12">
        <f>'부분별 보정계수설정'!B2</f>
      </c>
      <c r="R4" s="131">
        <f>ROUND(P4*Q4/N4, 0)*N4</f>
      </c>
      <c r="S4" s="19"/>
      <c r="T4" s="137"/>
      <c r="U4" s="138">
        <v>1</v>
      </c>
      <c r="V4" s="139">
        <f>MAX(1, CEILING(I4/(O4*작업조구성!D11), 1))</f>
      </c>
      <c r="W4" s="140">
        <f>ROUNDUP(U4+Y4, 0)</f>
      </c>
      <c r="X4" s="141">
        <f>ROUNDUP(V4+Y4, 0)</f>
      </c>
      <c r="Y4" s="140"/>
      <c r="Z4" s="11"/>
      <c r="AA4" s="6"/>
      <c r="AB4" s="107" t="s">
        <v>177</v>
      </c>
      <c r="AC4" s="142">
        <v>1.2</v>
      </c>
      <c r="AD4" s="142"/>
      <c r="AE4" s="6"/>
      <c r="AF4" s="15"/>
      <c r="AG4" s="6"/>
      <c r="AH4" s="6"/>
      <c r="AI4" s="6"/>
      <c r="AJ4" s="6"/>
      <c r="AK4" s="6"/>
    </row>
    <row x14ac:dyDescent="0.25" r="5" customHeight="1" ht="17.25">
      <c r="A5" s="6"/>
      <c r="B5" s="11"/>
      <c r="C5" s="22"/>
      <c r="D5" s="22"/>
      <c r="E5" s="23"/>
      <c r="F5" s="22"/>
      <c r="G5" s="24" t="s">
        <v>18</v>
      </c>
      <c r="H5" s="24" t="s">
        <v>19</v>
      </c>
      <c r="I5" s="25">
        <v>228</v>
      </c>
      <c r="J5" s="21">
        <f>인당생산성!H3</f>
      </c>
      <c r="K5" s="143">
        <f>L5*U5</f>
      </c>
      <c r="L5" s="143">
        <f>T5*4</f>
      </c>
      <c r="M5" s="24" t="s">
        <v>178</v>
      </c>
      <c r="N5" s="144">
        <v>4</v>
      </c>
      <c r="O5" s="145">
        <f>T5</f>
      </c>
      <c r="P5" s="144">
        <f>O5*N5</f>
      </c>
      <c r="Q5" s="144">
        <v>1</v>
      </c>
      <c r="R5" s="144">
        <f>P5*Q5</f>
      </c>
      <c r="S5" s="24" t="s">
        <v>179</v>
      </c>
      <c r="T5" s="146">
        <f>CEILING(MIN(2, I5/'펌프카 부위별 타설량'!B1), 1)</f>
      </c>
      <c r="U5" s="147">
        <v>1</v>
      </c>
      <c r="V5" s="147">
        <f>U5</f>
      </c>
      <c r="W5" s="140">
        <f>ROUNDUP(U5+Y5, 0)</f>
      </c>
      <c r="X5" s="148">
        <f>ROUNDUP(V5+Y5, 0)</f>
      </c>
      <c r="Y5" s="140">
        <v>1</v>
      </c>
      <c r="Z5" s="11" t="s">
        <v>180</v>
      </c>
      <c r="AA5" s="6"/>
      <c r="AB5" s="107" t="s">
        <v>181</v>
      </c>
      <c r="AC5" s="149">
        <v>250</v>
      </c>
      <c r="AD5" s="142"/>
      <c r="AE5" s="6"/>
      <c r="AF5" s="15"/>
      <c r="AG5" s="6"/>
      <c r="AH5" s="6"/>
      <c r="AI5" s="6"/>
      <c r="AJ5" s="6"/>
      <c r="AK5" s="6"/>
    </row>
    <row x14ac:dyDescent="0.25" r="6" customHeight="1" ht="17.25">
      <c r="A6" s="6"/>
      <c r="B6" s="16" t="s">
        <v>20</v>
      </c>
      <c r="C6" s="135"/>
      <c r="D6" s="17"/>
      <c r="E6" s="18"/>
      <c r="F6" s="17"/>
      <c r="G6" s="26" t="s">
        <v>21</v>
      </c>
      <c r="H6" s="26" t="s">
        <v>17</v>
      </c>
      <c r="I6" s="27">
        <v>562</v>
      </c>
      <c r="J6" s="21">
        <v>250</v>
      </c>
      <c r="K6" s="150"/>
      <c r="L6" s="150">
        <v>3</v>
      </c>
      <c r="M6" s="26"/>
      <c r="N6" s="151">
        <f>작업조구성!$B$10</f>
      </c>
      <c r="O6" s="152">
        <v>1</v>
      </c>
      <c r="P6" s="153">
        <f>N6*O6</f>
      </c>
      <c r="Q6" s="153">
        <f>'부분별 보정계수설정'!$B$10</f>
      </c>
      <c r="R6" s="151">
        <f>ROUND(P6*Q6/N6, 0)*N6</f>
      </c>
      <c r="S6" s="26"/>
      <c r="T6" s="154"/>
      <c r="U6" s="155">
        <v>1</v>
      </c>
      <c r="V6" s="155">
        <f>MAX(1, CEILING(I6/(O6*작업조구성!$D$10), 1))</f>
      </c>
      <c r="W6" s="140">
        <f>ROUNDUP(U6+Y6, 0)</f>
      </c>
      <c r="X6" s="148">
        <f>ROUNDUP(V6+Y6, 0)</f>
      </c>
      <c r="Y6" s="140"/>
      <c r="Z6" s="11"/>
      <c r="AA6" s="6"/>
      <c r="AB6" s="107" t="s">
        <v>182</v>
      </c>
      <c r="AC6" s="149">
        <v>250</v>
      </c>
      <c r="AD6" s="142"/>
      <c r="AE6" s="134"/>
      <c r="AF6" s="15"/>
      <c r="AG6" s="6"/>
      <c r="AH6" s="6"/>
      <c r="AI6" s="6"/>
      <c r="AJ6" s="6"/>
      <c r="AK6" s="6"/>
    </row>
    <row x14ac:dyDescent="0.25" r="7" customHeight="1" ht="17.25">
      <c r="A7" s="6"/>
      <c r="B7" s="11"/>
      <c r="C7" s="28"/>
      <c r="D7" s="28"/>
      <c r="E7" s="29"/>
      <c r="F7" s="28"/>
      <c r="G7" s="30" t="s">
        <v>22</v>
      </c>
      <c r="H7" s="30" t="s">
        <v>23</v>
      </c>
      <c r="I7" s="31">
        <v>110.62</v>
      </c>
      <c r="J7" s="31">
        <f>인당생산성!H5</f>
      </c>
      <c r="K7" s="156">
        <f>ROUNDUP(I7/J7,0)</f>
      </c>
      <c r="L7" s="156">
        <f>ROUNDUP(K7/U7,0)</f>
      </c>
      <c r="M7" s="30"/>
      <c r="N7" s="131">
        <f>작업조구성!$B$7</f>
      </c>
      <c r="O7" s="132">
        <f>ROUNDUP(I6/작업조구성!$D$7,0)</f>
      </c>
      <c r="P7" s="12">
        <f>N7*O7</f>
      </c>
      <c r="Q7" s="128">
        <f>'부분별 보정계수설정'!$B$3</f>
      </c>
      <c r="R7" s="131">
        <f>ROUND(P7*Q7/N7, 0)*N7</f>
      </c>
      <c r="S7" s="30"/>
      <c r="T7" s="157"/>
      <c r="U7" s="158">
        <v>6</v>
      </c>
      <c r="V7" s="158">
        <f>ROUNDUP(I7/(J7*R7),0)</f>
      </c>
      <c r="W7" s="140">
        <f>ROUNDUP(U7+Y7, 0)</f>
      </c>
      <c r="X7" s="148">
        <f>ROUNDUP(V7+Y7, 0)</f>
      </c>
      <c r="Y7" s="140">
        <v>0.5</v>
      </c>
      <c r="Z7" s="11" t="s">
        <v>183</v>
      </c>
      <c r="AA7" s="6"/>
      <c r="AB7" s="107" t="s">
        <v>184</v>
      </c>
      <c r="AC7" s="149">
        <v>250</v>
      </c>
      <c r="AD7" s="142"/>
      <c r="AE7" s="134"/>
      <c r="AF7" s="15"/>
      <c r="AG7" s="6"/>
      <c r="AH7" s="6"/>
      <c r="AI7" s="6"/>
      <c r="AJ7" s="6"/>
      <c r="AK7" s="6"/>
    </row>
    <row x14ac:dyDescent="0.25" r="8" customHeight="1" ht="17.25">
      <c r="A8" s="6"/>
      <c r="B8" s="11"/>
      <c r="C8" s="28"/>
      <c r="D8" s="28"/>
      <c r="E8" s="29"/>
      <c r="F8" s="28"/>
      <c r="G8" s="19" t="s">
        <v>24</v>
      </c>
      <c r="H8" s="19" t="s">
        <v>17</v>
      </c>
      <c r="I8" s="21">
        <v>120</v>
      </c>
      <c r="J8" s="21">
        <f>인당생산성!H6</f>
      </c>
      <c r="K8" s="136">
        <f>ROUNDUP(I8/J8,0)</f>
      </c>
      <c r="L8" s="136">
        <f>ROUNDUP(K8/U8,0)</f>
      </c>
      <c r="M8" s="19"/>
      <c r="N8" s="131">
        <f>작업조구성!$B$6</f>
      </c>
      <c r="O8" s="132">
        <f>CEILING(I8/작업조구성!$D$12, 1)</f>
      </c>
      <c r="P8" s="12">
        <f>N8*O8</f>
      </c>
      <c r="Q8" s="12">
        <f>'부분별 보정계수설정'!B12</f>
      </c>
      <c r="R8" s="131">
        <f>ROUND(P8*Q8/N8, 0)*N8</f>
      </c>
      <c r="S8" s="19"/>
      <c r="T8" s="137"/>
      <c r="U8" s="138">
        <v>2</v>
      </c>
      <c r="V8" s="138">
        <f>ROUNDUP(I8/(J8*R8),0)</f>
      </c>
      <c r="W8" s="140">
        <f>ROUNDUP(U8+Y8, 0)</f>
      </c>
      <c r="X8" s="148">
        <f>ROUNDUP(V8+Y8, 0)</f>
      </c>
      <c r="Y8" s="140">
        <v>0.5</v>
      </c>
      <c r="Z8" s="11" t="s">
        <v>183</v>
      </c>
      <c r="AA8" s="6"/>
      <c r="AB8" s="6"/>
      <c r="AC8" s="7"/>
      <c r="AD8" s="142"/>
      <c r="AE8" s="134"/>
      <c r="AF8" s="15"/>
      <c r="AG8" s="6"/>
      <c r="AH8" s="6"/>
      <c r="AI8" s="6"/>
      <c r="AJ8" s="6"/>
      <c r="AK8" s="6"/>
    </row>
    <row x14ac:dyDescent="0.25" r="9" customHeight="1" ht="17.25">
      <c r="A9" s="6"/>
      <c r="B9" s="135"/>
      <c r="C9" s="28"/>
      <c r="D9" s="28"/>
      <c r="E9" s="23"/>
      <c r="F9" s="22"/>
      <c r="G9" s="24" t="s">
        <v>25</v>
      </c>
      <c r="H9" s="24" t="s">
        <v>19</v>
      </c>
      <c r="I9" s="25">
        <v>1643</v>
      </c>
      <c r="J9" s="21">
        <f>인당생산성!H7</f>
      </c>
      <c r="K9" s="143">
        <f>L9*U9</f>
      </c>
      <c r="L9" s="143">
        <f>T9*5</f>
      </c>
      <c r="M9" s="24" t="s">
        <v>185</v>
      </c>
      <c r="N9" s="144">
        <v>5</v>
      </c>
      <c r="O9" s="145">
        <f>T9</f>
      </c>
      <c r="P9" s="144">
        <f>O9*N9</f>
      </c>
      <c r="Q9" s="144">
        <v>1</v>
      </c>
      <c r="R9" s="144">
        <f>P9*Q9</f>
      </c>
      <c r="S9" s="24" t="s">
        <v>179</v>
      </c>
      <c r="T9" s="146">
        <f>CEILING(MIN(2, I9/'펌프카 부위별 타설량'!B2), 1)</f>
      </c>
      <c r="U9" s="147">
        <v>1</v>
      </c>
      <c r="V9" s="147">
        <f>U9</f>
      </c>
      <c r="W9" s="140">
        <f>ROUNDUP(U9+Y9, 0)</f>
      </c>
      <c r="X9" s="148">
        <f>ROUNDUP(V9+Y9, 0)</f>
      </c>
      <c r="Y9" s="140">
        <v>2</v>
      </c>
      <c r="Z9" s="11" t="s">
        <v>180</v>
      </c>
      <c r="AA9" s="6"/>
      <c r="AB9" s="6"/>
      <c r="AC9" s="7"/>
      <c r="AD9" s="142"/>
      <c r="AE9" s="134"/>
      <c r="AF9" s="15"/>
      <c r="AG9" s="6"/>
      <c r="AH9" s="6"/>
      <c r="AI9" s="6"/>
      <c r="AJ9" s="6"/>
      <c r="AK9" s="6"/>
    </row>
    <row x14ac:dyDescent="0.25" r="10" customHeight="1" ht="17.25">
      <c r="A10" s="6"/>
      <c r="B10" s="159" t="s">
        <v>26</v>
      </c>
      <c r="C10" s="159" t="s">
        <v>186</v>
      </c>
      <c r="D10" s="159"/>
      <c r="E10" s="160">
        <v>6500</v>
      </c>
      <c r="F10" s="35"/>
      <c r="G10" s="26" t="s">
        <v>28</v>
      </c>
      <c r="H10" s="26" t="s">
        <v>17</v>
      </c>
      <c r="I10" s="27">
        <v>562</v>
      </c>
      <c r="J10" s="21">
        <v>250</v>
      </c>
      <c r="K10" s="150"/>
      <c r="L10" s="150">
        <v>3</v>
      </c>
      <c r="M10" s="26"/>
      <c r="N10" s="151">
        <f>작업조구성!$B$10</f>
      </c>
      <c r="O10" s="152">
        <v>1</v>
      </c>
      <c r="P10" s="153">
        <f>N10*O10</f>
      </c>
      <c r="Q10" s="153">
        <f>'부분별 보정계수설정'!$B$10</f>
      </c>
      <c r="R10" s="151">
        <f>ROUND(P10*Q10/N10, 0)*N10</f>
      </c>
      <c r="S10" s="26"/>
      <c r="T10" s="154"/>
      <c r="U10" s="155">
        <v>1</v>
      </c>
      <c r="V10" s="155">
        <f>MAX(1, CEILING(I10/(O10*작업조구성!$D$10), 1))</f>
      </c>
      <c r="W10" s="140">
        <f>ROUNDUP(U10+Y10, 0)</f>
      </c>
      <c r="X10" s="148">
        <f>ROUNDUP(V10+Y10, 0)</f>
      </c>
      <c r="Y10" s="140"/>
      <c r="Z10" s="11"/>
      <c r="AA10" s="6"/>
      <c r="AB10" s="6"/>
      <c r="AC10" s="7"/>
      <c r="AD10" s="142"/>
      <c r="AE10" s="6"/>
      <c r="AF10" s="15"/>
      <c r="AG10" s="6"/>
      <c r="AH10" s="6"/>
      <c r="AI10" s="6"/>
      <c r="AJ10" s="6"/>
      <c r="AK10" s="6"/>
    </row>
    <row x14ac:dyDescent="0.25" r="11" customHeight="1" ht="17.25">
      <c r="A11" s="6"/>
      <c r="B11" s="20"/>
      <c r="C11" s="20"/>
      <c r="D11" s="20"/>
      <c r="E11" s="161"/>
      <c r="F11" s="39"/>
      <c r="G11" s="30" t="s">
        <v>29</v>
      </c>
      <c r="H11" s="30" t="s">
        <v>23</v>
      </c>
      <c r="I11" s="31">
        <f>118.01*0.5</f>
      </c>
      <c r="J11" s="31">
        <f>인당생산성!H9</f>
      </c>
      <c r="K11" s="156">
        <f>ROUNDUP(I11/J11,0)</f>
      </c>
      <c r="L11" s="156">
        <f>ROUNDUP(K11/U11,0)</f>
      </c>
      <c r="M11" s="30"/>
      <c r="N11" s="131">
        <f>작업조구성!$B$8</f>
      </c>
      <c r="O11" s="162">
        <f>CEILING(MAX(0, (I13+I14) - (I17/($AC$5/1000))*AC4) / ($E$10/1000) / 25,1)</f>
      </c>
      <c r="P11" s="12">
        <f>N11*O11</f>
      </c>
      <c r="Q11" s="128">
        <f>'부분별 보정계수설정'!$B$4</f>
      </c>
      <c r="R11" s="131">
        <f>ROUND(P11*Q11/N11, 0)*N11</f>
      </c>
      <c r="S11" s="30"/>
      <c r="T11" s="157"/>
      <c r="U11" s="158">
        <v>5</v>
      </c>
      <c r="V11" s="158">
        <f>ROUNDUP(I11/(J11*R11),0)</f>
      </c>
      <c r="W11" s="140">
        <f>ROUNDUP(U11+Y11, 0)</f>
      </c>
      <c r="X11" s="148">
        <f>ROUNDUP(V11+Y11, 0)</f>
      </c>
      <c r="Y11" s="140">
        <v>0.5</v>
      </c>
      <c r="Z11" s="11" t="s">
        <v>183</v>
      </c>
      <c r="AA11" s="6"/>
      <c r="AB11" s="6"/>
      <c r="AC11" s="7"/>
      <c r="AD11" s="142"/>
      <c r="AE11" s="6"/>
      <c r="AF11" s="15"/>
      <c r="AG11" s="6"/>
      <c r="AH11" s="6"/>
      <c r="AI11" s="6"/>
      <c r="AJ11" s="6"/>
      <c r="AK11" s="6"/>
    </row>
    <row x14ac:dyDescent="0.25" r="12" customHeight="1" ht="17.25">
      <c r="A12" s="6"/>
      <c r="B12" s="20"/>
      <c r="C12" s="20"/>
      <c r="D12" s="20"/>
      <c r="E12" s="161"/>
      <c r="F12" s="39"/>
      <c r="G12" s="163" t="s">
        <v>187</v>
      </c>
      <c r="H12" s="163" t="s">
        <v>17</v>
      </c>
      <c r="I12" s="164">
        <v>400</v>
      </c>
      <c r="J12" s="164">
        <v>20</v>
      </c>
      <c r="K12" s="165">
        <f>ROUNDUP(I12/J12,0)</f>
      </c>
      <c r="L12" s="165">
        <f>ROUNDUP(K12/U12,0)</f>
      </c>
      <c r="M12" s="163"/>
      <c r="N12" s="131">
        <v>5</v>
      </c>
      <c r="O12" s="162">
        <f>MAX(1, CEILING( (I12*(E10*0.001)) / (J12*N12) / U12, 1))</f>
      </c>
      <c r="P12" s="12">
        <f>N12*O12</f>
      </c>
      <c r="Q12" s="128">
        <f>'부분별 보정계수설정'!$B$4</f>
      </c>
      <c r="R12" s="131">
        <f>ROUND(P12*Q12/N12, 0)*N12</f>
      </c>
      <c r="S12" s="163"/>
      <c r="T12" s="166"/>
      <c r="U12" s="167">
        <v>6</v>
      </c>
      <c r="V12" s="167">
        <f>ROUNDUP(I12/(J12*R12),0)</f>
      </c>
      <c r="W12" s="140"/>
      <c r="X12" s="148"/>
      <c r="Y12" s="140"/>
      <c r="Z12" s="11"/>
      <c r="AA12" s="6"/>
      <c r="AB12" s="6"/>
      <c r="AC12" s="7"/>
      <c r="AD12" s="142"/>
      <c r="AE12" s="6"/>
      <c r="AF12" s="15"/>
      <c r="AG12" s="6"/>
      <c r="AH12" s="6"/>
      <c r="AI12" s="6"/>
      <c r="AJ12" s="6"/>
      <c r="AK12" s="6"/>
    </row>
    <row x14ac:dyDescent="0.25" r="13" customHeight="1" ht="17.25">
      <c r="A13" s="6"/>
      <c r="B13" s="20"/>
      <c r="C13" s="20"/>
      <c r="D13" s="20"/>
      <c r="E13" s="161"/>
      <c r="F13" s="39"/>
      <c r="G13" s="19" t="s">
        <v>30</v>
      </c>
      <c r="H13" s="19" t="s">
        <v>17</v>
      </c>
      <c r="I13" s="21">
        <f>4855*0.95/2</f>
      </c>
      <c r="J13" s="21">
        <f>인당생산성!H10</f>
      </c>
      <c r="K13" s="136">
        <f>ROUNDUP(I13/J13,0)</f>
      </c>
      <c r="L13" s="136">
        <f>ROUNDUP(K13/U13,0)</f>
      </c>
      <c r="M13" s="19"/>
      <c r="N13" s="131">
        <f>작업조구성!$B$4</f>
      </c>
      <c r="O13" s="162"/>
      <c r="P13" s="12">
        <f>N13*O13</f>
      </c>
      <c r="Q13" s="128">
        <f>'부분별 보정계수설정'!$B$4</f>
      </c>
      <c r="R13" s="131">
        <f>ROUND(P13*Q13/N13, 0)*N13</f>
      </c>
      <c r="S13" s="19"/>
      <c r="T13" s="137"/>
      <c r="U13" s="138">
        <v>17</v>
      </c>
      <c r="V13" s="139">
        <f>ROUNDUP(I13/(J13*R13),0)</f>
      </c>
      <c r="W13" s="140"/>
      <c r="X13" s="148"/>
      <c r="Y13" s="140"/>
      <c r="Z13" s="11"/>
      <c r="AA13" s="6"/>
      <c r="AB13" s="6"/>
      <c r="AC13" s="7"/>
      <c r="AD13" s="142"/>
      <c r="AE13" s="6"/>
      <c r="AF13" s="15"/>
      <c r="AG13" s="6"/>
      <c r="AH13" s="6"/>
      <c r="AI13" s="6"/>
      <c r="AJ13" s="6"/>
      <c r="AK13" s="6"/>
    </row>
    <row x14ac:dyDescent="0.25" r="14" customHeight="1" ht="17.25">
      <c r="A14" s="6"/>
      <c r="B14" s="20"/>
      <c r="C14" s="20"/>
      <c r="D14" s="20"/>
      <c r="E14" s="161"/>
      <c r="F14" s="39"/>
      <c r="G14" s="19" t="s">
        <v>31</v>
      </c>
      <c r="H14" s="19" t="s">
        <v>17</v>
      </c>
      <c r="I14" s="21">
        <f>4855*0.95/2</f>
      </c>
      <c r="J14" s="21">
        <f>인당생산성!H10</f>
      </c>
      <c r="K14" s="136">
        <f>ROUNDUP(I14/J14,0)</f>
      </c>
      <c r="L14" s="136">
        <f>ROUNDUP(K14/U14,0)</f>
      </c>
      <c r="M14" s="19"/>
      <c r="N14" s="131">
        <f>작업조구성!$B$4</f>
      </c>
      <c r="O14" s="162"/>
      <c r="P14" s="12">
        <f>N14*O14</f>
      </c>
      <c r="Q14" s="128">
        <f>'부분별 보정계수설정'!$B$4</f>
      </c>
      <c r="R14" s="131">
        <f>ROUND(P14*Q14/N14, 0)*N14</f>
      </c>
      <c r="S14" s="19"/>
      <c r="T14" s="137"/>
      <c r="U14" s="138">
        <v>17</v>
      </c>
      <c r="V14" s="139">
        <f>ROUNDUP(I14/(J14*R14),0)</f>
      </c>
      <c r="W14" s="140">
        <f>ROUNDUP(U14+Y14, 0)</f>
      </c>
      <c r="X14" s="141">
        <f>ROUNDUP(V14+Y14, 0)</f>
      </c>
      <c r="Y14" s="140">
        <v>1</v>
      </c>
      <c r="Z14" s="11" t="s">
        <v>188</v>
      </c>
      <c r="AA14" s="6"/>
      <c r="AB14" s="6"/>
      <c r="AC14" s="7"/>
      <c r="AD14" s="142"/>
      <c r="AE14" s="134"/>
      <c r="AF14" s="15"/>
      <c r="AG14" s="6"/>
      <c r="AH14" s="6"/>
      <c r="AI14" s="6"/>
      <c r="AJ14" s="6"/>
      <c r="AK14" s="6"/>
    </row>
    <row x14ac:dyDescent="0.25" r="15" customHeight="1" ht="17.25">
      <c r="A15" s="6"/>
      <c r="B15" s="20"/>
      <c r="C15" s="20"/>
      <c r="D15" s="20"/>
      <c r="E15" s="161"/>
      <c r="F15" s="39"/>
      <c r="G15" s="30" t="s">
        <v>32</v>
      </c>
      <c r="H15" s="30" t="s">
        <v>23</v>
      </c>
      <c r="I15" s="31">
        <f>118.01*0.5</f>
      </c>
      <c r="J15" s="31">
        <f>인당생산성!H11</f>
      </c>
      <c r="K15" s="156">
        <f>ROUNDUP(I15/J15,0)</f>
      </c>
      <c r="L15" s="156">
        <f>ROUNDUP(K15/U15,0)</f>
      </c>
      <c r="M15" s="30"/>
      <c r="N15" s="131">
        <f>작업조구성!$B$9</f>
      </c>
      <c r="O15" s="162">
        <f>CEILING(I17*0.5/($AC$5*0.001)/200,1)</f>
      </c>
      <c r="P15" s="12">
        <f>N15*O15</f>
      </c>
      <c r="Q15" s="128">
        <f>'부분별 보정계수설정'!$B$4</f>
      </c>
      <c r="R15" s="131">
        <f>ROUND(P15*Q15/N15, 0)*N15</f>
      </c>
      <c r="S15" s="30"/>
      <c r="T15" s="157"/>
      <c r="U15" s="158">
        <v>5</v>
      </c>
      <c r="V15" s="158">
        <f>ROUNDUP(I15/(J15*R15),0)</f>
      </c>
      <c r="W15" s="140">
        <f>ROUNDUP(U15+Y15, 0)</f>
      </c>
      <c r="X15" s="148">
        <f>ROUNDUP(V15+Y15, 0)</f>
      </c>
      <c r="Y15" s="140">
        <v>0.5</v>
      </c>
      <c r="Z15" s="11" t="s">
        <v>183</v>
      </c>
      <c r="AA15" s="6"/>
      <c r="AB15" s="6"/>
      <c r="AC15" s="7"/>
      <c r="AD15" s="142"/>
      <c r="AE15" s="134"/>
      <c r="AF15" s="15"/>
      <c r="AG15" s="6"/>
      <c r="AH15" s="6"/>
      <c r="AI15" s="6"/>
      <c r="AJ15" s="6"/>
      <c r="AK15" s="6"/>
    </row>
    <row x14ac:dyDescent="0.25" r="16" customHeight="1" ht="17.25">
      <c r="A16" s="6"/>
      <c r="B16" s="20"/>
      <c r="C16" s="20"/>
      <c r="D16" s="20"/>
      <c r="E16" s="161"/>
      <c r="F16" s="39"/>
      <c r="G16" s="19" t="s">
        <v>33</v>
      </c>
      <c r="H16" s="19"/>
      <c r="I16" s="21">
        <f>4855*0.05</f>
      </c>
      <c r="J16" s="21">
        <f>인당생산성!H12</f>
      </c>
      <c r="K16" s="136">
        <f>ROUNDUP(I16/J16,0)</f>
      </c>
      <c r="L16" s="136">
        <f>ROUNDUP(K16/U16,0)</f>
      </c>
      <c r="M16" s="19"/>
      <c r="N16" s="131">
        <f>작업조구성!$B$6</f>
      </c>
      <c r="O16" s="132">
        <f>CEILING(I16/작업조구성!$D$6, 1)</f>
      </c>
      <c r="P16" s="12">
        <f>N16*O16</f>
      </c>
      <c r="Q16" s="12">
        <f>'부분별 보정계수설정'!B11</f>
      </c>
      <c r="R16" s="131">
        <f>ROUND(P16*Q16/N16, 0)*N16</f>
      </c>
      <c r="S16" s="19"/>
      <c r="T16" s="137"/>
      <c r="U16" s="138">
        <v>2</v>
      </c>
      <c r="V16" s="138">
        <f>ROUNDUP(I16/(J16*R16),0)</f>
      </c>
      <c r="W16" s="140">
        <f>ROUNDUP(U16+Y16, 0)</f>
      </c>
      <c r="X16" s="148">
        <f>ROUNDUP(V16+Y16, 0)</f>
      </c>
      <c r="Y16" s="140">
        <v>0.5</v>
      </c>
      <c r="Z16" s="11" t="s">
        <v>183</v>
      </c>
      <c r="AA16" s="6"/>
      <c r="AB16" s="6"/>
      <c r="AC16" s="7"/>
      <c r="AD16" s="142"/>
      <c r="AE16" s="6"/>
      <c r="AF16" s="15"/>
      <c r="AG16" s="6"/>
      <c r="AH16" s="168"/>
      <c r="AI16" s="168"/>
      <c r="AJ16" s="168"/>
      <c r="AK16" s="168"/>
    </row>
    <row x14ac:dyDescent="0.25" r="17" customHeight="1" ht="17.25">
      <c r="A17" s="6"/>
      <c r="B17" s="20"/>
      <c r="C17" s="20"/>
      <c r="D17" s="20"/>
      <c r="E17" s="161"/>
      <c r="F17" s="39"/>
      <c r="G17" s="24" t="s">
        <v>44</v>
      </c>
      <c r="H17" s="24" t="s">
        <v>19</v>
      </c>
      <c r="I17" s="25">
        <v>782</v>
      </c>
      <c r="J17" s="25">
        <f>인당생산성!H13</f>
      </c>
      <c r="K17" s="143">
        <f>L17*U17</f>
      </c>
      <c r="L17" s="143">
        <f>T17*5</f>
      </c>
      <c r="M17" s="24" t="s">
        <v>189</v>
      </c>
      <c r="N17" s="144">
        <v>5</v>
      </c>
      <c r="O17" s="145">
        <f>T17</f>
      </c>
      <c r="P17" s="144">
        <f>O17*N17</f>
      </c>
      <c r="Q17" s="144">
        <v>1</v>
      </c>
      <c r="R17" s="144">
        <f>P17*Q17</f>
      </c>
      <c r="S17" s="24" t="s">
        <v>179</v>
      </c>
      <c r="T17" s="146">
        <f>CEILING(MIN(2, I17/'펌프카 부위별 타설량'!B3), 1)</f>
      </c>
      <c r="U17" s="147">
        <v>1</v>
      </c>
      <c r="V17" s="147">
        <f>U17</f>
      </c>
      <c r="W17" s="140">
        <f>ROUNDUP(U17+Y17, 0)</f>
      </c>
      <c r="X17" s="148">
        <f>ROUNDUP(V17+Y17, 0)</f>
      </c>
      <c r="Y17" s="140">
        <v>3</v>
      </c>
      <c r="Z17" s="11" t="s">
        <v>180</v>
      </c>
      <c r="AA17" s="6"/>
      <c r="AB17" s="6"/>
      <c r="AC17" s="7"/>
      <c r="AD17" s="142"/>
      <c r="AE17" s="134"/>
      <c r="AF17" s="15"/>
      <c r="AG17" s="6"/>
      <c r="AH17" s="168"/>
      <c r="AI17" s="168"/>
      <c r="AJ17" s="168"/>
      <c r="AK17" s="168"/>
    </row>
    <row x14ac:dyDescent="0.25" r="18" customHeight="1" ht="17.25">
      <c r="A18" s="6"/>
      <c r="B18" s="20"/>
      <c r="C18" s="20"/>
      <c r="D18" s="20"/>
      <c r="E18" s="161"/>
      <c r="F18" s="42"/>
      <c r="G18" s="43" t="s">
        <v>35</v>
      </c>
      <c r="H18" s="43"/>
      <c r="I18" s="40">
        <f>(I14+I16+I13)*2</f>
      </c>
      <c r="J18" s="40">
        <f>인당생산성!H14</f>
      </c>
      <c r="K18" s="169">
        <f>ROUNDUP(I18/J18,0)</f>
      </c>
      <c r="L18" s="169">
        <f>ROUNDUP(K18/U18,0)</f>
      </c>
      <c r="M18" s="43"/>
      <c r="N18" s="12">
        <f>작업조구성!$B$5</f>
      </c>
      <c r="O18" s="162"/>
      <c r="P18" s="12">
        <f>N18*O18</f>
      </c>
      <c r="Q18" s="128">
        <f>'부분별 보정계수설정'!$B$4</f>
      </c>
      <c r="R18" s="131">
        <f>ROUND(P18*Q18/N18, 0)*N18</f>
      </c>
      <c r="S18" s="43"/>
      <c r="T18" s="170"/>
      <c r="U18" s="171">
        <v>16</v>
      </c>
      <c r="V18" s="172">
        <f>MAX(1, CEILING(I18/(O18*작업조구성!$D$10), 1))</f>
      </c>
      <c r="W18" s="140">
        <f>ROUNDUP(U18+Y18, 0)</f>
      </c>
      <c r="X18" s="141">
        <f>ROUNDUP(V18+Y18, 0)</f>
      </c>
      <c r="Y18" s="140"/>
      <c r="Z18" s="11"/>
      <c r="AA18" s="6"/>
      <c r="AB18" s="6"/>
      <c r="AC18" s="7"/>
      <c r="AD18" s="142"/>
      <c r="AE18" s="134"/>
      <c r="AF18" s="15"/>
      <c r="AG18" s="6"/>
      <c r="AH18" s="6"/>
      <c r="AI18" s="6"/>
      <c r="AJ18" s="6"/>
      <c r="AK18" s="6"/>
    </row>
    <row x14ac:dyDescent="0.25" r="19" customHeight="1" ht="17.25">
      <c r="A19" s="6"/>
      <c r="B19" s="6"/>
      <c r="C19" s="6"/>
      <c r="D19" s="6"/>
      <c r="E19" s="7"/>
      <c r="F19" s="6"/>
      <c r="G19" s="6"/>
      <c r="H19" s="6"/>
      <c r="I19" s="60"/>
      <c r="J19" s="60"/>
      <c r="K19" s="173"/>
      <c r="L19" s="116"/>
      <c r="M19" s="6"/>
      <c r="N19" s="174"/>
      <c r="O19" s="175"/>
      <c r="P19" s="174"/>
      <c r="Q19" s="176"/>
      <c r="R19" s="174"/>
      <c r="S19" s="6"/>
      <c r="T19" s="60"/>
      <c r="U19" s="116"/>
      <c r="V19" s="116"/>
      <c r="W19" s="116"/>
      <c r="X19" s="116"/>
      <c r="Y19" s="116"/>
      <c r="Z19" s="6"/>
      <c r="AA19" s="6"/>
      <c r="AB19" s="6"/>
      <c r="AC19" s="7"/>
      <c r="AD19" s="6"/>
      <c r="AE19" s="6"/>
      <c r="AF19" s="15"/>
      <c r="AG19" s="6"/>
      <c r="AH19" s="6"/>
      <c r="AI19" s="6"/>
      <c r="AJ19" s="6"/>
      <c r="AK19" s="6"/>
    </row>
    <row x14ac:dyDescent="0.25" r="20" customHeight="1" ht="17.25" customFormat="1" s="3">
      <c r="A20" s="15"/>
      <c r="B20" s="15"/>
      <c r="C20" s="15"/>
      <c r="D20" s="15"/>
      <c r="E20" s="177"/>
      <c r="F20" s="15"/>
      <c r="G20" s="15"/>
      <c r="H20" s="15"/>
      <c r="I20" s="178"/>
      <c r="J20" s="178"/>
      <c r="K20" s="179"/>
      <c r="L20" s="180"/>
      <c r="M20" s="181"/>
      <c r="N20" s="174"/>
      <c r="O20" s="175"/>
      <c r="P20" s="174"/>
      <c r="Q20" s="176"/>
      <c r="R20" s="174"/>
      <c r="S20" s="15"/>
      <c r="T20" s="178"/>
      <c r="U20" s="179"/>
      <c r="V20" s="179"/>
      <c r="W20" s="179"/>
      <c r="X20" s="179"/>
      <c r="Y20" s="179"/>
      <c r="Z20" s="15"/>
      <c r="AA20" s="15"/>
      <c r="AB20" s="15"/>
      <c r="AC20" s="177"/>
      <c r="AD20" s="15"/>
      <c r="AE20" s="15"/>
      <c r="AF20" s="15"/>
      <c r="AG20" s="15"/>
      <c r="AH20" s="15"/>
      <c r="AI20" s="15"/>
      <c r="AJ20" s="15"/>
      <c r="AK20" s="15"/>
    </row>
    <row x14ac:dyDescent="0.25" r="21" customHeight="1" ht="17.25">
      <c r="A21" s="6"/>
      <c r="B21" s="6"/>
      <c r="C21" s="6"/>
      <c r="D21" s="6"/>
      <c r="E21" s="7"/>
      <c r="F21" s="6"/>
      <c r="G21" s="6"/>
      <c r="H21" s="6"/>
      <c r="I21" s="60"/>
      <c r="J21" s="60"/>
      <c r="K21" s="116"/>
      <c r="L21" s="116"/>
      <c r="M21" s="6"/>
      <c r="N21" s="7"/>
      <c r="O21" s="117"/>
      <c r="P21" s="7"/>
      <c r="Q21" s="60"/>
      <c r="R21" s="7"/>
      <c r="S21" s="6"/>
      <c r="T21" s="60"/>
      <c r="U21" s="116"/>
      <c r="V21" s="116"/>
      <c r="W21" s="116"/>
      <c r="X21" s="116"/>
      <c r="Y21" s="116"/>
      <c r="Z21" s="6"/>
      <c r="AA21" s="6"/>
      <c r="AB21" s="6"/>
      <c r="AC21" s="7"/>
      <c r="AD21" s="6"/>
      <c r="AE21" s="6"/>
      <c r="AF21" s="15"/>
      <c r="AG21" s="6"/>
      <c r="AH21" s="6"/>
      <c r="AI21" s="6"/>
      <c r="AJ21" s="6"/>
      <c r="AK21" s="6"/>
    </row>
    <row x14ac:dyDescent="0.25" r="22" customHeight="1" ht="17.25">
      <c r="A22" s="6"/>
      <c r="B22" s="6"/>
      <c r="C22" s="6"/>
      <c r="D22" s="6"/>
      <c r="E22" s="7"/>
      <c r="F22" s="6"/>
      <c r="G22" s="6"/>
      <c r="H22" s="6"/>
      <c r="I22" s="60"/>
      <c r="J22" s="60"/>
      <c r="K22" s="116"/>
      <c r="L22" s="116"/>
      <c r="M22" s="6"/>
      <c r="N22" s="7"/>
      <c r="O22" s="117"/>
      <c r="P22" s="7"/>
      <c r="Q22" s="60"/>
      <c r="R22" s="7"/>
      <c r="S22" s="6"/>
      <c r="T22" s="60"/>
      <c r="U22" s="116"/>
      <c r="V22" s="116"/>
      <c r="W22" s="116"/>
      <c r="X22" s="116"/>
      <c r="Y22" s="116"/>
      <c r="Z22" s="6"/>
      <c r="AA22" s="6"/>
      <c r="AB22" s="6"/>
      <c r="AC22" s="7"/>
      <c r="AD22" s="6"/>
      <c r="AE22" s="6"/>
      <c r="AF22" s="15"/>
      <c r="AG22" s="6"/>
      <c r="AH22" s="6"/>
      <c r="AI22" s="6"/>
      <c r="AJ22" s="6"/>
      <c r="AK22" s="6"/>
    </row>
    <row x14ac:dyDescent="0.25" r="23" customHeight="1" ht="17.25" customFormat="1" s="3">
      <c r="A23" s="15"/>
      <c r="B23" s="15"/>
      <c r="C23" s="15"/>
      <c r="D23" s="15"/>
      <c r="E23" s="177"/>
      <c r="F23" s="15"/>
      <c r="G23" s="15"/>
      <c r="H23" s="15"/>
      <c r="I23" s="178"/>
      <c r="J23" s="178"/>
      <c r="K23" s="179"/>
      <c r="L23" s="179"/>
      <c r="M23" s="15"/>
      <c r="N23" s="177"/>
      <c r="O23" s="182"/>
      <c r="P23" s="177"/>
      <c r="Q23" s="178"/>
      <c r="R23" s="177"/>
      <c r="S23" s="15"/>
      <c r="T23" s="178"/>
      <c r="U23" s="179"/>
      <c r="V23" s="179"/>
      <c r="W23" s="179"/>
      <c r="X23" s="179"/>
      <c r="Y23" s="179"/>
      <c r="Z23" s="15"/>
      <c r="AA23" s="183"/>
      <c r="AB23" s="183"/>
      <c r="AC23" s="177"/>
      <c r="AD23" s="15"/>
      <c r="AE23" s="15"/>
      <c r="AF23" s="15"/>
      <c r="AG23" s="15"/>
      <c r="AH23" s="15"/>
      <c r="AI23" s="15"/>
      <c r="AJ23" s="15"/>
      <c r="AK23" s="15"/>
    </row>
    <row x14ac:dyDescent="0.25" r="24" customHeight="1" ht="17.25" customFormat="1" s="3">
      <c r="A24" s="15"/>
      <c r="B24" s="15"/>
      <c r="C24" s="15"/>
      <c r="D24" s="15"/>
      <c r="E24" s="177"/>
      <c r="F24" s="15"/>
      <c r="G24" s="15"/>
      <c r="H24" s="15"/>
      <c r="I24" s="178"/>
      <c r="J24" s="178"/>
      <c r="K24" s="179"/>
      <c r="L24" s="179"/>
      <c r="M24" s="15"/>
      <c r="N24" s="177"/>
      <c r="O24" s="182"/>
      <c r="P24" s="177"/>
      <c r="Q24" s="178"/>
      <c r="R24" s="177"/>
      <c r="S24" s="15"/>
      <c r="T24" s="178"/>
      <c r="U24" s="179"/>
      <c r="V24" s="179"/>
      <c r="W24" s="179"/>
      <c r="X24" s="179"/>
      <c r="Y24" s="179"/>
      <c r="Z24" s="15"/>
      <c r="AA24" s="181"/>
      <c r="AB24" s="181"/>
      <c r="AC24" s="177"/>
      <c r="AD24" s="15"/>
      <c r="AE24" s="15"/>
      <c r="AF24" s="15"/>
      <c r="AG24" s="15"/>
      <c r="AH24" s="15"/>
      <c r="AI24" s="15"/>
      <c r="AJ24" s="15"/>
      <c r="AK24" s="15"/>
    </row>
    <row x14ac:dyDescent="0.25" r="25" customHeight="1" ht="17.25" customFormat="1" s="3">
      <c r="A25" s="15"/>
      <c r="B25" s="15"/>
      <c r="C25" s="15"/>
      <c r="D25" s="15"/>
      <c r="E25" s="177"/>
      <c r="F25" s="15"/>
      <c r="G25" s="15"/>
      <c r="H25" s="15"/>
      <c r="I25" s="178"/>
      <c r="J25" s="178"/>
      <c r="K25" s="179"/>
      <c r="L25" s="179"/>
      <c r="M25" s="15"/>
      <c r="N25" s="177"/>
      <c r="O25" s="182"/>
      <c r="P25" s="177"/>
      <c r="Q25" s="178"/>
      <c r="R25" s="177"/>
      <c r="S25" s="15"/>
      <c r="T25" s="178"/>
      <c r="U25" s="179"/>
      <c r="V25" s="179"/>
      <c r="W25" s="179"/>
      <c r="X25" s="179"/>
      <c r="Y25" s="179"/>
      <c r="Z25" s="15"/>
      <c r="AA25" s="181"/>
      <c r="AB25" s="181"/>
      <c r="AC25" s="177"/>
      <c r="AD25" s="15"/>
      <c r="AE25" s="184"/>
      <c r="AF25" s="184"/>
      <c r="AG25" s="15"/>
      <c r="AH25" s="15"/>
      <c r="AI25" s="15"/>
      <c r="AJ25" s="15"/>
      <c r="AK25" s="15"/>
    </row>
    <row x14ac:dyDescent="0.25" r="26" customHeight="1" ht="17.25" customFormat="1" s="3">
      <c r="A26" s="15"/>
      <c r="B26" s="15"/>
      <c r="C26" s="15"/>
      <c r="D26" s="15"/>
      <c r="E26" s="177"/>
      <c r="F26" s="15"/>
      <c r="G26" s="15"/>
      <c r="H26" s="15"/>
      <c r="I26" s="178"/>
      <c r="J26" s="178"/>
      <c r="K26" s="179"/>
      <c r="L26" s="179"/>
      <c r="M26" s="15"/>
      <c r="N26" s="177"/>
      <c r="O26" s="182"/>
      <c r="P26" s="177"/>
      <c r="Q26" s="178"/>
      <c r="R26" s="177"/>
      <c r="S26" s="15"/>
      <c r="T26" s="178"/>
      <c r="U26" s="179"/>
      <c r="V26" s="179"/>
      <c r="W26" s="179"/>
      <c r="X26" s="179"/>
      <c r="Y26" s="179"/>
      <c r="Z26" s="15"/>
      <c r="AA26" s="181"/>
      <c r="AB26" s="181"/>
      <c r="AC26" s="177"/>
      <c r="AD26" s="15"/>
      <c r="AE26" s="15"/>
      <c r="AF26" s="15"/>
      <c r="AG26" s="15"/>
      <c r="AH26" s="15"/>
      <c r="AI26" s="15"/>
      <c r="AJ26" s="15"/>
      <c r="AK26" s="15"/>
    </row>
    <row x14ac:dyDescent="0.25" r="27" customHeight="1" ht="17.25" customFormat="1" s="3">
      <c r="A27" s="15"/>
      <c r="B27" s="15"/>
      <c r="C27" s="15"/>
      <c r="D27" s="15"/>
      <c r="E27" s="177"/>
      <c r="F27" s="15"/>
      <c r="G27" s="15"/>
      <c r="H27" s="15"/>
      <c r="I27" s="178"/>
      <c r="J27" s="178"/>
      <c r="K27" s="179"/>
      <c r="L27" s="179"/>
      <c r="M27" s="15"/>
      <c r="N27" s="177"/>
      <c r="O27" s="182"/>
      <c r="P27" s="177"/>
      <c r="Q27" s="178"/>
      <c r="R27" s="177"/>
      <c r="S27" s="15"/>
      <c r="T27" s="178"/>
      <c r="U27" s="179"/>
      <c r="V27" s="179"/>
      <c r="W27" s="179"/>
      <c r="X27" s="179"/>
      <c r="Y27" s="179"/>
      <c r="Z27" s="15"/>
      <c r="AA27" s="181"/>
      <c r="AB27" s="181"/>
      <c r="AC27" s="177"/>
      <c r="AD27" s="15"/>
      <c r="AE27" s="15"/>
      <c r="AF27" s="15"/>
      <c r="AG27" s="15"/>
      <c r="AH27" s="15"/>
      <c r="AI27" s="15"/>
      <c r="AJ27" s="15"/>
      <c r="AK27" s="15"/>
    </row>
    <row x14ac:dyDescent="0.25" r="28" customHeight="1" ht="17.25" customFormat="1" s="3">
      <c r="A28" s="15"/>
      <c r="B28" s="15"/>
      <c r="C28" s="15"/>
      <c r="D28" s="15"/>
      <c r="E28" s="177"/>
      <c r="F28" s="15"/>
      <c r="G28" s="15"/>
      <c r="H28" s="15"/>
      <c r="I28" s="178"/>
      <c r="J28" s="178"/>
      <c r="K28" s="179"/>
      <c r="L28" s="179"/>
      <c r="M28" s="15"/>
      <c r="N28" s="177"/>
      <c r="O28" s="182"/>
      <c r="P28" s="177"/>
      <c r="Q28" s="178"/>
      <c r="R28" s="177"/>
      <c r="S28" s="15"/>
      <c r="T28" s="178"/>
      <c r="U28" s="179"/>
      <c r="V28" s="179"/>
      <c r="W28" s="179"/>
      <c r="X28" s="179"/>
      <c r="Y28" s="179"/>
      <c r="Z28" s="15"/>
      <c r="AA28" s="181"/>
      <c r="AB28" s="181"/>
      <c r="AC28" s="177"/>
      <c r="AD28" s="15"/>
      <c r="AE28" s="15"/>
      <c r="AF28" s="15"/>
      <c r="AG28" s="15"/>
      <c r="AH28" s="15"/>
      <c r="AI28" s="15"/>
      <c r="AJ28" s="15"/>
      <c r="AK28" s="15"/>
    </row>
    <row x14ac:dyDescent="0.25" r="29" customHeight="1" ht="17.25" customFormat="1" s="3">
      <c r="A29" s="15"/>
      <c r="B29" s="15"/>
      <c r="C29" s="15"/>
      <c r="D29" s="15"/>
      <c r="E29" s="177"/>
      <c r="F29" s="15"/>
      <c r="G29" s="15"/>
      <c r="H29" s="15"/>
      <c r="I29" s="178"/>
      <c r="J29" s="178"/>
      <c r="K29" s="179"/>
      <c r="L29" s="179"/>
      <c r="M29" s="15"/>
      <c r="N29" s="177"/>
      <c r="O29" s="182"/>
      <c r="P29" s="177"/>
      <c r="Q29" s="178"/>
      <c r="R29" s="177"/>
      <c r="S29" s="15"/>
      <c r="T29" s="178"/>
      <c r="U29" s="179"/>
      <c r="V29" s="179"/>
      <c r="W29" s="179"/>
      <c r="X29" s="179"/>
      <c r="Y29" s="179"/>
      <c r="Z29" s="15"/>
      <c r="AA29" s="181"/>
      <c r="AB29" s="181"/>
      <c r="AC29" s="177"/>
      <c r="AD29" s="15"/>
      <c r="AE29" s="15"/>
      <c r="AF29" s="15"/>
      <c r="AG29" s="15"/>
      <c r="AH29" s="15"/>
      <c r="AI29" s="15"/>
      <c r="AJ29" s="15"/>
      <c r="AK29" s="15"/>
    </row>
    <row x14ac:dyDescent="0.25" r="30" customHeight="1" ht="17.25" customFormat="1" s="3">
      <c r="A30" s="15"/>
      <c r="B30" s="15"/>
      <c r="C30" s="15"/>
      <c r="D30" s="15"/>
      <c r="E30" s="177"/>
      <c r="F30" s="15"/>
      <c r="G30" s="15"/>
      <c r="H30" s="15"/>
      <c r="I30" s="178"/>
      <c r="J30" s="178"/>
      <c r="K30" s="179"/>
      <c r="L30" s="179"/>
      <c r="M30" s="15"/>
      <c r="N30" s="177"/>
      <c r="O30" s="182"/>
      <c r="P30" s="177"/>
      <c r="Q30" s="178"/>
      <c r="R30" s="177"/>
      <c r="S30" s="15"/>
      <c r="T30" s="178"/>
      <c r="U30" s="179"/>
      <c r="V30" s="179"/>
      <c r="W30" s="179"/>
      <c r="X30" s="179"/>
      <c r="Y30" s="179"/>
      <c r="Z30" s="15"/>
      <c r="AA30" s="181"/>
      <c r="AB30" s="181"/>
      <c r="AC30" s="177"/>
      <c r="AD30" s="15"/>
      <c r="AE30" s="15"/>
      <c r="AF30" s="15"/>
      <c r="AG30" s="15"/>
      <c r="AH30" s="15"/>
      <c r="AI30" s="15"/>
      <c r="AJ30" s="15"/>
      <c r="AK30" s="15"/>
    </row>
    <row x14ac:dyDescent="0.25" r="31" customHeight="1" ht="17.25" customFormat="1" s="3">
      <c r="A31" s="15"/>
      <c r="B31" s="15"/>
      <c r="C31" s="15"/>
      <c r="D31" s="15"/>
      <c r="E31" s="177"/>
      <c r="F31" s="15"/>
      <c r="G31" s="15"/>
      <c r="H31" s="15"/>
      <c r="I31" s="178"/>
      <c r="J31" s="178"/>
      <c r="K31" s="179"/>
      <c r="L31" s="179"/>
      <c r="M31" s="15"/>
      <c r="N31" s="177"/>
      <c r="O31" s="182"/>
      <c r="P31" s="177"/>
      <c r="Q31" s="178"/>
      <c r="R31" s="177"/>
      <c r="S31" s="15"/>
      <c r="T31" s="178"/>
      <c r="U31" s="179"/>
      <c r="V31" s="179"/>
      <c r="W31" s="179"/>
      <c r="X31" s="179"/>
      <c r="Y31" s="179"/>
      <c r="Z31" s="15"/>
      <c r="AA31" s="181"/>
      <c r="AB31" s="181"/>
      <c r="AC31" s="177"/>
      <c r="AD31" s="15"/>
      <c r="AE31" s="15"/>
      <c r="AF31" s="15"/>
      <c r="AG31" s="15"/>
      <c r="AH31" s="15"/>
      <c r="AI31" s="15"/>
      <c r="AJ31" s="15"/>
      <c r="AK31" s="15"/>
    </row>
    <row x14ac:dyDescent="0.25" r="32" customHeight="1" ht="17.25" customFormat="1" s="3">
      <c r="A32" s="15"/>
      <c r="B32" s="15"/>
      <c r="C32" s="15"/>
      <c r="D32" s="15"/>
      <c r="E32" s="177"/>
      <c r="F32" s="15"/>
      <c r="G32" s="15"/>
      <c r="H32" s="15"/>
      <c r="I32" s="178"/>
      <c r="J32" s="178"/>
      <c r="K32" s="179"/>
      <c r="L32" s="179"/>
      <c r="M32" s="15"/>
      <c r="N32" s="177"/>
      <c r="O32" s="182"/>
      <c r="P32" s="177"/>
      <c r="Q32" s="178"/>
      <c r="R32" s="177"/>
      <c r="S32" s="15"/>
      <c r="T32" s="178"/>
      <c r="U32" s="179"/>
      <c r="V32" s="179"/>
      <c r="W32" s="179"/>
      <c r="X32" s="179"/>
      <c r="Y32" s="179"/>
      <c r="Z32" s="15"/>
      <c r="AA32" s="181"/>
      <c r="AB32" s="181"/>
      <c r="AC32" s="177"/>
      <c r="AD32" s="15"/>
      <c r="AE32" s="15"/>
      <c r="AF32" s="15"/>
      <c r="AG32" s="15"/>
      <c r="AH32" s="15"/>
      <c r="AI32" s="15"/>
      <c r="AJ32" s="15"/>
      <c r="AK32" s="15"/>
    </row>
  </sheetData>
  <mergeCells count="16">
    <mergeCell ref="K2:L2"/>
    <mergeCell ref="O2:P2"/>
    <mergeCell ref="Q2:R2"/>
    <mergeCell ref="B4:B5"/>
    <mergeCell ref="D4:D5"/>
    <mergeCell ref="E4:E5"/>
    <mergeCell ref="F4:F5"/>
    <mergeCell ref="B6:B9"/>
    <mergeCell ref="D6:D9"/>
    <mergeCell ref="E6:E9"/>
    <mergeCell ref="F6:F9"/>
    <mergeCell ref="B10:B18"/>
    <mergeCell ref="C10:C18"/>
    <mergeCell ref="D10:D18"/>
    <mergeCell ref="E10:E18"/>
    <mergeCell ref="F10:F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7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10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</cols>
  <sheetData>
    <row x14ac:dyDescent="0.25" r="1" customHeight="1" ht="17.25">
      <c r="A1" s="107" t="s">
        <v>9</v>
      </c>
      <c r="B1" s="107" t="s">
        <v>10</v>
      </c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x14ac:dyDescent="0.25" r="2" customHeight="1" ht="17.25">
      <c r="A2" s="108" t="s">
        <v>118</v>
      </c>
      <c r="B2" s="108" t="s">
        <v>27</v>
      </c>
      <c r="C2" s="109">
        <v>3500</v>
      </c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x14ac:dyDescent="0.25" r="3" customHeight="1" ht="17.25">
      <c r="A3" s="108" t="s">
        <v>118</v>
      </c>
      <c r="B3" s="108" t="s">
        <v>36</v>
      </c>
      <c r="C3" s="109">
        <v>5400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</row>
    <row x14ac:dyDescent="0.25" r="4" customHeight="1" ht="17.25">
      <c r="A4" s="108" t="s">
        <v>41</v>
      </c>
      <c r="B4" s="108"/>
      <c r="C4" s="109">
        <v>3050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</row>
    <row x14ac:dyDescent="0.25" r="5" customHeight="1" ht="17.25">
      <c r="A5" s="108" t="s">
        <v>153</v>
      </c>
      <c r="B5" s="108"/>
      <c r="C5" s="109">
        <v>2850</v>
      </c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x14ac:dyDescent="0.25" r="6" customHeight="1" ht="17.25">
      <c r="A6" s="108" t="s">
        <v>48</v>
      </c>
      <c r="B6" s="108"/>
      <c r="C6" s="109">
        <v>2850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</row>
    <row x14ac:dyDescent="0.25" r="7" customHeight="1" ht="17.25">
      <c r="A7" s="108" t="s">
        <v>49</v>
      </c>
      <c r="B7" s="108"/>
      <c r="C7" s="109">
        <v>3050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</row>
    <row x14ac:dyDescent="0.25" r="8" customHeight="1" ht="17.25">
      <c r="A8" s="108" t="s">
        <v>50</v>
      </c>
      <c r="B8" s="108" t="s">
        <v>154</v>
      </c>
      <c r="C8" s="109">
        <v>2650</v>
      </c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</row>
    <row x14ac:dyDescent="0.25" r="9" customHeight="1" ht="17.25">
      <c r="A9" s="108"/>
      <c r="B9" s="108" t="s">
        <v>155</v>
      </c>
      <c r="C9" s="109">
        <v>2650</v>
      </c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</row>
    <row x14ac:dyDescent="0.25" r="10" customHeight="1" ht="17.25">
      <c r="A10" s="108"/>
      <c r="B10" s="108"/>
      <c r="C10" s="111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</row>
    <row x14ac:dyDescent="0.25" r="11" customHeight="1" ht="17.25">
      <c r="A11" s="108"/>
      <c r="B11" s="108"/>
      <c r="C11" s="111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</row>
    <row x14ac:dyDescent="0.25" r="12" customHeight="1" ht="17.25">
      <c r="A12" s="112"/>
      <c r="B12" s="112"/>
      <c r="C12" s="113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</row>
    <row x14ac:dyDescent="0.25" r="13" customHeight="1" ht="17.25">
      <c r="A13" s="110"/>
      <c r="B13" s="110"/>
      <c r="C13" s="8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</row>
    <row x14ac:dyDescent="0.25" r="14" customHeight="1" ht="17.25">
      <c r="A14" s="110"/>
      <c r="B14" s="110"/>
      <c r="C14" s="8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</row>
    <row x14ac:dyDescent="0.25" r="15" customHeight="1" ht="17.25">
      <c r="A15" s="110"/>
      <c r="B15" s="110"/>
      <c r="C15" s="8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</row>
    <row x14ac:dyDescent="0.25" r="16" customHeight="1" ht="17.25">
      <c r="A16" s="110"/>
      <c r="B16" s="110"/>
      <c r="C16" s="8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</row>
    <row x14ac:dyDescent="0.25" r="17" customHeight="1" ht="17.25">
      <c r="A17" s="110"/>
      <c r="B17" s="110"/>
      <c r="C17" s="8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</row>
    <row x14ac:dyDescent="0.25" r="18" customHeight="1" ht="17.25">
      <c r="A18" s="110"/>
      <c r="B18" s="110"/>
      <c r="C18" s="8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</row>
    <row x14ac:dyDescent="0.25" r="19" customHeight="1" ht="17.25">
      <c r="A19" s="110"/>
      <c r="B19" s="110"/>
      <c r="C19" s="8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</row>
    <row x14ac:dyDescent="0.25" r="20" customHeight="1" ht="17.25">
      <c r="A20" s="110"/>
      <c r="B20" s="110"/>
      <c r="C20" s="8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</row>
    <row x14ac:dyDescent="0.25" r="21" customHeight="1" ht="17.25">
      <c r="A21" s="110"/>
      <c r="B21" s="110"/>
      <c r="C21" s="8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</row>
    <row x14ac:dyDescent="0.25" r="22" customHeight="1" ht="17.25">
      <c r="A22" s="110"/>
      <c r="B22" s="110"/>
      <c r="C22" s="8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</row>
    <row x14ac:dyDescent="0.25" r="23" customHeight="1" ht="17.25">
      <c r="A23" s="110"/>
      <c r="B23" s="110"/>
      <c r="C23" s="8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</row>
    <row x14ac:dyDescent="0.25" r="24" customHeight="1" ht="17.25">
      <c r="A24" s="110"/>
      <c r="B24" s="110"/>
      <c r="C24" s="8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</row>
    <row x14ac:dyDescent="0.25" r="25" customHeight="1" ht="17.25">
      <c r="A25" s="110"/>
      <c r="B25" s="110"/>
      <c r="C25" s="8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</row>
    <row x14ac:dyDescent="0.25" r="26" customHeight="1" ht="17.25">
      <c r="A26" s="110"/>
      <c r="B26" s="110"/>
      <c r="C26" s="8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</row>
    <row x14ac:dyDescent="0.25" r="27" customHeight="1" ht="17.25">
      <c r="A27" s="110"/>
      <c r="B27" s="110"/>
      <c r="C27" s="8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/>
  </sheetViews>
  <sheetFormatPr defaultRowHeight="15" x14ac:dyDescent="0.25"/>
  <cols>
    <col min="1" max="1" style="71" width="10.147857142857141" customWidth="1" bestFit="1"/>
    <col min="2" max="2" style="65" width="12.43357142857143" customWidth="1" bestFit="1"/>
    <col min="3" max="3" style="65" width="12.43357142857143" customWidth="1" bestFit="1"/>
    <col min="4" max="4" style="65" width="16.576428571428572" customWidth="1" bestFit="1"/>
    <col min="5" max="5" style="9" width="34.29071428571429" customWidth="1" bestFit="1"/>
  </cols>
  <sheetData>
    <row x14ac:dyDescent="0.25" r="1" customHeight="1" ht="17.25" customFormat="1" s="3">
      <c r="A1" s="96" t="s">
        <v>116</v>
      </c>
      <c r="B1" s="97" t="s">
        <v>138</v>
      </c>
      <c r="C1" s="97" t="s">
        <v>139</v>
      </c>
      <c r="D1" s="97" t="s">
        <v>140</v>
      </c>
      <c r="E1" s="96" t="s">
        <v>141</v>
      </c>
    </row>
    <row x14ac:dyDescent="0.25" r="2" customHeight="1" ht="17.25" customFormat="1" s="3">
      <c r="A2" s="98" t="s">
        <v>127</v>
      </c>
      <c r="B2" s="99">
        <v>4</v>
      </c>
      <c r="C2" s="100"/>
      <c r="D2" s="100"/>
      <c r="E2" s="101" t="s">
        <v>142</v>
      </c>
    </row>
    <row x14ac:dyDescent="0.25" r="3" customHeight="1" ht="17.25" customFormat="1" s="3">
      <c r="A3" s="98" t="s">
        <v>128</v>
      </c>
      <c r="B3" s="99">
        <v>3</v>
      </c>
      <c r="C3" s="100"/>
      <c r="D3" s="100"/>
      <c r="E3" s="101" t="s">
        <v>142</v>
      </c>
    </row>
    <row x14ac:dyDescent="0.25" r="4" customHeight="1" ht="17.25" customFormat="1" s="3">
      <c r="A4" s="98" t="s">
        <v>129</v>
      </c>
      <c r="B4" s="99">
        <v>2</v>
      </c>
      <c r="C4" s="100"/>
      <c r="D4" s="100"/>
      <c r="E4" s="101" t="s">
        <v>142</v>
      </c>
    </row>
    <row x14ac:dyDescent="0.25" r="5" customHeight="1" ht="17.25" customFormat="1" s="3">
      <c r="A5" s="98" t="s">
        <v>137</v>
      </c>
      <c r="B5" s="99">
        <v>2</v>
      </c>
      <c r="C5" s="99">
        <v>250</v>
      </c>
      <c r="D5" s="99">
        <v>250</v>
      </c>
      <c r="E5" s="98" t="s">
        <v>143</v>
      </c>
    </row>
    <row x14ac:dyDescent="0.25" r="6" customHeight="1" ht="17.25" customFormat="1" s="3">
      <c r="A6" s="98" t="s">
        <v>120</v>
      </c>
      <c r="B6" s="99">
        <v>2</v>
      </c>
      <c r="C6" s="99">
        <v>40</v>
      </c>
      <c r="D6" s="99">
        <v>40</v>
      </c>
      <c r="E6" s="98" t="s">
        <v>144</v>
      </c>
    </row>
    <row x14ac:dyDescent="0.25" r="7" customHeight="1" ht="17.25" customFormat="1" s="3">
      <c r="A7" s="98" t="s">
        <v>145</v>
      </c>
      <c r="B7" s="99">
        <v>4</v>
      </c>
      <c r="C7" s="99">
        <v>200</v>
      </c>
      <c r="D7" s="99">
        <v>200</v>
      </c>
      <c r="E7" s="98" t="s">
        <v>146</v>
      </c>
    </row>
    <row x14ac:dyDescent="0.25" r="8" customHeight="1" ht="17.25" customFormat="1" s="3">
      <c r="A8" s="98" t="s">
        <v>147</v>
      </c>
      <c r="B8" s="99">
        <v>3</v>
      </c>
      <c r="C8" s="99">
        <v>25</v>
      </c>
      <c r="D8" s="99">
        <v>25</v>
      </c>
      <c r="E8" s="98" t="s">
        <v>148</v>
      </c>
    </row>
    <row x14ac:dyDescent="0.25" r="9" customHeight="1" ht="17.25" customFormat="1" s="3">
      <c r="A9" s="102" t="s">
        <v>149</v>
      </c>
      <c r="B9" s="100">
        <v>3</v>
      </c>
      <c r="C9" s="100">
        <v>200</v>
      </c>
      <c r="D9" s="100">
        <v>200</v>
      </c>
      <c r="E9" s="102" t="s">
        <v>150</v>
      </c>
    </row>
    <row x14ac:dyDescent="0.25" r="10" customHeight="1" ht="17.25">
      <c r="A10" s="102" t="s">
        <v>28</v>
      </c>
      <c r="B10" s="103">
        <v>2</v>
      </c>
      <c r="C10" s="103">
        <v>500</v>
      </c>
      <c r="D10" s="103">
        <v>500</v>
      </c>
      <c r="E10" s="104" t="s">
        <v>151</v>
      </c>
    </row>
    <row x14ac:dyDescent="0.25" r="11" customHeight="1" ht="17.25">
      <c r="A11" s="80" t="s">
        <v>152</v>
      </c>
      <c r="B11" s="81">
        <v>2</v>
      </c>
      <c r="C11" s="81">
        <v>20</v>
      </c>
      <c r="D11" s="81">
        <v>20</v>
      </c>
      <c r="E11" s="105"/>
    </row>
    <row x14ac:dyDescent="0.25" r="12" customHeight="1" ht="17.25">
      <c r="A12" s="80" t="s">
        <v>121</v>
      </c>
      <c r="B12" s="106">
        <v>2</v>
      </c>
      <c r="C12" s="81">
        <v>20</v>
      </c>
      <c r="D12" s="81">
        <v>20</v>
      </c>
      <c r="E12" s="10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"/>
  <sheetViews>
    <sheetView workbookViewId="0"/>
  </sheetViews>
  <sheetFormatPr defaultRowHeight="15" x14ac:dyDescent="0.25"/>
  <cols>
    <col min="1" max="1" style="71" width="12.43357142857143" customWidth="1" bestFit="1"/>
    <col min="2" max="2" style="71" width="12.43357142857143" customWidth="1" bestFit="1"/>
    <col min="3" max="3" style="83" width="12.43357142857143" customWidth="1" bestFit="1"/>
    <col min="4" max="4" style="83" width="12.43357142857143" customWidth="1" bestFit="1"/>
    <col min="5" max="5" style="83" width="12.43357142857143" customWidth="1" bestFit="1"/>
    <col min="6" max="6" style="83" width="12.43357142857143" customWidth="1" bestFit="1"/>
  </cols>
  <sheetData>
    <row x14ac:dyDescent="0.25" r="1" customHeight="1" ht="17.25" customFormat="1" s="3">
      <c r="A1" s="84" t="s">
        <v>122</v>
      </c>
      <c r="B1" s="85"/>
      <c r="C1" s="86" t="s">
        <v>123</v>
      </c>
      <c r="D1" s="86" t="s">
        <v>124</v>
      </c>
      <c r="E1" s="86" t="s">
        <v>125</v>
      </c>
      <c r="F1" s="86" t="s">
        <v>126</v>
      </c>
    </row>
    <row x14ac:dyDescent="0.25" r="2" customHeight="1" ht="17.25" customFormat="1" s="3">
      <c r="A2" s="87" t="s">
        <v>127</v>
      </c>
      <c r="B2" s="88"/>
      <c r="C2" s="89">
        <v>12</v>
      </c>
      <c r="D2" s="89">
        <v>16</v>
      </c>
      <c r="E2" s="90">
        <v>20</v>
      </c>
      <c r="F2" s="89">
        <v>24</v>
      </c>
    </row>
    <row x14ac:dyDescent="0.25" r="3" customHeight="1" ht="17.25" customFormat="1" s="3">
      <c r="A3" s="87" t="s">
        <v>128</v>
      </c>
      <c r="B3" s="88"/>
      <c r="C3" s="89">
        <v>12</v>
      </c>
      <c r="D3" s="89">
        <v>15</v>
      </c>
      <c r="E3" s="90">
        <v>18</v>
      </c>
      <c r="F3" s="89">
        <v>21</v>
      </c>
    </row>
    <row x14ac:dyDescent="0.25" r="4" customHeight="1" ht="17.25" customFormat="1" s="3">
      <c r="A4" s="91" t="s">
        <v>129</v>
      </c>
      <c r="B4" s="92" t="s">
        <v>93</v>
      </c>
      <c r="C4" s="89">
        <v>6</v>
      </c>
      <c r="D4" s="89">
        <v>8</v>
      </c>
      <c r="E4" s="90">
        <v>8</v>
      </c>
      <c r="F4" s="89">
        <v>8</v>
      </c>
    </row>
    <row x14ac:dyDescent="0.25" r="5" customHeight="1" ht="17.25" customFormat="1" s="3">
      <c r="A5" s="91" t="s">
        <v>129</v>
      </c>
      <c r="B5" s="93" t="s">
        <v>130</v>
      </c>
      <c r="C5" s="94">
        <v>6</v>
      </c>
      <c r="D5" s="94">
        <v>8</v>
      </c>
      <c r="E5" s="95">
        <v>10</v>
      </c>
      <c r="F5" s="94">
        <v>12</v>
      </c>
    </row>
    <row x14ac:dyDescent="0.25" r="6" customHeight="1" ht="17.25" customFormat="1" s="3">
      <c r="A6" s="91" t="s">
        <v>129</v>
      </c>
      <c r="B6" s="93" t="s">
        <v>131</v>
      </c>
      <c r="C6" s="94">
        <v>6</v>
      </c>
      <c r="D6" s="94">
        <v>8</v>
      </c>
      <c r="E6" s="95">
        <v>10</v>
      </c>
      <c r="F6" s="94">
        <v>12</v>
      </c>
    </row>
    <row x14ac:dyDescent="0.25" r="7" customHeight="1" ht="17.25" customFormat="1" s="3">
      <c r="A7" s="91" t="s">
        <v>129</v>
      </c>
      <c r="B7" s="92" t="s">
        <v>132</v>
      </c>
      <c r="C7" s="89">
        <v>8</v>
      </c>
      <c r="D7" s="89">
        <v>12</v>
      </c>
      <c r="E7" s="90">
        <v>16</v>
      </c>
      <c r="F7" s="89">
        <v>20</v>
      </c>
    </row>
    <row x14ac:dyDescent="0.25" r="8" customHeight="1" ht="17.25" customFormat="1" s="3">
      <c r="A8" s="91" t="s">
        <v>133</v>
      </c>
      <c r="B8" s="92" t="s">
        <v>134</v>
      </c>
      <c r="C8" s="89">
        <v>12</v>
      </c>
      <c r="D8" s="89">
        <v>15</v>
      </c>
      <c r="E8" s="90">
        <v>18</v>
      </c>
      <c r="F8" s="89">
        <v>21</v>
      </c>
    </row>
    <row x14ac:dyDescent="0.25" r="9" customHeight="1" ht="17.25" customFormat="1" s="3">
      <c r="A9" s="91" t="s">
        <v>133</v>
      </c>
      <c r="B9" s="92" t="s">
        <v>135</v>
      </c>
      <c r="C9" s="89">
        <v>9</v>
      </c>
      <c r="D9" s="89">
        <v>12</v>
      </c>
      <c r="E9" s="90">
        <v>15</v>
      </c>
      <c r="F9" s="89">
        <v>18</v>
      </c>
    </row>
    <row x14ac:dyDescent="0.25" r="10" customHeight="1" ht="17.25" customFormat="1" s="3">
      <c r="A10" s="91" t="s">
        <v>133</v>
      </c>
      <c r="B10" s="92" t="s">
        <v>136</v>
      </c>
      <c r="C10" s="89">
        <v>12</v>
      </c>
      <c r="D10" s="89">
        <v>15</v>
      </c>
      <c r="E10" s="90">
        <v>18</v>
      </c>
      <c r="F10" s="89">
        <v>21</v>
      </c>
    </row>
    <row x14ac:dyDescent="0.25" r="11" customHeight="1" ht="17.25" customFormat="1" s="3">
      <c r="A11" s="91" t="s">
        <v>133</v>
      </c>
      <c r="B11" s="92" t="s">
        <v>20</v>
      </c>
      <c r="C11" s="89">
        <v>16</v>
      </c>
      <c r="D11" s="89">
        <v>20</v>
      </c>
      <c r="E11" s="90">
        <v>24</v>
      </c>
      <c r="F11" s="89">
        <v>27</v>
      </c>
    </row>
    <row x14ac:dyDescent="0.25" r="12" customHeight="1" ht="17.25" customFormat="1" s="3">
      <c r="A12" s="87" t="s">
        <v>137</v>
      </c>
      <c r="B12" s="88"/>
      <c r="C12" s="89">
        <v>10</v>
      </c>
      <c r="D12" s="89">
        <v>14</v>
      </c>
      <c r="E12" s="90">
        <v>16</v>
      </c>
      <c r="F12" s="89">
        <v>20</v>
      </c>
    </row>
    <row x14ac:dyDescent="0.25" r="13" customHeight="1" ht="17.25" customFormat="1" s="3">
      <c r="A13" s="87" t="s">
        <v>120</v>
      </c>
      <c r="B13" s="88"/>
      <c r="C13" s="89">
        <v>6</v>
      </c>
      <c r="D13" s="89">
        <v>8</v>
      </c>
      <c r="E13" s="90">
        <v>10</v>
      </c>
      <c r="F13" s="89">
        <v>12</v>
      </c>
    </row>
  </sheetData>
  <mergeCells count="5">
    <mergeCell ref="A1:B1"/>
    <mergeCell ref="A2:B2"/>
    <mergeCell ref="A3:B3"/>
    <mergeCell ref="A12:B12"/>
    <mergeCell ref="A13:B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/>
  </sheetViews>
  <sheetFormatPr defaultRowHeight="15" x14ac:dyDescent="0.25"/>
  <cols>
    <col min="1" max="1" style="71" width="12.43357142857143" customWidth="1" bestFit="1"/>
    <col min="2" max="2" style="83" width="12.43357142857143" customWidth="1" bestFit="1"/>
  </cols>
  <sheetData>
    <row x14ac:dyDescent="0.25" r="1" customHeight="1" ht="17.25" customFormat="1" s="3">
      <c r="A1" s="78" t="s">
        <v>116</v>
      </c>
      <c r="B1" s="79" t="s">
        <v>117</v>
      </c>
    </row>
    <row x14ac:dyDescent="0.25" r="2" customHeight="1" ht="17.25" customFormat="1" s="3">
      <c r="A2" s="80" t="s">
        <v>0</v>
      </c>
      <c r="B2" s="81">
        <v>1</v>
      </c>
    </row>
    <row x14ac:dyDescent="0.25" r="3" customHeight="1" ht="17.25" customFormat="1" s="3">
      <c r="A3" s="80" t="s">
        <v>20</v>
      </c>
      <c r="B3" s="82">
        <v>1.3</v>
      </c>
    </row>
    <row x14ac:dyDescent="0.25" r="4" customHeight="1" ht="17.25" customFormat="1" s="3">
      <c r="A4" s="80" t="s">
        <v>118</v>
      </c>
      <c r="B4" s="82">
        <v>1.2</v>
      </c>
    </row>
    <row x14ac:dyDescent="0.25" r="5" customHeight="1" ht="17.25" customFormat="1" s="3">
      <c r="A5" s="80" t="s">
        <v>41</v>
      </c>
      <c r="B5" s="82">
        <v>0.85</v>
      </c>
    </row>
    <row x14ac:dyDescent="0.25" r="6" customHeight="1" ht="17.25" customFormat="1" s="3">
      <c r="A6" s="80" t="s">
        <v>45</v>
      </c>
      <c r="B6" s="82">
        <v>0.9</v>
      </c>
    </row>
    <row x14ac:dyDescent="0.25" r="7" customHeight="1" ht="17.25" customFormat="1" s="3">
      <c r="A7" s="80" t="s">
        <v>48</v>
      </c>
      <c r="B7" s="81">
        <v>1</v>
      </c>
    </row>
    <row x14ac:dyDescent="0.25" r="8" customHeight="1" ht="17.25" customFormat="1" s="3">
      <c r="A8" s="80" t="s">
        <v>49</v>
      </c>
      <c r="B8" s="82">
        <v>0.85</v>
      </c>
    </row>
    <row x14ac:dyDescent="0.25" r="9" customHeight="1" ht="17.25" customFormat="1" s="3">
      <c r="A9" s="80" t="s">
        <v>119</v>
      </c>
      <c r="B9" s="82">
        <v>0.7</v>
      </c>
    </row>
    <row x14ac:dyDescent="0.25" r="10" customHeight="1" ht="17.25" customFormat="1" s="3">
      <c r="A10" s="80" t="s">
        <v>28</v>
      </c>
      <c r="B10" s="81">
        <v>1</v>
      </c>
    </row>
    <row x14ac:dyDescent="0.25" r="11" customHeight="1" ht="17.25" customFormat="1" s="3">
      <c r="A11" s="80" t="s">
        <v>120</v>
      </c>
      <c r="B11" s="81">
        <v>1</v>
      </c>
    </row>
    <row x14ac:dyDescent="0.25" r="12" customHeight="1" ht="17.25" customFormat="1" s="3">
      <c r="A12" s="80" t="s">
        <v>121</v>
      </c>
      <c r="B12" s="8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"/>
  <sheetViews>
    <sheetView workbookViewId="0"/>
  </sheetViews>
  <sheetFormatPr defaultRowHeight="15" x14ac:dyDescent="0.25"/>
  <cols>
    <col min="1" max="1" style="71" width="13.862142857142858" customWidth="1" bestFit="1"/>
    <col min="2" max="2" style="71" width="12.147857142857141" customWidth="1" bestFit="1"/>
    <col min="3" max="3" style="71" width="9.719285714285713" customWidth="1" bestFit="1"/>
    <col min="4" max="4" style="72" width="54.005" customWidth="1" bestFit="1"/>
    <col min="5" max="5" style="72" width="38.005" customWidth="1" bestFit="1"/>
    <col min="6" max="6" style="72" width="35.57642857142857" customWidth="1" bestFit="1"/>
  </cols>
  <sheetData>
    <row x14ac:dyDescent="0.25" r="1" customHeight="1" ht="17.25" customFormat="1" s="3">
      <c r="A1" s="68" t="s">
        <v>81</v>
      </c>
      <c r="B1" s="68" t="s">
        <v>52</v>
      </c>
      <c r="C1" s="68" t="s">
        <v>53</v>
      </c>
      <c r="D1" s="68" t="s">
        <v>54</v>
      </c>
      <c r="E1" s="68" t="s">
        <v>82</v>
      </c>
      <c r="F1" s="68" t="s">
        <v>56</v>
      </c>
    </row>
    <row x14ac:dyDescent="0.25" r="2" customHeight="1" ht="17.25" customFormat="1" s="3">
      <c r="A2" s="69" t="s">
        <v>83</v>
      </c>
      <c r="B2" s="69" t="s">
        <v>84</v>
      </c>
      <c r="C2" s="69" t="s">
        <v>65</v>
      </c>
      <c r="D2" s="70" t="s">
        <v>85</v>
      </c>
      <c r="E2" s="70" t="s">
        <v>86</v>
      </c>
      <c r="F2" s="70" t="s">
        <v>87</v>
      </c>
    </row>
    <row x14ac:dyDescent="0.25" r="3" customHeight="1" ht="17.25" customFormat="1" s="3">
      <c r="A3" s="69" t="s">
        <v>88</v>
      </c>
      <c r="B3" s="69" t="s">
        <v>89</v>
      </c>
      <c r="C3" s="69" t="s">
        <v>65</v>
      </c>
      <c r="D3" s="70" t="s">
        <v>90</v>
      </c>
      <c r="E3" s="70" t="s">
        <v>91</v>
      </c>
      <c r="F3" s="70" t="s">
        <v>92</v>
      </c>
    </row>
    <row x14ac:dyDescent="0.25" r="4" customHeight="1" ht="17.25" customFormat="1" s="3">
      <c r="A4" s="69" t="s">
        <v>93</v>
      </c>
      <c r="B4" s="69" t="s">
        <v>94</v>
      </c>
      <c r="C4" s="69" t="s">
        <v>95</v>
      </c>
      <c r="D4" s="70" t="s">
        <v>96</v>
      </c>
      <c r="E4" s="70" t="s">
        <v>97</v>
      </c>
      <c r="F4" s="70" t="s">
        <v>98</v>
      </c>
    </row>
    <row x14ac:dyDescent="0.25" r="5" customHeight="1" ht="17.25" customFormat="1" s="3">
      <c r="A5" s="73" t="s">
        <v>99</v>
      </c>
      <c r="B5" s="74" t="s">
        <v>100</v>
      </c>
      <c r="C5" s="74" t="s">
        <v>101</v>
      </c>
      <c r="D5" s="75" t="s">
        <v>102</v>
      </c>
      <c r="E5" s="75" t="s">
        <v>103</v>
      </c>
      <c r="F5" s="75" t="s">
        <v>104</v>
      </c>
    </row>
    <row x14ac:dyDescent="0.25" r="6" customHeight="1" ht="17.25" customFormat="1" s="3">
      <c r="A6" s="76"/>
      <c r="B6" s="76" t="s">
        <v>105</v>
      </c>
      <c r="C6" s="76" t="s">
        <v>106</v>
      </c>
      <c r="D6" s="77"/>
      <c r="E6" s="77"/>
      <c r="F6" s="77"/>
    </row>
    <row x14ac:dyDescent="0.25" r="7" customHeight="1" ht="17.25" customFormat="1" s="3">
      <c r="A7" s="69" t="s">
        <v>107</v>
      </c>
      <c r="B7" s="69" t="s">
        <v>108</v>
      </c>
      <c r="C7" s="69" t="s">
        <v>109</v>
      </c>
      <c r="D7" s="70" t="s">
        <v>110</v>
      </c>
      <c r="E7" s="70" t="s">
        <v>111</v>
      </c>
      <c r="F7" s="70" t="s">
        <v>112</v>
      </c>
    </row>
    <row x14ac:dyDescent="0.25" r="8" customHeight="1" ht="17.25" customFormat="1" s="3">
      <c r="A8" s="69" t="s">
        <v>113</v>
      </c>
      <c r="B8" s="69" t="s">
        <v>108</v>
      </c>
      <c r="C8" s="69" t="s">
        <v>71</v>
      </c>
      <c r="D8" s="70" t="s">
        <v>114</v>
      </c>
      <c r="E8" s="70" t="s">
        <v>103</v>
      </c>
      <c r="F8" s="70" t="s">
        <v>115</v>
      </c>
    </row>
  </sheetData>
  <mergeCells count="4">
    <mergeCell ref="A5:A6"/>
    <mergeCell ref="D5:D6"/>
    <mergeCell ref="E5:E6"/>
    <mergeCell ref="F5:F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/>
  </sheetViews>
  <sheetFormatPr defaultRowHeight="15" x14ac:dyDescent="0.25"/>
  <cols>
    <col min="1" max="1" style="71" width="14.862142857142858" customWidth="1" bestFit="1"/>
    <col min="2" max="2" style="71" width="14.862142857142858" customWidth="1" bestFit="1"/>
    <col min="3" max="3" style="71" width="14.862142857142858" customWidth="1" bestFit="1"/>
    <col min="4" max="4" style="72" width="29.862142857142857" customWidth="1" bestFit="1"/>
    <col min="5" max="5" style="72" width="14.862142857142858" customWidth="1" bestFit="1"/>
    <col min="6" max="6" style="72" width="19.576428571428572" customWidth="1" bestFit="1"/>
  </cols>
  <sheetData>
    <row x14ac:dyDescent="0.25" r="1" customHeight="1" ht="17.25" customFormat="1" s="3">
      <c r="A1" s="68" t="s">
        <v>51</v>
      </c>
      <c r="B1" s="68" t="s">
        <v>52</v>
      </c>
      <c r="C1" s="68" t="s">
        <v>53</v>
      </c>
      <c r="D1" s="68" t="s">
        <v>54</v>
      </c>
      <c r="E1" s="68" t="s">
        <v>55</v>
      </c>
      <c r="F1" s="68" t="s">
        <v>56</v>
      </c>
    </row>
    <row x14ac:dyDescent="0.25" r="2" customHeight="1" ht="17.25" customFormat="1" s="3">
      <c r="A2" s="69" t="s">
        <v>57</v>
      </c>
      <c r="B2" s="69" t="s">
        <v>58</v>
      </c>
      <c r="C2" s="69" t="s">
        <v>59</v>
      </c>
      <c r="D2" s="70" t="s">
        <v>60</v>
      </c>
      <c r="E2" s="70" t="s">
        <v>61</v>
      </c>
      <c r="F2" s="70" t="s">
        <v>62</v>
      </c>
    </row>
    <row x14ac:dyDescent="0.25" r="3" customHeight="1" ht="17.25" customFormat="1" s="3">
      <c r="A3" s="69" t="s">
        <v>63</v>
      </c>
      <c r="B3" s="69" t="s">
        <v>64</v>
      </c>
      <c r="C3" s="69" t="s">
        <v>65</v>
      </c>
      <c r="D3" s="70" t="s">
        <v>66</v>
      </c>
      <c r="E3" s="70" t="s">
        <v>67</v>
      </c>
      <c r="F3" s="70" t="s">
        <v>68</v>
      </c>
    </row>
    <row x14ac:dyDescent="0.25" r="4" customHeight="1" ht="17.25" customFormat="1" s="3">
      <c r="A4" s="69" t="s">
        <v>69</v>
      </c>
      <c r="B4" s="69" t="s">
        <v>70</v>
      </c>
      <c r="C4" s="69" t="s">
        <v>71</v>
      </c>
      <c r="D4" s="70" t="s">
        <v>72</v>
      </c>
      <c r="E4" s="70" t="s">
        <v>73</v>
      </c>
      <c r="F4" s="70" t="s">
        <v>74</v>
      </c>
    </row>
    <row x14ac:dyDescent="0.25" r="5" customHeight="1" ht="17.25" customFormat="1" s="3">
      <c r="A5" s="69" t="s">
        <v>75</v>
      </c>
      <c r="B5" s="69" t="s">
        <v>76</v>
      </c>
      <c r="C5" s="69" t="s">
        <v>77</v>
      </c>
      <c r="D5" s="70" t="s">
        <v>78</v>
      </c>
      <c r="E5" s="70" t="s">
        <v>79</v>
      </c>
      <c r="F5" s="70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59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64" width="12.43357142857143" customWidth="1" bestFit="1"/>
    <col min="3" max="3" style="64" width="12.43357142857143" customWidth="1" bestFit="1"/>
    <col min="4" max="4" style="65" width="12.43357142857143" customWidth="1" bestFit="1"/>
    <col min="5" max="5" style="64" width="12.43357142857143" customWidth="1" bestFit="1"/>
    <col min="6" max="6" style="9" width="24.433571428571426" customWidth="1" bestFit="1"/>
    <col min="7" max="7" style="66" width="12.43357142857143" customWidth="1" bestFit="1"/>
    <col min="8" max="8" style="67" width="14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66" width="12.43357142857143" customWidth="1" bestFit="1"/>
  </cols>
  <sheetData>
    <row x14ac:dyDescent="0.25" r="1" customHeight="1" ht="17.25">
      <c r="A1" s="6"/>
      <c r="B1" s="11" t="s">
        <v>9</v>
      </c>
      <c r="C1" s="11" t="s">
        <v>10</v>
      </c>
      <c r="D1" s="12" t="s">
        <v>11</v>
      </c>
      <c r="E1" s="11" t="s">
        <v>12</v>
      </c>
      <c r="F1" s="13" t="s">
        <v>13</v>
      </c>
      <c r="G1" s="13" t="s">
        <v>14</v>
      </c>
      <c r="H1" s="14" t="s">
        <v>15</v>
      </c>
      <c r="I1" s="6"/>
      <c r="J1" s="6"/>
      <c r="K1" s="6"/>
      <c r="L1" s="6"/>
      <c r="M1" s="6"/>
      <c r="N1" s="6"/>
      <c r="O1" s="6"/>
      <c r="P1" s="6"/>
      <c r="Q1" s="15"/>
    </row>
    <row x14ac:dyDescent="0.25" r="2" customHeight="1" ht="17.25">
      <c r="A2" s="6"/>
      <c r="B2" s="16" t="s">
        <v>0</v>
      </c>
      <c r="C2" s="17"/>
      <c r="D2" s="18"/>
      <c r="E2" s="17"/>
      <c r="F2" s="19" t="s">
        <v>16</v>
      </c>
      <c r="G2" s="20" t="s">
        <v>17</v>
      </c>
      <c r="H2" s="21">
        <v>30</v>
      </c>
      <c r="I2" s="6"/>
      <c r="J2" s="6"/>
      <c r="K2" s="6"/>
      <c r="L2" s="6"/>
      <c r="M2" s="6"/>
      <c r="N2" s="6"/>
      <c r="O2" s="6"/>
      <c r="P2" s="6"/>
      <c r="Q2" s="15"/>
    </row>
    <row x14ac:dyDescent="0.25" r="3" customHeight="1" ht="17.25">
      <c r="A3" s="6"/>
      <c r="B3" s="11"/>
      <c r="C3" s="22"/>
      <c r="D3" s="23"/>
      <c r="E3" s="22"/>
      <c r="F3" s="24" t="s">
        <v>18</v>
      </c>
      <c r="G3" s="20" t="s">
        <v>19</v>
      </c>
      <c r="H3" s="25">
        <v>130</v>
      </c>
      <c r="I3" s="6"/>
      <c r="J3" s="6"/>
      <c r="K3" s="6"/>
      <c r="L3" s="6"/>
      <c r="M3" s="6"/>
      <c r="N3" s="6"/>
      <c r="O3" s="6"/>
      <c r="P3" s="6"/>
      <c r="Q3" s="15"/>
    </row>
    <row x14ac:dyDescent="0.25" r="4" customHeight="1" ht="17.25">
      <c r="A4" s="6"/>
      <c r="B4" s="16" t="s">
        <v>20</v>
      </c>
      <c r="C4" s="17"/>
      <c r="D4" s="18"/>
      <c r="E4" s="17"/>
      <c r="F4" s="26" t="s">
        <v>21</v>
      </c>
      <c r="G4" s="20"/>
      <c r="H4" s="27"/>
      <c r="I4" s="6"/>
      <c r="J4" s="6"/>
      <c r="K4" s="6"/>
      <c r="L4" s="6"/>
      <c r="M4" s="6"/>
      <c r="N4" s="6"/>
      <c r="O4" s="6"/>
      <c r="P4" s="6"/>
      <c r="Q4" s="15"/>
    </row>
    <row x14ac:dyDescent="0.25" r="5" customHeight="1" ht="17.25">
      <c r="A5" s="6"/>
      <c r="B5" s="11"/>
      <c r="C5" s="28"/>
      <c r="D5" s="29"/>
      <c r="E5" s="28"/>
      <c r="F5" s="30" t="s">
        <v>22</v>
      </c>
      <c r="G5" s="20" t="s">
        <v>23</v>
      </c>
      <c r="H5" s="31">
        <v>1.1</v>
      </c>
      <c r="I5" s="6"/>
      <c r="J5" s="6"/>
      <c r="K5" s="6"/>
      <c r="L5" s="6"/>
      <c r="M5" s="6"/>
      <c r="N5" s="6"/>
      <c r="O5" s="6"/>
      <c r="P5" s="6"/>
      <c r="Q5" s="15"/>
    </row>
    <row x14ac:dyDescent="0.25" r="6" customHeight="1" ht="17.25">
      <c r="A6" s="6"/>
      <c r="B6" s="11"/>
      <c r="C6" s="28"/>
      <c r="D6" s="29"/>
      <c r="E6" s="28"/>
      <c r="F6" s="19" t="s">
        <v>24</v>
      </c>
      <c r="G6" s="20" t="s">
        <v>17</v>
      </c>
      <c r="H6" s="21">
        <v>10</v>
      </c>
      <c r="I6" s="6"/>
      <c r="J6" s="6"/>
      <c r="K6" s="6"/>
      <c r="L6" s="6"/>
      <c r="M6" s="6"/>
      <c r="N6" s="6"/>
      <c r="O6" s="6"/>
      <c r="P6" s="6"/>
      <c r="Q6" s="15"/>
    </row>
    <row x14ac:dyDescent="0.25" r="7" customHeight="1" ht="17.25">
      <c r="A7" s="6"/>
      <c r="B7" s="11"/>
      <c r="C7" s="22"/>
      <c r="D7" s="23"/>
      <c r="E7" s="22"/>
      <c r="F7" s="24" t="s">
        <v>25</v>
      </c>
      <c r="G7" s="20" t="s">
        <v>19</v>
      </c>
      <c r="H7" s="25">
        <v>130</v>
      </c>
      <c r="I7" s="6"/>
      <c r="J7" s="6"/>
      <c r="K7" s="6"/>
      <c r="L7" s="6"/>
      <c r="M7" s="6"/>
      <c r="N7" s="6"/>
      <c r="O7" s="6"/>
      <c r="P7" s="6"/>
      <c r="Q7" s="15"/>
    </row>
    <row x14ac:dyDescent="0.25" r="8" customHeight="1" ht="17.25">
      <c r="A8" s="6"/>
      <c r="B8" s="32" t="s">
        <v>26</v>
      </c>
      <c r="C8" s="33" t="s">
        <v>27</v>
      </c>
      <c r="D8" s="34">
        <f>층고!C2</f>
      </c>
      <c r="E8" s="35"/>
      <c r="F8" s="26" t="s">
        <v>28</v>
      </c>
      <c r="G8" s="20"/>
      <c r="H8" s="27"/>
      <c r="I8" s="6"/>
      <c r="J8" s="6"/>
      <c r="K8" s="6"/>
      <c r="L8" s="6"/>
      <c r="M8" s="6"/>
      <c r="N8" s="6"/>
      <c r="O8" s="6"/>
      <c r="P8" s="6"/>
      <c r="Q8" s="15"/>
    </row>
    <row x14ac:dyDescent="0.25" r="9" customHeight="1" ht="17.25">
      <c r="A9" s="6"/>
      <c r="B9" s="36"/>
      <c r="C9" s="37"/>
      <c r="D9" s="38"/>
      <c r="E9" s="39"/>
      <c r="F9" s="30" t="s">
        <v>29</v>
      </c>
      <c r="G9" s="20" t="s">
        <v>23</v>
      </c>
      <c r="H9" s="31">
        <v>0.8</v>
      </c>
      <c r="I9" s="6"/>
      <c r="J9" s="6"/>
      <c r="K9" s="6"/>
      <c r="L9" s="6"/>
      <c r="M9" s="6"/>
      <c r="N9" s="6"/>
      <c r="O9" s="6"/>
      <c r="P9" s="6"/>
      <c r="Q9" s="15"/>
    </row>
    <row x14ac:dyDescent="0.25" r="10" customHeight="1" ht="17.25">
      <c r="A10" s="6"/>
      <c r="B10" s="36"/>
      <c r="C10" s="37"/>
      <c r="D10" s="38"/>
      <c r="E10" s="39"/>
      <c r="F10" s="19" t="s">
        <v>30</v>
      </c>
      <c r="G10" s="20" t="s">
        <v>17</v>
      </c>
      <c r="H10" s="21">
        <v>11</v>
      </c>
      <c r="I10" s="6"/>
      <c r="J10" s="6"/>
      <c r="K10" s="6"/>
      <c r="L10" s="6"/>
      <c r="M10" s="6"/>
      <c r="N10" s="6"/>
      <c r="O10" s="6"/>
      <c r="P10" s="6"/>
      <c r="Q10" s="15"/>
    </row>
    <row x14ac:dyDescent="0.25" r="11" customHeight="1" ht="17.25">
      <c r="A11" s="6"/>
      <c r="B11" s="36"/>
      <c r="C11" s="37"/>
      <c r="D11" s="38"/>
      <c r="E11" s="39"/>
      <c r="F11" s="19" t="s">
        <v>31</v>
      </c>
      <c r="G11" s="20" t="s">
        <v>23</v>
      </c>
      <c r="H11" s="31">
        <v>0.8</v>
      </c>
      <c r="I11" s="6"/>
      <c r="J11" s="6"/>
      <c r="K11" s="6"/>
      <c r="L11" s="6"/>
      <c r="M11" s="6"/>
      <c r="N11" s="6"/>
      <c r="O11" s="6"/>
      <c r="P11" s="6"/>
      <c r="Q11" s="15"/>
    </row>
    <row x14ac:dyDescent="0.25" r="12" customHeight="1" ht="17.25">
      <c r="A12" s="6"/>
      <c r="B12" s="36"/>
      <c r="C12" s="37"/>
      <c r="D12" s="38"/>
      <c r="E12" s="39"/>
      <c r="F12" s="30" t="s">
        <v>32</v>
      </c>
      <c r="G12" s="20" t="s">
        <v>17</v>
      </c>
      <c r="H12" s="21">
        <v>11</v>
      </c>
      <c r="I12" s="6"/>
      <c r="J12" s="6"/>
      <c r="K12" s="6"/>
      <c r="L12" s="6"/>
      <c r="M12" s="6"/>
      <c r="N12" s="6"/>
      <c r="O12" s="6"/>
      <c r="P12" s="6"/>
      <c r="Q12" s="15"/>
    </row>
    <row x14ac:dyDescent="0.25" r="13" customHeight="1" ht="17.25">
      <c r="A13" s="6"/>
      <c r="B13" s="36"/>
      <c r="C13" s="37"/>
      <c r="D13" s="38"/>
      <c r="E13" s="39"/>
      <c r="F13" s="19" t="s">
        <v>33</v>
      </c>
      <c r="G13" s="20" t="s">
        <v>19</v>
      </c>
      <c r="H13" s="25">
        <v>130</v>
      </c>
      <c r="I13" s="6"/>
      <c r="J13" s="6"/>
      <c r="K13" s="6"/>
      <c r="L13" s="6"/>
      <c r="M13" s="6"/>
      <c r="N13" s="6"/>
      <c r="O13" s="6"/>
      <c r="P13" s="6"/>
      <c r="Q13" s="15"/>
    </row>
    <row x14ac:dyDescent="0.25" r="14" customHeight="1" ht="17.25">
      <c r="A14" s="6"/>
      <c r="B14" s="36"/>
      <c r="C14" s="37"/>
      <c r="D14" s="38"/>
      <c r="E14" s="39"/>
      <c r="F14" s="24" t="s">
        <v>34</v>
      </c>
      <c r="G14" s="20"/>
      <c r="H14" s="40">
        <v>50</v>
      </c>
      <c r="I14" s="6"/>
      <c r="J14" s="6"/>
      <c r="K14" s="6"/>
      <c r="L14" s="6"/>
      <c r="M14" s="6"/>
      <c r="N14" s="6"/>
      <c r="O14" s="6"/>
      <c r="P14" s="6"/>
      <c r="Q14" s="15"/>
    </row>
    <row x14ac:dyDescent="0.25" r="15" customHeight="1" ht="17.25">
      <c r="A15" s="6"/>
      <c r="B15" s="36"/>
      <c r="C15" s="41"/>
      <c r="D15" s="38"/>
      <c r="E15" s="42"/>
      <c r="F15" s="43" t="s">
        <v>35</v>
      </c>
      <c r="G15" s="20"/>
      <c r="H15" s="27"/>
      <c r="I15" s="6"/>
      <c r="J15" s="6"/>
      <c r="K15" s="6"/>
      <c r="L15" s="6"/>
      <c r="M15" s="6"/>
      <c r="N15" s="6"/>
      <c r="O15" s="6"/>
      <c r="P15" s="6"/>
      <c r="Q15" s="15"/>
    </row>
    <row x14ac:dyDescent="0.25" r="16" customHeight="1" ht="17.25">
      <c r="A16" s="6"/>
      <c r="B16" s="36"/>
      <c r="C16" s="32" t="s">
        <v>36</v>
      </c>
      <c r="D16" s="44">
        <f>층고!C3</f>
      </c>
      <c r="E16" s="35"/>
      <c r="F16" s="26" t="s">
        <v>28</v>
      </c>
      <c r="G16" s="20" t="s">
        <v>23</v>
      </c>
      <c r="H16" s="31">
        <v>0.7</v>
      </c>
      <c r="I16" s="6"/>
      <c r="J16" s="6"/>
      <c r="K16" s="6"/>
      <c r="L16" s="6"/>
      <c r="M16" s="6"/>
      <c r="N16" s="6"/>
      <c r="O16" s="6"/>
      <c r="P16" s="6"/>
      <c r="Q16" s="15"/>
    </row>
    <row x14ac:dyDescent="0.25" r="17" customHeight="1" ht="17.25">
      <c r="A17" s="6"/>
      <c r="B17" s="36"/>
      <c r="C17" s="36"/>
      <c r="D17" s="45"/>
      <c r="E17" s="39"/>
      <c r="F17" s="30" t="s">
        <v>29</v>
      </c>
      <c r="G17" s="20" t="s">
        <v>17</v>
      </c>
      <c r="H17" s="21">
        <v>9</v>
      </c>
      <c r="I17" s="6"/>
      <c r="J17" s="6"/>
      <c r="K17" s="6"/>
      <c r="L17" s="6"/>
      <c r="M17" s="6"/>
      <c r="N17" s="6"/>
      <c r="O17" s="6"/>
      <c r="P17" s="6"/>
      <c r="Q17" s="15"/>
    </row>
    <row x14ac:dyDescent="0.25" r="18" customHeight="1" ht="17.25">
      <c r="A18" s="6"/>
      <c r="B18" s="36"/>
      <c r="C18" s="36"/>
      <c r="D18" s="45"/>
      <c r="E18" s="39"/>
      <c r="F18" s="19" t="s">
        <v>30</v>
      </c>
      <c r="G18" s="20" t="s">
        <v>23</v>
      </c>
      <c r="H18" s="31">
        <v>0.7</v>
      </c>
      <c r="I18" s="6"/>
      <c r="J18" s="6"/>
      <c r="K18" s="6"/>
      <c r="L18" s="6"/>
      <c r="M18" s="6"/>
      <c r="N18" s="6"/>
      <c r="O18" s="6"/>
      <c r="P18" s="6"/>
      <c r="Q18" s="15"/>
    </row>
    <row x14ac:dyDescent="0.25" r="19" customHeight="1" ht="17.25">
      <c r="A19" s="6"/>
      <c r="B19" s="36"/>
      <c r="C19" s="36"/>
      <c r="D19" s="45"/>
      <c r="E19" s="39"/>
      <c r="F19" s="19" t="s">
        <v>31</v>
      </c>
      <c r="G19" s="20" t="s">
        <v>17</v>
      </c>
      <c r="H19" s="21">
        <v>11</v>
      </c>
      <c r="I19" s="6"/>
      <c r="J19" s="6"/>
      <c r="K19" s="6"/>
      <c r="L19" s="6"/>
      <c r="M19" s="6"/>
      <c r="N19" s="6"/>
      <c r="O19" s="6"/>
      <c r="P19" s="6"/>
      <c r="Q19" s="15"/>
    </row>
    <row x14ac:dyDescent="0.25" r="20" customHeight="1" ht="17.25">
      <c r="A20" s="6"/>
      <c r="B20" s="36"/>
      <c r="C20" s="36"/>
      <c r="D20" s="45"/>
      <c r="E20" s="39"/>
      <c r="F20" s="30" t="s">
        <v>32</v>
      </c>
      <c r="G20" s="20" t="s">
        <v>19</v>
      </c>
      <c r="H20" s="25">
        <v>130</v>
      </c>
      <c r="I20" s="6"/>
      <c r="J20" s="6"/>
      <c r="K20" s="6"/>
      <c r="L20" s="6"/>
      <c r="M20" s="6"/>
      <c r="N20" s="6"/>
      <c r="O20" s="6"/>
      <c r="P20" s="6"/>
      <c r="Q20" s="15"/>
    </row>
    <row x14ac:dyDescent="0.25" r="21" customHeight="1" ht="17.25">
      <c r="A21" s="6"/>
      <c r="B21" s="36"/>
      <c r="C21" s="36"/>
      <c r="D21" s="45"/>
      <c r="E21" s="39"/>
      <c r="F21" s="19" t="s">
        <v>33</v>
      </c>
      <c r="G21" s="20" t="s">
        <v>17</v>
      </c>
      <c r="H21" s="40">
        <v>50</v>
      </c>
      <c r="I21" s="6"/>
      <c r="J21" s="6"/>
      <c r="K21" s="6"/>
      <c r="L21" s="6"/>
      <c r="M21" s="6"/>
      <c r="N21" s="6"/>
      <c r="O21" s="6"/>
      <c r="P21" s="6"/>
      <c r="Q21" s="15"/>
    </row>
    <row x14ac:dyDescent="0.25" r="22" customHeight="1" ht="17.25">
      <c r="A22" s="6"/>
      <c r="B22" s="36"/>
      <c r="C22" s="36"/>
      <c r="D22" s="45"/>
      <c r="E22" s="39"/>
      <c r="F22" s="24" t="s">
        <v>37</v>
      </c>
      <c r="G22" s="20"/>
      <c r="H22" s="27"/>
      <c r="I22" s="6"/>
      <c r="J22" s="6"/>
      <c r="K22" s="6"/>
      <c r="L22" s="6"/>
      <c r="M22" s="6"/>
      <c r="N22" s="6"/>
      <c r="O22" s="6"/>
      <c r="P22" s="6"/>
      <c r="Q22" s="15"/>
    </row>
    <row x14ac:dyDescent="0.25" r="23" customHeight="1" ht="17.25">
      <c r="A23" s="6"/>
      <c r="B23" s="36"/>
      <c r="C23" s="36"/>
      <c r="D23" s="45"/>
      <c r="E23" s="39"/>
      <c r="F23" s="30" t="s">
        <v>29</v>
      </c>
      <c r="G23" s="20" t="s">
        <v>23</v>
      </c>
      <c r="H23" s="31">
        <v>0.7</v>
      </c>
      <c r="I23" s="6"/>
      <c r="J23" s="6"/>
      <c r="K23" s="6"/>
      <c r="L23" s="6"/>
      <c r="M23" s="6"/>
      <c r="N23" s="6"/>
      <c r="O23" s="6"/>
      <c r="P23" s="6"/>
      <c r="Q23" s="15"/>
    </row>
    <row x14ac:dyDescent="0.25" r="24" customHeight="1" ht="17.25">
      <c r="A24" s="6"/>
      <c r="B24" s="36"/>
      <c r="C24" s="36"/>
      <c r="D24" s="45"/>
      <c r="E24" s="39"/>
      <c r="F24" s="19" t="s">
        <v>38</v>
      </c>
      <c r="G24" s="20" t="s">
        <v>17</v>
      </c>
      <c r="H24" s="21">
        <v>9</v>
      </c>
      <c r="I24" s="6"/>
      <c r="J24" s="6"/>
      <c r="K24" s="6"/>
      <c r="L24" s="6"/>
      <c r="M24" s="6"/>
      <c r="N24" s="6"/>
      <c r="O24" s="6"/>
      <c r="P24" s="6"/>
      <c r="Q24" s="15"/>
    </row>
    <row x14ac:dyDescent="0.25" r="25" customHeight="1" ht="17.25">
      <c r="A25" s="6"/>
      <c r="B25" s="36"/>
      <c r="C25" s="36"/>
      <c r="D25" s="45"/>
      <c r="E25" s="39"/>
      <c r="F25" s="30" t="s">
        <v>39</v>
      </c>
      <c r="G25" s="20" t="s">
        <v>23</v>
      </c>
      <c r="H25" s="31">
        <v>0.6</v>
      </c>
      <c r="I25" s="6"/>
      <c r="J25" s="6"/>
      <c r="K25" s="6"/>
      <c r="L25" s="6"/>
      <c r="M25" s="6"/>
      <c r="N25" s="6"/>
      <c r="O25" s="6"/>
      <c r="P25" s="6"/>
      <c r="Q25" s="15"/>
    </row>
    <row x14ac:dyDescent="0.25" r="26" customHeight="1" ht="17.25">
      <c r="A26" s="6"/>
      <c r="B26" s="36"/>
      <c r="C26" s="36"/>
      <c r="D26" s="45"/>
      <c r="E26" s="39"/>
      <c r="F26" s="24" t="s">
        <v>40</v>
      </c>
      <c r="G26" s="20" t="s">
        <v>19</v>
      </c>
      <c r="H26" s="25">
        <v>130</v>
      </c>
      <c r="I26" s="6"/>
      <c r="J26" s="6"/>
      <c r="K26" s="6"/>
      <c r="L26" s="6"/>
      <c r="M26" s="6"/>
      <c r="N26" s="6"/>
      <c r="O26" s="6"/>
      <c r="P26" s="6"/>
      <c r="Q26" s="15"/>
    </row>
    <row x14ac:dyDescent="0.25" r="27" customHeight="1" ht="17.25">
      <c r="A27" s="6"/>
      <c r="B27" s="46"/>
      <c r="C27" s="46"/>
      <c r="D27" s="47"/>
      <c r="E27" s="42"/>
      <c r="F27" s="43" t="s">
        <v>35</v>
      </c>
      <c r="G27" s="20"/>
      <c r="H27" s="27"/>
      <c r="I27" s="6"/>
      <c r="J27" s="6"/>
      <c r="K27" s="6"/>
      <c r="L27" s="6"/>
      <c r="M27" s="6"/>
      <c r="N27" s="6"/>
      <c r="O27" s="6"/>
      <c r="P27" s="6"/>
      <c r="Q27" s="15"/>
    </row>
    <row x14ac:dyDescent="0.25" r="28" customHeight="1" ht="17.25">
      <c r="A28" s="6"/>
      <c r="B28" s="48" t="s">
        <v>41</v>
      </c>
      <c r="C28" s="48"/>
      <c r="D28" s="49">
        <f>층고!C2</f>
      </c>
      <c r="E28" s="48"/>
      <c r="F28" s="26" t="s">
        <v>28</v>
      </c>
      <c r="G28" s="20" t="s">
        <v>17</v>
      </c>
      <c r="H28" s="50">
        <v>30</v>
      </c>
      <c r="I28" s="6"/>
      <c r="J28" s="6"/>
      <c r="K28" s="6"/>
      <c r="L28" s="6"/>
      <c r="M28" s="6"/>
      <c r="N28" s="6"/>
      <c r="O28" s="6"/>
      <c r="P28" s="6"/>
      <c r="Q28" s="15"/>
    </row>
    <row x14ac:dyDescent="0.25" r="29" customHeight="1" ht="17.25">
      <c r="A29" s="6"/>
      <c r="B29" s="51"/>
      <c r="C29" s="51"/>
      <c r="D29" s="52"/>
      <c r="E29" s="51"/>
      <c r="F29" s="30" t="s">
        <v>29</v>
      </c>
      <c r="G29" s="20" t="s">
        <v>23</v>
      </c>
      <c r="H29" s="31">
        <v>0.8</v>
      </c>
      <c r="I29" s="6"/>
      <c r="J29" s="6"/>
      <c r="K29" s="6"/>
      <c r="L29" s="6"/>
      <c r="M29" s="6"/>
      <c r="N29" s="6"/>
      <c r="O29" s="6"/>
      <c r="P29" s="6"/>
      <c r="Q29" s="15"/>
    </row>
    <row x14ac:dyDescent="0.25" r="30" customHeight="1" ht="17.25">
      <c r="A30" s="6"/>
      <c r="B30" s="51"/>
      <c r="C30" s="51"/>
      <c r="D30" s="52"/>
      <c r="E30" s="51"/>
      <c r="F30" s="19" t="s">
        <v>42</v>
      </c>
      <c r="G30" s="20" t="s">
        <v>17</v>
      </c>
      <c r="H30" s="53">
        <v>30</v>
      </c>
      <c r="I30" s="6"/>
      <c r="J30" s="6"/>
      <c r="K30" s="6"/>
      <c r="L30" s="6"/>
      <c r="M30" s="6"/>
      <c r="N30" s="6"/>
      <c r="O30" s="6"/>
      <c r="P30" s="6"/>
      <c r="Q30" s="54"/>
    </row>
    <row x14ac:dyDescent="0.25" r="31" customHeight="1" ht="17.25">
      <c r="A31" s="6"/>
      <c r="B31" s="51"/>
      <c r="C31" s="51"/>
      <c r="D31" s="52"/>
      <c r="E31" s="51"/>
      <c r="F31" s="19" t="s">
        <v>43</v>
      </c>
      <c r="G31" s="20" t="s">
        <v>23</v>
      </c>
      <c r="H31" s="31">
        <v>0.9</v>
      </c>
      <c r="I31" s="6"/>
      <c r="J31" s="6"/>
      <c r="K31" s="6"/>
      <c r="L31" s="6"/>
      <c r="M31" s="6"/>
      <c r="N31" s="6"/>
      <c r="O31" s="6"/>
      <c r="P31" s="6"/>
      <c r="Q31" s="55"/>
    </row>
    <row x14ac:dyDescent="0.25" r="32" customHeight="1" ht="17.25">
      <c r="A32" s="6"/>
      <c r="B32" s="51"/>
      <c r="C32" s="51"/>
      <c r="D32" s="52"/>
      <c r="E32" s="51"/>
      <c r="F32" s="30" t="s">
        <v>32</v>
      </c>
      <c r="G32" s="20" t="s">
        <v>19</v>
      </c>
      <c r="H32" s="25">
        <v>130</v>
      </c>
      <c r="I32" s="6"/>
      <c r="J32" s="6"/>
      <c r="K32" s="6"/>
      <c r="L32" s="6"/>
      <c r="M32" s="6"/>
      <c r="N32" s="6"/>
      <c r="O32" s="6"/>
      <c r="P32" s="6"/>
      <c r="Q32" s="55"/>
    </row>
    <row x14ac:dyDescent="0.25" r="33" customHeight="1" ht="17.25">
      <c r="A33" s="6"/>
      <c r="B33" s="51"/>
      <c r="C33" s="51"/>
      <c r="D33" s="52"/>
      <c r="E33" s="51"/>
      <c r="F33" s="24" t="s">
        <v>44</v>
      </c>
      <c r="G33" s="20"/>
      <c r="H33" s="27"/>
      <c r="I33" s="6"/>
      <c r="J33" s="6"/>
      <c r="K33" s="6"/>
      <c r="L33" s="6"/>
      <c r="M33" s="6"/>
      <c r="N33" s="6"/>
      <c r="O33" s="6"/>
      <c r="P33" s="6"/>
      <c r="Q33" s="55"/>
    </row>
    <row x14ac:dyDescent="0.25" r="34" customHeight="1" ht="17.25">
      <c r="A34" s="6"/>
      <c r="B34" s="56"/>
      <c r="C34" s="56"/>
      <c r="D34" s="57"/>
      <c r="E34" s="56"/>
      <c r="F34" s="43" t="s">
        <v>35</v>
      </c>
      <c r="G34" s="20" t="s">
        <v>17</v>
      </c>
      <c r="H34" s="50">
        <v>60</v>
      </c>
      <c r="I34" s="6"/>
      <c r="J34" s="6"/>
      <c r="K34" s="6"/>
      <c r="L34" s="6"/>
      <c r="M34" s="6"/>
      <c r="N34" s="6"/>
      <c r="O34" s="6"/>
      <c r="P34" s="6"/>
      <c r="Q34" s="55"/>
    </row>
    <row x14ac:dyDescent="0.25" r="35" customHeight="1" ht="17.25">
      <c r="A35" s="6"/>
      <c r="B35" s="16" t="s">
        <v>45</v>
      </c>
      <c r="C35" s="17"/>
      <c r="D35" s="18">
        <f>층고!C3</f>
      </c>
      <c r="E35" s="17"/>
      <c r="F35" s="26" t="s">
        <v>28</v>
      </c>
      <c r="G35" s="20" t="s">
        <v>23</v>
      </c>
      <c r="H35" s="31">
        <v>0.8</v>
      </c>
      <c r="I35" s="6"/>
      <c r="J35" s="6"/>
      <c r="K35" s="6"/>
      <c r="L35" s="6"/>
      <c r="M35" s="6"/>
      <c r="N35" s="6"/>
      <c r="O35" s="6"/>
      <c r="P35" s="6"/>
      <c r="Q35" s="55"/>
    </row>
    <row x14ac:dyDescent="0.25" r="36" customHeight="1" ht="17.25">
      <c r="A36" s="6"/>
      <c r="B36" s="11"/>
      <c r="C36" s="28"/>
      <c r="D36" s="29"/>
      <c r="E36" s="28"/>
      <c r="F36" s="58" t="s">
        <v>46</v>
      </c>
      <c r="G36" s="20" t="s">
        <v>17</v>
      </c>
      <c r="H36" s="53">
        <v>60</v>
      </c>
      <c r="I36" s="6"/>
      <c r="J36" s="6"/>
      <c r="K36" s="6"/>
      <c r="L36" s="6"/>
      <c r="M36" s="6"/>
      <c r="N36" s="6"/>
      <c r="O36" s="6"/>
      <c r="P36" s="6"/>
      <c r="Q36" s="55"/>
    </row>
    <row x14ac:dyDescent="0.25" r="37" customHeight="1" ht="17.25">
      <c r="A37" s="6"/>
      <c r="B37" s="11"/>
      <c r="C37" s="28"/>
      <c r="D37" s="29"/>
      <c r="E37" s="28"/>
      <c r="F37" s="30" t="s">
        <v>29</v>
      </c>
      <c r="G37" s="20" t="s">
        <v>23</v>
      </c>
      <c r="H37" s="31">
        <v>0.9</v>
      </c>
      <c r="I37" s="6"/>
      <c r="J37" s="6"/>
      <c r="K37" s="6"/>
      <c r="L37" s="6"/>
      <c r="M37" s="6"/>
      <c r="N37" s="6"/>
      <c r="O37" s="6"/>
      <c r="P37" s="6"/>
      <c r="Q37" s="55"/>
    </row>
    <row x14ac:dyDescent="0.25" r="38" customHeight="1" ht="17.25">
      <c r="A38" s="6"/>
      <c r="B38" s="11"/>
      <c r="C38" s="28"/>
      <c r="D38" s="29"/>
      <c r="E38" s="28"/>
      <c r="F38" s="59" t="s">
        <v>47</v>
      </c>
      <c r="G38" s="20" t="s">
        <v>19</v>
      </c>
      <c r="H38" s="25">
        <v>130</v>
      </c>
      <c r="I38" s="6"/>
      <c r="J38" s="6"/>
      <c r="K38" s="6"/>
      <c r="L38" s="6"/>
      <c r="M38" s="6"/>
      <c r="N38" s="6"/>
      <c r="O38" s="6"/>
      <c r="P38" s="6"/>
      <c r="Q38" s="55"/>
    </row>
    <row x14ac:dyDescent="0.25" r="39" customHeight="1" ht="17.25">
      <c r="A39" s="6"/>
      <c r="B39" s="11"/>
      <c r="C39" s="28"/>
      <c r="D39" s="29"/>
      <c r="E39" s="28"/>
      <c r="F39" s="30" t="s">
        <v>32</v>
      </c>
      <c r="G39" s="20"/>
      <c r="H39" s="27"/>
      <c r="I39" s="6"/>
      <c r="J39" s="6"/>
      <c r="K39" s="6"/>
      <c r="L39" s="6"/>
      <c r="M39" s="6"/>
      <c r="N39" s="6"/>
      <c r="O39" s="6"/>
      <c r="P39" s="6"/>
      <c r="Q39" s="55"/>
    </row>
    <row x14ac:dyDescent="0.25" r="40" customHeight="1" ht="17.25">
      <c r="A40" s="6"/>
      <c r="B40" s="11"/>
      <c r="C40" s="22"/>
      <c r="D40" s="23"/>
      <c r="E40" s="22"/>
      <c r="F40" s="24" t="s">
        <v>44</v>
      </c>
      <c r="G40" s="20" t="s">
        <v>17</v>
      </c>
      <c r="H40" s="50">
        <v>60</v>
      </c>
      <c r="I40" s="6"/>
      <c r="J40" s="6"/>
      <c r="K40" s="6"/>
      <c r="L40" s="6"/>
      <c r="M40" s="6"/>
      <c r="N40" s="6"/>
      <c r="O40" s="6"/>
      <c r="P40" s="6"/>
      <c r="Q40" s="55"/>
    </row>
    <row x14ac:dyDescent="0.25" r="41" customHeight="1" ht="17.25">
      <c r="A41" s="6"/>
      <c r="B41" s="16" t="s">
        <v>48</v>
      </c>
      <c r="C41" s="17"/>
      <c r="D41" s="18">
        <f>층고!C4</f>
      </c>
      <c r="E41" s="17"/>
      <c r="F41" s="26" t="s">
        <v>28</v>
      </c>
      <c r="G41" s="20" t="s">
        <v>23</v>
      </c>
      <c r="H41" s="31">
        <v>0.8</v>
      </c>
      <c r="I41" s="6"/>
      <c r="J41" s="6"/>
      <c r="K41" s="6"/>
      <c r="L41" s="6"/>
      <c r="M41" s="6"/>
      <c r="N41" s="6"/>
      <c r="O41" s="6"/>
      <c r="P41" s="6"/>
      <c r="Q41" s="55"/>
    </row>
    <row x14ac:dyDescent="0.25" r="42" customHeight="1" ht="17.25">
      <c r="A42" s="6"/>
      <c r="B42" s="11"/>
      <c r="C42" s="28"/>
      <c r="D42" s="29"/>
      <c r="E42" s="28"/>
      <c r="F42" s="58" t="s">
        <v>46</v>
      </c>
      <c r="G42" s="20" t="s">
        <v>17</v>
      </c>
      <c r="H42" s="53">
        <v>60</v>
      </c>
      <c r="I42" s="6"/>
      <c r="J42" s="6"/>
      <c r="K42" s="6"/>
      <c r="L42" s="6"/>
      <c r="M42" s="6"/>
      <c r="N42" s="6"/>
      <c r="O42" s="6"/>
      <c r="P42" s="6"/>
      <c r="Q42" s="55"/>
    </row>
    <row x14ac:dyDescent="0.25" r="43" customHeight="1" ht="17.25">
      <c r="A43" s="6"/>
      <c r="B43" s="11"/>
      <c r="C43" s="28"/>
      <c r="D43" s="29"/>
      <c r="E43" s="28"/>
      <c r="F43" s="30" t="s">
        <v>29</v>
      </c>
      <c r="G43" s="20" t="s">
        <v>23</v>
      </c>
      <c r="H43" s="31">
        <v>0.9</v>
      </c>
      <c r="I43" s="6"/>
      <c r="J43" s="6"/>
      <c r="K43" s="6"/>
      <c r="L43" s="6"/>
      <c r="M43" s="6"/>
      <c r="N43" s="6"/>
      <c r="O43" s="6"/>
      <c r="P43" s="6"/>
      <c r="Q43" s="55"/>
    </row>
    <row x14ac:dyDescent="0.25" r="44" customHeight="1" ht="17.25">
      <c r="A44" s="6"/>
      <c r="B44" s="11"/>
      <c r="C44" s="28"/>
      <c r="D44" s="29"/>
      <c r="E44" s="28"/>
      <c r="F44" s="59" t="s">
        <v>47</v>
      </c>
      <c r="G44" s="20" t="s">
        <v>19</v>
      </c>
      <c r="H44" s="25">
        <v>130</v>
      </c>
      <c r="I44" s="6"/>
      <c r="J44" s="6"/>
      <c r="K44" s="6"/>
      <c r="L44" s="6"/>
      <c r="M44" s="6"/>
      <c r="N44" s="6"/>
      <c r="O44" s="6"/>
      <c r="P44" s="6"/>
      <c r="Q44" s="55"/>
    </row>
    <row x14ac:dyDescent="0.25" r="45" customHeight="1" ht="17.25">
      <c r="A45" s="6"/>
      <c r="B45" s="11"/>
      <c r="C45" s="28"/>
      <c r="D45" s="29"/>
      <c r="E45" s="28"/>
      <c r="F45" s="30" t="s">
        <v>32</v>
      </c>
      <c r="G45" s="20"/>
      <c r="H45" s="27"/>
      <c r="I45" s="6"/>
      <c r="J45" s="6"/>
      <c r="K45" s="6"/>
      <c r="L45" s="6"/>
      <c r="M45" s="6"/>
      <c r="N45" s="6"/>
      <c r="O45" s="6"/>
      <c r="P45" s="6"/>
      <c r="Q45" s="55"/>
    </row>
    <row x14ac:dyDescent="0.25" r="46" customHeight="1" ht="17.25">
      <c r="A46" s="6"/>
      <c r="B46" s="11"/>
      <c r="C46" s="22"/>
      <c r="D46" s="23"/>
      <c r="E46" s="22"/>
      <c r="F46" s="24" t="s">
        <v>44</v>
      </c>
      <c r="G46" s="20" t="s">
        <v>23</v>
      </c>
      <c r="H46" s="31">
        <v>0.7</v>
      </c>
      <c r="I46" s="6"/>
      <c r="J46" s="6"/>
      <c r="K46" s="6"/>
      <c r="L46" s="6"/>
      <c r="M46" s="6"/>
      <c r="N46" s="6"/>
      <c r="O46" s="6"/>
      <c r="P46" s="6"/>
      <c r="Q46" s="55"/>
    </row>
    <row x14ac:dyDescent="0.25" r="47" customHeight="1" ht="17.25">
      <c r="A47" s="6"/>
      <c r="B47" s="16" t="s">
        <v>49</v>
      </c>
      <c r="C47" s="17"/>
      <c r="D47" s="18">
        <f>층고!C5</f>
      </c>
      <c r="E47" s="17"/>
      <c r="F47" s="26" t="s">
        <v>28</v>
      </c>
      <c r="G47" s="20" t="s">
        <v>17</v>
      </c>
      <c r="H47" s="21">
        <v>9</v>
      </c>
      <c r="I47" s="6"/>
      <c r="J47" s="6"/>
      <c r="K47" s="6"/>
      <c r="L47" s="6"/>
      <c r="M47" s="6"/>
      <c r="N47" s="6"/>
      <c r="O47" s="6"/>
      <c r="P47" s="6"/>
      <c r="Q47" s="55"/>
    </row>
    <row x14ac:dyDescent="0.25" r="48" customHeight="1" ht="17.25">
      <c r="A48" s="6"/>
      <c r="B48" s="11"/>
      <c r="C48" s="28"/>
      <c r="D48" s="29"/>
      <c r="E48" s="28"/>
      <c r="F48" s="58" t="s">
        <v>46</v>
      </c>
      <c r="G48" s="20" t="s">
        <v>23</v>
      </c>
      <c r="H48" s="31">
        <v>0.6</v>
      </c>
      <c r="I48" s="6"/>
      <c r="J48" s="6"/>
      <c r="K48" s="6"/>
      <c r="L48" s="6"/>
      <c r="M48" s="6"/>
      <c r="N48" s="6"/>
      <c r="O48" s="6"/>
      <c r="P48" s="6"/>
      <c r="Q48" s="55"/>
    </row>
    <row x14ac:dyDescent="0.25" r="49" customHeight="1" ht="17.25">
      <c r="A49" s="6"/>
      <c r="B49" s="11"/>
      <c r="C49" s="28"/>
      <c r="D49" s="29"/>
      <c r="E49" s="28"/>
      <c r="F49" s="30" t="s">
        <v>29</v>
      </c>
      <c r="G49" s="20" t="s">
        <v>19</v>
      </c>
      <c r="H49" s="25">
        <v>130</v>
      </c>
      <c r="I49" s="6"/>
      <c r="J49" s="6"/>
      <c r="K49" s="6"/>
      <c r="L49" s="6"/>
      <c r="M49" s="6"/>
      <c r="N49" s="6"/>
      <c r="O49" s="6"/>
      <c r="P49" s="6"/>
      <c r="Q49" s="55"/>
    </row>
    <row x14ac:dyDescent="0.25" r="50" customHeight="1" ht="17.25">
      <c r="A50" s="6"/>
      <c r="B50" s="11"/>
      <c r="C50" s="28"/>
      <c r="D50" s="29"/>
      <c r="E50" s="28"/>
      <c r="F50" s="59" t="s">
        <v>47</v>
      </c>
      <c r="G50" s="15"/>
      <c r="H50" s="60"/>
      <c r="I50" s="6"/>
      <c r="J50" s="6"/>
      <c r="K50" s="6"/>
      <c r="L50" s="6"/>
      <c r="M50" s="6"/>
      <c r="N50" s="6"/>
      <c r="O50" s="6"/>
      <c r="P50" s="6"/>
      <c r="Q50" s="55"/>
    </row>
    <row x14ac:dyDescent="0.25" r="51" customHeight="1" ht="17.25">
      <c r="A51" s="6"/>
      <c r="B51" s="11"/>
      <c r="C51" s="28"/>
      <c r="D51" s="29"/>
      <c r="E51" s="28"/>
      <c r="F51" s="30" t="s">
        <v>32</v>
      </c>
      <c r="G51" s="15"/>
      <c r="H51" s="60"/>
      <c r="I51" s="6"/>
      <c r="J51" s="6"/>
      <c r="K51" s="6"/>
      <c r="L51" s="6"/>
      <c r="M51" s="6"/>
      <c r="N51" s="6"/>
      <c r="O51" s="6"/>
      <c r="P51" s="6"/>
      <c r="Q51" s="55"/>
    </row>
    <row x14ac:dyDescent="0.25" r="52" customHeight="1" ht="17.25">
      <c r="A52" s="6"/>
      <c r="B52" s="11"/>
      <c r="C52" s="22"/>
      <c r="D52" s="23"/>
      <c r="E52" s="22"/>
      <c r="F52" s="24" t="s">
        <v>44</v>
      </c>
      <c r="G52" s="15"/>
      <c r="H52" s="60"/>
      <c r="I52" s="6"/>
      <c r="J52" s="6"/>
      <c r="K52" s="6"/>
      <c r="L52" s="6"/>
      <c r="M52" s="6"/>
      <c r="N52" s="6"/>
      <c r="O52" s="6"/>
      <c r="P52" s="6"/>
      <c r="Q52" s="55"/>
    </row>
    <row x14ac:dyDescent="0.25" r="53" customHeight="1" ht="17.25">
      <c r="A53" s="6"/>
      <c r="B53" s="16" t="s">
        <v>50</v>
      </c>
      <c r="C53" s="17"/>
      <c r="D53" s="18">
        <f>층고!C6</f>
      </c>
      <c r="E53" s="17"/>
      <c r="F53" s="26" t="s">
        <v>28</v>
      </c>
      <c r="G53" s="15"/>
      <c r="H53" s="60"/>
      <c r="I53" s="6"/>
      <c r="J53" s="6"/>
      <c r="K53" s="6"/>
      <c r="L53" s="6"/>
      <c r="M53" s="6"/>
      <c r="N53" s="6"/>
      <c r="O53" s="6"/>
      <c r="P53" s="6"/>
      <c r="Q53" s="55"/>
    </row>
    <row x14ac:dyDescent="0.25" r="54" customHeight="1" ht="17.25">
      <c r="A54" s="6"/>
      <c r="B54" s="11"/>
      <c r="C54" s="28"/>
      <c r="D54" s="29"/>
      <c r="E54" s="28"/>
      <c r="F54" s="30" t="s">
        <v>29</v>
      </c>
      <c r="G54" s="15"/>
      <c r="H54" s="60"/>
      <c r="I54" s="6"/>
      <c r="J54" s="6"/>
      <c r="K54" s="6"/>
      <c r="L54" s="6"/>
      <c r="M54" s="6"/>
      <c r="N54" s="6"/>
      <c r="O54" s="6"/>
      <c r="P54" s="6"/>
      <c r="Q54" s="55"/>
    </row>
    <row x14ac:dyDescent="0.25" r="55" customHeight="1" ht="17.25">
      <c r="A55" s="6"/>
      <c r="B55" s="11"/>
      <c r="C55" s="28"/>
      <c r="D55" s="29"/>
      <c r="E55" s="28"/>
      <c r="F55" s="19" t="s">
        <v>42</v>
      </c>
      <c r="G55" s="15"/>
      <c r="H55" s="60"/>
      <c r="I55" s="6"/>
      <c r="J55" s="6"/>
      <c r="K55" s="6"/>
      <c r="L55" s="6"/>
      <c r="M55" s="6"/>
      <c r="N55" s="6"/>
      <c r="O55" s="6"/>
      <c r="P55" s="6"/>
      <c r="Q55" s="55"/>
    </row>
    <row x14ac:dyDescent="0.25" r="56" customHeight="1" ht="17.25">
      <c r="A56" s="6"/>
      <c r="B56" s="11"/>
      <c r="C56" s="28"/>
      <c r="D56" s="29"/>
      <c r="E56" s="28"/>
      <c r="F56" s="19" t="s">
        <v>43</v>
      </c>
      <c r="G56" s="15"/>
      <c r="H56" s="60"/>
      <c r="I56" s="6"/>
      <c r="J56" s="6"/>
      <c r="K56" s="6"/>
      <c r="L56" s="6"/>
      <c r="M56" s="6"/>
      <c r="N56" s="6"/>
      <c r="O56" s="6"/>
      <c r="P56" s="6"/>
      <c r="Q56" s="55"/>
    </row>
    <row x14ac:dyDescent="0.25" r="57" customHeight="1" ht="17.25">
      <c r="A57" s="6"/>
      <c r="B57" s="11"/>
      <c r="C57" s="28"/>
      <c r="D57" s="29"/>
      <c r="E57" s="28"/>
      <c r="F57" s="30" t="s">
        <v>32</v>
      </c>
      <c r="G57" s="15"/>
      <c r="H57" s="60"/>
      <c r="I57" s="6"/>
      <c r="J57" s="6"/>
      <c r="K57" s="6"/>
      <c r="L57" s="6"/>
      <c r="M57" s="6"/>
      <c r="N57" s="6"/>
      <c r="O57" s="6"/>
      <c r="P57" s="6"/>
      <c r="Q57" s="61"/>
    </row>
    <row x14ac:dyDescent="0.25" r="58" customHeight="1" ht="17.25">
      <c r="A58" s="6"/>
      <c r="B58" s="11"/>
      <c r="C58" s="28"/>
      <c r="D58" s="29"/>
      <c r="E58" s="28"/>
      <c r="F58" s="62" t="s">
        <v>44</v>
      </c>
      <c r="G58" s="15"/>
      <c r="H58" s="60"/>
      <c r="I58" s="6"/>
      <c r="J58" s="6"/>
      <c r="K58" s="6"/>
      <c r="L58" s="6"/>
      <c r="M58" s="6"/>
      <c r="N58" s="6"/>
      <c r="O58" s="6"/>
      <c r="P58" s="6"/>
      <c r="Q58" s="15"/>
    </row>
    <row x14ac:dyDescent="0.25" r="59" customHeight="1" ht="17.25">
      <c r="A59" s="6"/>
      <c r="B59" s="11"/>
      <c r="C59" s="22"/>
      <c r="D59" s="23"/>
      <c r="E59" s="63"/>
      <c r="F59" s="43" t="s">
        <v>35</v>
      </c>
      <c r="G59" s="15"/>
      <c r="H59" s="60"/>
      <c r="I59" s="6"/>
      <c r="J59" s="6"/>
      <c r="K59" s="6"/>
      <c r="L59" s="6"/>
      <c r="M59" s="6"/>
      <c r="N59" s="6"/>
      <c r="O59" s="6"/>
      <c r="P59" s="6"/>
      <c r="Q59" s="15"/>
    </row>
  </sheetData>
  <mergeCells count="35">
    <mergeCell ref="B2:B3"/>
    <mergeCell ref="C2:C3"/>
    <mergeCell ref="D2:D3"/>
    <mergeCell ref="E2:E3"/>
    <mergeCell ref="B4:B7"/>
    <mergeCell ref="C4:C7"/>
    <mergeCell ref="D4:D7"/>
    <mergeCell ref="E4:E7"/>
    <mergeCell ref="B8:B27"/>
    <mergeCell ref="C8:C15"/>
    <mergeCell ref="D8:D15"/>
    <mergeCell ref="E8:E15"/>
    <mergeCell ref="C16:C27"/>
    <mergeCell ref="D16:D27"/>
    <mergeCell ref="E16:E27"/>
    <mergeCell ref="B28:B34"/>
    <mergeCell ref="C28:C34"/>
    <mergeCell ref="D28:D34"/>
    <mergeCell ref="E28:E34"/>
    <mergeCell ref="B35:B40"/>
    <mergeCell ref="C35:C40"/>
    <mergeCell ref="D35:D40"/>
    <mergeCell ref="E35:E40"/>
    <mergeCell ref="B41:B46"/>
    <mergeCell ref="C41:C46"/>
    <mergeCell ref="D41:D46"/>
    <mergeCell ref="E41:E46"/>
    <mergeCell ref="B47:B52"/>
    <mergeCell ref="C47:C52"/>
    <mergeCell ref="D47:D52"/>
    <mergeCell ref="E47:E52"/>
    <mergeCell ref="B53:B59"/>
    <mergeCell ref="C53:C59"/>
    <mergeCell ref="D53:D59"/>
    <mergeCell ref="E53:E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9" width="34.57642857142857" customWidth="1" bestFit="1"/>
    <col min="2" max="2" style="10" width="12.43357142857143" customWidth="1" bestFit="1"/>
  </cols>
  <sheetData>
    <row x14ac:dyDescent="0.25" r="1" customHeight="1" ht="19.5">
      <c r="A1" s="1" t="s">
        <v>0</v>
      </c>
      <c r="B1" s="2">
        <v>650</v>
      </c>
    </row>
    <row x14ac:dyDescent="0.25" r="2" customHeight="1" ht="19.5" customFormat="1" s="3">
      <c r="A2" s="4" t="s">
        <v>1</v>
      </c>
      <c r="B2" s="5">
        <v>650</v>
      </c>
    </row>
    <row x14ac:dyDescent="0.25" r="3" customHeight="1" ht="19.5" customFormat="1" s="3">
      <c r="A3" s="4" t="s">
        <v>2</v>
      </c>
      <c r="B3" s="5">
        <v>500</v>
      </c>
    </row>
    <row x14ac:dyDescent="0.25" r="4" customHeight="1" ht="19.5" customFormat="1" s="3">
      <c r="A4" s="4" t="s">
        <v>3</v>
      </c>
      <c r="B4" s="5">
        <v>200</v>
      </c>
    </row>
    <row x14ac:dyDescent="0.25" r="5" customHeight="1" ht="19.5" customFormat="1" s="3">
      <c r="A5" s="4" t="s">
        <v>4</v>
      </c>
      <c r="B5" s="5">
        <v>400</v>
      </c>
    </row>
    <row x14ac:dyDescent="0.25" r="6" customHeight="1" ht="19.5" customFormat="1" s="3">
      <c r="A6" s="4" t="s">
        <v>5</v>
      </c>
      <c r="B6" s="5">
        <v>320</v>
      </c>
    </row>
    <row x14ac:dyDescent="0.25" r="7" customHeight="1" ht="19.5" customFormat="1" s="3">
      <c r="A7" s="4" t="s">
        <v>6</v>
      </c>
      <c r="B7" s="5">
        <v>230</v>
      </c>
    </row>
    <row x14ac:dyDescent="0.25" r="8" customHeight="1" ht="20.25" customFormat="1" s="3">
      <c r="A8" s="4" t="s">
        <v>7</v>
      </c>
      <c r="B8" s="5">
        <v>230</v>
      </c>
    </row>
    <row x14ac:dyDescent="0.25" r="9" customHeight="1" ht="17.25">
      <c r="A9" s="6"/>
      <c r="B9" s="7"/>
    </row>
    <row x14ac:dyDescent="0.25" r="10" customHeight="1" ht="20.25">
      <c r="A10" s="1" t="s">
        <v>8</v>
      </c>
      <c r="B1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지상 골조표준공정</vt:lpstr>
      <vt:lpstr>주동지하 표준공정</vt:lpstr>
      <vt:lpstr>주차장  표준공정</vt:lpstr>
      <vt:lpstr>층고6.5m이상구간</vt:lpstr>
      <vt:lpstr>층고</vt:lpstr>
      <vt:lpstr>작업조구성</vt:lpstr>
      <vt:lpstr>공종별 인원 상,하한 설정</vt:lpstr>
      <vt:lpstr>부분별 보정계수설정</vt:lpstr>
      <vt:lpstr>거푸집 계열 작업면, 작업면적 추정 산식</vt:lpstr>
      <vt:lpstr>철근 작업면,작업면적(Zone,Front) 추정 산식</vt:lpstr>
      <vt:lpstr>인당생산성</vt:lpstr>
      <vt:lpstr>펌프카 부위별 타설량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2026-01-23T08:59:32.644Z</dcterms:created>
  <dcterms:modified xsi:type="dcterms:W3CDTF">2026-01-23T08:59:32.644Z</dcterms:modified>
</cp:coreProperties>
</file>