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v\contech-dx\"/>
    </mc:Choice>
  </mc:AlternateContent>
  <xr:revisionPtr revIDLastSave="0" documentId="8_{50363D41-855F-4E03-BB56-2DECFABE3A15}" xr6:coauthVersionLast="47" xr6:coauthVersionMax="47" xr10:uidLastSave="{00000000-0000-0000-0000-000000000000}"/>
  <bookViews>
    <workbookView xWindow="13695" yWindow="1035" windowWidth="22215" windowHeight="18855" activeTab="2" xr2:uid="{1D2FFC30-BF10-4076-9512-CDC2E733CE23}"/>
  </bookViews>
  <sheets>
    <sheet name="동,층별물량표" sheetId="18" r:id="rId1"/>
    <sheet name="골조표준공정 일수고정 산식표" sheetId="17" r:id="rId2"/>
    <sheet name="골조표준공정 일수고정 산식표 (2)" sheetId="1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123Graph_C" hidden="1">'[1]1062-X방향 '!$A$61:$A$102</definedName>
    <definedName name="__123Graph_X" hidden="1">'[1]1062-X방향 '!$A$61:$A$102</definedName>
    <definedName name="__IntlFixup" hidden="1">TRUE</definedName>
    <definedName name="_22_0_0_F" localSheetId="0" hidden="1">[2]CTEMCOST!#REF!</definedName>
    <definedName name="_22_0_0_F" hidden="1">[2]CTEMCOST!#REF!</definedName>
    <definedName name="_31t657_" hidden="1">{#N/A,#N/A,FALSE,"CCTV"}</definedName>
    <definedName name="_5_0_S" localSheetId="0" hidden="1">#REF!</definedName>
    <definedName name="_5_0_S" hidden="1">#REF!</definedName>
    <definedName name="_Order1" hidden="1">255</definedName>
    <definedName name="_Order2" hidden="1">255</definedName>
    <definedName name="_Regression_Int" hidden="1">1</definedName>
    <definedName name="_Sort" localSheetId="0" hidden="1">#REF!</definedName>
    <definedName name="_Sort" hidden="1">#REF!</definedName>
    <definedName name="aa" hidden="1">{#N/A,#N/A,FALSE,"CCTV"}</definedName>
    <definedName name="aaaa" hidden="1">{#N/A,#N/A,FALSE,"CCTV"}</definedName>
    <definedName name="aaaaaaaa" hidden="1">{#N/A,#N/A,FALSE,"이태원철근"}</definedName>
    <definedName name="aaaaaaaaaaaaaaaaaaaaaaaaa" hidden="1">{#N/A,#N/A,FALSE,"이태원철근"}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FV" hidden="1">{#N/A,#N/A,FALSE,"전력간선"}</definedName>
    <definedName name="afasd" hidden="1">{#N/A,#N/A,FALSE,"단가표지"}</definedName>
    <definedName name="afd" hidden="1">{#N/A,#N/A,FALSE,"운반시간"}</definedName>
    <definedName name="AJ" hidden="1">{#N/A,#N/A,FALSE,"이태원철근"}</definedName>
    <definedName name="anscount" hidden="1">1</definedName>
    <definedName name="aq" hidden="1">{#N/A,#N/A,FALSE,"CCTV"}</definedName>
    <definedName name="as" localSheetId="0" hidden="1">#REF!</definedName>
    <definedName name="as" hidden="1">#REF!</definedName>
    <definedName name="asd" hidden="1">{#N/A,#N/A,FALSE,"전력간선"}</definedName>
    <definedName name="ASDA" hidden="1">'[3]#REF'!$F$6:$F$63</definedName>
    <definedName name="asfas" hidden="1">{#N/A,#N/A,FALSE,"표지목차"}</definedName>
    <definedName name="bfhgfh" hidden="1">{#N/A,#N/A,FALSE,"CCTV"}</definedName>
    <definedName name="BI" hidden="1">{#N/A,#N/A,FALSE,"이태원철근"}</definedName>
    <definedName name="cnf" hidden="1">{#N/A,#N/A,FALSE,"이태원철근"}</definedName>
    <definedName name="cntksdtj" hidden="1">{#N/A,#N/A,FALSE,"견적갑지";#N/A,#N/A,FALSE,"총괄표";#N/A,#N/A,FALSE,"철골공사";#N/A,#N/A,FALSE,"토목공사";#N/A,#N/A,FALSE,"판넬전기공사"}</definedName>
    <definedName name="_xlnm.Database" localSheetId="0">#REF!</definedName>
    <definedName name="_xlnm.Database">#REF!</definedName>
    <definedName name="DD" hidden="1">{#N/A,#N/A,FALSE,"단가표지"}</definedName>
    <definedName name="DDD" localSheetId="0" hidden="1">#REF!</definedName>
    <definedName name="DDD" hidden="1">#REF!</definedName>
    <definedName name="DF" hidden="1">{#N/A,#N/A,FALSE,"현장 NCR 분석";#N/A,#N/A,FALSE,"현장품질감사";#N/A,#N/A,FALSE,"현장품질감사"}</definedName>
    <definedName name="DFG" hidden="1">{#N/A,#N/A,FALSE,"전력간선"}</definedName>
    <definedName name="DFGS" hidden="1">{#N/A,#N/A,FALSE,"CCTV"}</definedName>
    <definedName name="DFSSA" hidden="1">{#N/A,#N/A,FALSE,"운반시간"}</definedName>
    <definedName name="dkdkdk" hidden="1">{#N/A,#N/A,FALSE,"CCTV"}</definedName>
    <definedName name="dldldldll" localSheetId="0" hidden="1">[4]조명시설!#REF!</definedName>
    <definedName name="dldldldll" hidden="1">[4]조명시설!#REF!</definedName>
    <definedName name="dn" hidden="1">{#N/A,#N/A,FALSE,"혼합골재"}</definedName>
    <definedName name="DpFKDL" hidden="1">{#N/A,#N/A,FALSE,"이태원철근"}</definedName>
    <definedName name="DSRKLSMDF" localSheetId="0" hidden="1">[5]Sheet3!#REF!</definedName>
    <definedName name="DSRKLSMDF" hidden="1">[5]Sheet3!#REF!</definedName>
    <definedName name="ee" hidden="1">{#N/A,#N/A,FALSE,"단가표지"}</definedName>
    <definedName name="ff" hidden="1">{#N/A,#N/A,FALSE,"운반시간"}</definedName>
    <definedName name="FFF" hidden="1">{#N/A,#N/A,FALSE,"단가표지"}</definedName>
    <definedName name="ffk" hidden="1">{#N/A,#N/A,FALSE,"CCTV"}</definedName>
    <definedName name="FGG" hidden="1">{#N/A,#N/A,FALSE,"CCTV"}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SD" localSheetId="0" hidden="1">#REF!</definedName>
    <definedName name="FSD" hidden="1">#REF!</definedName>
    <definedName name="FSDF" hidden="1">{#N/A,#N/A,FALSE,"운반시간"}</definedName>
    <definedName name="gfgdfg" localSheetId="0" hidden="1">[6]BID!#REF!</definedName>
    <definedName name="gfgdfg" hidden="1">[6]BID!#REF!</definedName>
    <definedName name="gg" hidden="1">{#N/A,#N/A,FALSE,"운반시간"}</definedName>
    <definedName name="GHH" hidden="1">{#N/A,#N/A,FALSE,"CCTV"}</definedName>
    <definedName name="gngn" hidden="1">{#N/A,#N/A,FALSE,"CCTV"}</definedName>
    <definedName name="grew" hidden="1">[6]BID!$C$1:$H$533</definedName>
    <definedName name="GSAGSAD" hidden="1">{#N/A,#N/A,FALSE,"전력간선"}</definedName>
    <definedName name="han" hidden="1">[6]BID!$A$1:$A$1714</definedName>
    <definedName name="hgkukhug" localSheetId="0" hidden="1">[7]Sheet2!#REF!</definedName>
    <definedName name="hgkukhug" hidden="1">[7]Sheet2!#REF!</definedName>
    <definedName name="HHHH" hidden="1">{#N/A,#N/A,FALSE,"CCTV"}</definedName>
    <definedName name="HJK" hidden="1">{#N/A,#N/A,FALSE,"이태원철근"}</definedName>
    <definedName name="HTML_CodePage" hidden="1">949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TR" hidden="1">{#N/A,#N/A,FALSE,"이태원철근"}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JJJ" hidden="1">{#N/A,#N/A,FALSE,"CCTV"}</definedName>
    <definedName name="JJJJJJ" hidden="1">[6]BID!$A$1:$A$524</definedName>
    <definedName name="JOON4" hidden="1">{#N/A,#N/A,FALSE,"현장 NCR 분석";#N/A,#N/A,FALSE,"현장품질감사";#N/A,#N/A,FALSE,"현장품질감사"}</definedName>
    <definedName name="kkk" localSheetId="0" hidden="1">[8]Total!#REF!</definedName>
    <definedName name="kkk" hidden="1">[8]Total!#REF!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UJHG" localSheetId="0" hidden="1">#REF!</definedName>
    <definedName name="LIUJHG" hidden="1">#REF!</definedName>
    <definedName name="ljkㅏㅎ" hidden="1">{#N/A,#N/A,FALSE,"2~8번"}</definedName>
    <definedName name="LKL" localSheetId="0" hidden="1">#REF!</definedName>
    <definedName name="LKL" hidden="1">#REF!</definedName>
    <definedName name="LKLL" hidden="1">{#N/A,#N/A,FALSE,"CCTV"}</definedName>
    <definedName name="lll" hidden="1">{#N/A,#N/A,FALSE,"CCTV"}</definedName>
    <definedName name="MMM" hidden="1">[3]Sheet2!$F$6:$F$769</definedName>
    <definedName name="n" hidden="1">[6]BID!$A$1:$A$4</definedName>
    <definedName name="NEWNAME" hidden="1">{#N/A,#N/A,FALSE,"CCTV"}</definedName>
    <definedName name="ONP" localSheetId="0" hidden="1">'[9]전체내역 (2)'!#REF!</definedName>
    <definedName name="ONP" hidden="1">'[9]전체내역 (2)'!#REF!</definedName>
    <definedName name="oq" hidden="1">{#N/A,#N/A,FALSE,"이정표"}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xlnm.Print_Area" localSheetId="0">'동,층별물량표'!#REF!</definedName>
    <definedName name="_xlnm.Print_Titles" localSheetId="0">'동,층별물량표'!$1:$3</definedName>
    <definedName name="Q" hidden="1">{#N/A,#N/A,FALSE,"전력간선"}</definedName>
    <definedName name="QA" hidden="1">{#N/A,#N/A,FALSE,"전력간선"}</definedName>
    <definedName name="qk" hidden="1">{"'자리배치도'!$AG$1:$CI$28"}</definedName>
    <definedName name="qor" hidden="1">[6]BID!$A$1:$A$4</definedName>
    <definedName name="QQ" hidden="1">{#N/A,#N/A,FALSE,"전력간선"}</definedName>
    <definedName name="qqq" localSheetId="0" hidden="1">#REF!</definedName>
    <definedName name="qqq" hidden="1">#REF!</definedName>
    <definedName name="qw" hidden="1">{#N/A,#N/A,FALSE,"단가표지"}</definedName>
    <definedName name="QWE" hidden="1">{#N/A,#N/A,FALSE,"이태원철근"}</definedName>
    <definedName name="QWER" hidden="1">{#N/A,#N/A,FALSE,"이태원철근"}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K" hidden="1">{#N/A,#N/A,FALSE,"이태원철근"}</definedName>
    <definedName name="RRR" hidden="1">[10]울산시산표!$G$1:$G$1019</definedName>
    <definedName name="RT" hidden="1">{#N/A,#N/A,FALSE,"이태원철근"}</definedName>
    <definedName name="RYU" hidden="1">{#N/A,#N/A,FALSE,"현장 NCR 분석";#N/A,#N/A,FALSE,"현장품질감사";#N/A,#N/A,FALSE,"현장품질감사"}</definedName>
    <definedName name="SDCFG\" hidden="1">{#N/A,#N/A,FALSE,"운반시간"}</definedName>
    <definedName name="SDF" hidden="1">#N/A</definedName>
    <definedName name="sdg" hidden="1">[6]BID!$A$1:$A$1714</definedName>
    <definedName name="SERVICE" hidden="1">{#N/A,#N/A,FALSE,"이태원철근"}</definedName>
    <definedName name="SF" hidden="1">{#N/A,#N/A,FALSE,"이태원철근"}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s" hidden="1">{#N/A,#N/A,FALSE,"운반시간"}</definedName>
    <definedName name="sss" hidden="1">{#N/A,#N/A,FALSE,"전력간선"}</definedName>
    <definedName name="tk" hidden="1">{#N/A,#N/A,FALSE,"견적갑지";#N/A,#N/A,FALSE,"총괄표";#N/A,#N/A,FALSE,"철골공사";#N/A,#N/A,FALSE,"토목공사";#N/A,#N/A,FALSE,"판넬전기공사"}</definedName>
    <definedName name="tn" hidden="1">{#N/A,#N/A,FALSE,"견적갑지";#N/A,#N/A,FALSE,"총괄표";#N/A,#N/A,FALSE,"철골공사";#N/A,#N/A,FALSE,"토목공사";#N/A,#N/A,FALSE,"판넬전기공사"}</definedName>
    <definedName name="tr" hidden="1">[6]BID!$A$1:$A$1714</definedName>
    <definedName name="tt" hidden="1">{#N/A,#N/A,FALSE,"단가표지"}</definedName>
    <definedName name="uk" hidden="1">{#N/A,#N/A,FALSE,"CCTV"}</definedName>
    <definedName name="VB" hidden="1">{#N/A,#N/A,FALSE,"이태원철근"}</definedName>
    <definedName name="VBN" hidden="1">{#N/A,#N/A,FALSE,"이태원철근"}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개업비." hidden="1">{"개업비1",#N/A,FALSE,"개업비";"개업비2",#N/A,FALSE,"개업비";"개업비3",#N/A,FALSE,"개업비";"개업비4",#N/A,FALSE,"개업비"}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공사비." hidden="1">{"1단계공사비",#N/A,FALSE,"공사비";"2단계공사비",#N/A,FALSE,"공사비"}</definedName>
    <definedName name="wrn.공업단지." hidden="1">{"공업단지",#N/A,FALSE,"배후단지 및 부대사업"}</definedName>
    <definedName name="wrn.관광단지." hidden="1">{"관광단지",#N/A,FALSE,"배후단지 및 부대사업"}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대출금상환계획." hidden="1">{"대출금상환계획",#N/A,FALSE,"추정IS,CF,무상사용"}</definedName>
    <definedName name="wrn.민감도." hidden="1">{#N/A,#N/A,FALSE,"민감도"}</definedName>
    <definedName name="wrn.배당분석." hidden="1">{#N/A,#N/A,FALSE,"배당분석"}</definedName>
    <definedName name="wrn.배수1." hidden="1">{#N/A,#N/A,FALSE,"배수1"}</definedName>
    <definedName name="wrn.배수2." hidden="1">{#N/A,#N/A,FALSE,"배수2"}</definedName>
    <definedName name="wrn.배후단지." hidden="1">{"배후단지",#N/A,FALSE,"배후단지 및 부대사업"}</definedName>
    <definedName name="wrn.배후단지._.및._.부대사업." hidden="1">{"부대사업공정율",#N/A,FALSE,"배후단지 및 부대사업"}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대사업본사업연결자료." hidden="1">{"부대사업본사업연결자료",#N/A,FALSE,"배후단지및부대사업연결"}</definedName>
    <definedName name="wrn.부대사업수익총괄." hidden="1">{"부대사업수익총괄",#N/A,FALSE,"배후단지 및 부대사업"}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불변현금흐름표." hidden="1">{"불변현금흐름",#N/A,FALSE,"추정IS,CF,무상사용"}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{#N/A,#N/A,FALSE,"도급대비시행율";#N/A,#N/A,FALSE,"결의서";#N/A,#N/A,FALSE,"내역서";#N/A,#N/A,FALSE,"도급예상"}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운영비용.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wrn.운영설비비." hidden="1">{"운영설비비1",#N/A,FALSE,"운영설비비";"운영설비비2",#N/A,FALSE,"운영설비비"}</definedName>
    <definedName name="wrn.운영수익." hidden="1">{"운영수익1",#N/A,FALSE,"운영수익";"운영수익2",#N/A,FALSE,"운영수익";"운영수익3",#N/A,FALSE,"운영수익"}</definedName>
    <definedName name="wrn.이정표." hidden="1">{#N/A,#N/A,FALSE,"이정표"}</definedName>
    <definedName name="wrn.이태원._.철근." hidden="1">{#N/A,#N/A,FALSE,"이태원철근"}</definedName>
    <definedName name="wrn.자금운영표." hidden="1">{"총괄자금운영표",#N/A,FALSE,"자금운영표";"1단계자금운영표(불변)",#N/A,FALSE,"자금운영표";"2단계자금운영표(불변)",#N/A,FALSE,"자금운영표"}</definedName>
    <definedName name="wrn.장비보유." hidden="1">{"장비보유1",#N/A,FALSE,"장비보유현황";"장비보유2",#N/A,FALSE,"장비보유현황"}</definedName>
    <definedName name="wrn.장비소요." hidden="1">{"장비보유",#N/A,FALSE,"장비소요"}</definedName>
    <definedName name="wrn.전열선출서." hidden="1">{#N/A,#N/A,FALSE,"전열산출서"}</definedName>
    <definedName name="wrn.조골재." hidden="1">{#N/A,#N/A,FALSE,"조골재"}</definedName>
    <definedName name="wrn.중공업군포견적서." hidden="1">{#N/A,#N/A,FALSE,"견적갑지";#N/A,#N/A,FALSE,"총괄표";#N/A,#N/A,FALSE,"철골공사";#N/A,#N/A,FALSE,"토목공사";#N/A,#N/A,FALSE,"판넬전기공사"}</definedName>
    <definedName name="wrn.추정대차대조." hidden="1">{"추정대차대조표",#N/A,FALSE,"추정BS"}</definedName>
    <definedName name="wrn.추정손익계산서." hidden="1">{"추정손익계산서",#N/A,FALSE,"추정IS,CF,무상사용"}</definedName>
    <definedName name="wrn.추정현금흐름표." hidden="1">{"추정현금흐름표",#N/A,FALSE,"추정IS,CF,무상사용"}</definedName>
    <definedName name="wrn.토공1." hidden="1">{#N/A,#N/A,FALSE,"구조1"}</definedName>
    <definedName name="wrn.토공2." hidden="1">{#N/A,#N/A,FALSE,"토공2"}</definedName>
    <definedName name="wrn.투자비명세." hidden="1">{"1단계 투자비명세",#N/A,FALSE,"투자비명세";"2단계 투자비명세",#N/A,FALSE,"투자비명세"}</definedName>
    <definedName name="wrn.포장1." hidden="1">{#N/A,#N/A,FALSE,"포장1";#N/A,#N/A,FALSE,"포장1"}</definedName>
    <definedName name="wrn.포장2." hidden="1">{#N/A,#N/A,FALSE,"포장2"}</definedName>
    <definedName name="wrn.포장단가." hidden="1">{#N/A,#N/A,FALSE,"포장단가"}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xdfgsdsa" hidden="1">{#N/A,#N/A,FALSE,"CCTV"}</definedName>
    <definedName name="za" hidden="1">[6]BID!$A$1:$A$4</definedName>
    <definedName name="ZXC" hidden="1">{#N/A,#N/A,FALSE,"이태원철근"}</definedName>
    <definedName name="ㄱㄱㄱ" hidden="1">{#N/A,#N/A,FALSE,"견적갑지";#N/A,#N/A,FALSE,"총괄표";#N/A,#N/A,FALSE,"철골공사";#N/A,#N/A,FALSE,"토목공사";#N/A,#N/A,FALSE,"판넬전기공사"}</definedName>
    <definedName name="ㄱㄱㄱㄱ" hidden="1">{#N/A,#N/A,FALSE,"단가표지"}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ㄱ" hidden="1">{#N/A,#N/A,FALSE,"단가표지"}</definedName>
    <definedName name="ㄱㅂㄱㄹㄴㄾㅍ" hidden="1">{#N/A,#N/A,FALSE,"민감도"}</definedName>
    <definedName name="ㄱㅈㅎ" hidden="1">[6]BID!$A$1:$A$1714</definedName>
    <definedName name="가" hidden="1">{#N/A,#N/A,FALSE,"갑지";#N/A,#N/A,FALSE,"개요";#N/A,#N/A,FALSE,"비목별";#N/A,#N/A,FALSE,"건물별";#N/A,#N/A,FALSE,"기구표";#N/A,#N/A,FALSE,"직원투입"}</definedName>
    <definedName name="가자" hidden="1">{#N/A,#N/A,FALSE,"단가표지"}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" hidden="1">{#N/A,#N/A,FALSE,"단가표지"}</definedName>
    <definedName name="감다" hidden="1">{#N/A,#N/A,FALSE,"골재소요량";#N/A,#N/A,FALSE,"골재소요량"}</definedName>
    <definedName name="갑지" localSheetId="0" hidden="1">#REF!</definedName>
    <definedName name="갑지" hidden="1">#REF!</definedName>
    <definedName name="강릉교동" localSheetId="0" hidden="1">#REF!</definedName>
    <definedName name="강릉교동" hidden="1">#REF!</definedName>
    <definedName name="강릉교동터파기" localSheetId="0" hidden="1">#REF!</definedName>
    <definedName name="강릉교동터파기" hidden="1">#REF!</definedName>
    <definedName name="강릉교동토목" localSheetId="0" hidden="1">#REF!</definedName>
    <definedName name="강릉교동토목" hidden="1">#REF!</definedName>
    <definedName name="강릉교동흙막이" localSheetId="0" hidden="1">#REF!</definedName>
    <definedName name="강릉교동흙막이" hidden="1">#REF!</definedName>
    <definedName name="강릉토공사" localSheetId="0" hidden="1">#REF!</definedName>
    <definedName name="강릉토공사" hidden="1">#REF!</definedName>
    <definedName name="강릉토목공사" localSheetId="0" hidden="1">#REF!</definedName>
    <definedName name="강릉토목공사" hidden="1">#REF!</definedName>
    <definedName name="강릉토목임" localSheetId="0" hidden="1">#REF!</definedName>
    <definedName name="강릉토목임" hidden="1">#REF!</definedName>
    <definedName name="갸" hidden="1">{#N/A,#N/A,FALSE,"CCTV"}</definedName>
    <definedName name="거" hidden="1">{"장비보유1",#N/A,FALSE,"장비보유현황";"장비보유2",#N/A,FALSE,"장비보유현황"}</definedName>
    <definedName name="거제" hidden="1">{#N/A,#N/A,FALSE,"이태원철근"}</definedName>
    <definedName name="거제2" hidden="1">{#N/A,#N/A,FALSE,"이태원철근"}</definedName>
    <definedName name="거제현장" hidden="1">{#N/A,#N/A,FALSE,"이태원철근"}</definedName>
    <definedName name="거추서" hidden="1">{#N/A,#N/A,FALSE,"견적갑지";#N/A,#N/A,FALSE,"총괄표";#N/A,#N/A,FALSE,"철골공사";#N/A,#N/A,FALSE,"토목공사";#N/A,#N/A,FALSE,"판넬전기공사"}</definedName>
    <definedName name="건3" hidden="1">{#N/A,#N/A,FALSE,"견적갑지";#N/A,#N/A,FALSE,"총괄표";#N/A,#N/A,FALSE,"철골공사";#N/A,#N/A,FALSE,"토목공사";#N/A,#N/A,FALSE,"판넬전기공사"}</definedName>
    <definedName name="건444" hidden="1">{#N/A,#N/A,FALSE,"견적갑지";#N/A,#N/A,FALSE,"총괄표";#N/A,#N/A,FALSE,"철골공사";#N/A,#N/A,FALSE,"토목공사";#N/A,#N/A,FALSE,"판넬전기공사"}</definedName>
    <definedName name="건검" hidden="1">{#N/A,#N/A,FALSE,"견적갑지";#N/A,#N/A,FALSE,"총괄표";#N/A,#N/A,FALSE,"철골공사";#N/A,#N/A,FALSE,"토목공사";#N/A,#N/A,FALSE,"판넬전기공사"}</definedName>
    <definedName name="건추" hidden="1">{#N/A,#N/A,FALSE,"견적갑지";#N/A,#N/A,FALSE,"총괄표";#N/A,#N/A,FALSE,"철골공사";#N/A,#N/A,FALSE,"토목공사";#N/A,#N/A,FALSE,"판넬전기공사"}</definedName>
    <definedName name="건축" hidden="1">{#N/A,#N/A,FALSE,"이태원철근"}</definedName>
    <definedName name="견적내역" hidden="1">{#N/A,#N/A,FALSE,"CCTV"}</definedName>
    <definedName name="경계블럭연장" localSheetId="0" hidden="1">[11]조명시설!#REF!</definedName>
    <definedName name="경계블럭연장" hidden="1">[11]조명시설!#REF!</definedName>
    <definedName name="경비용역" hidden="1">{#N/A,#N/A,FALSE,"CCTV"}</definedName>
    <definedName name="경수" hidden="1">{#N/A,#N/A,FALSE,"도급대비시행율";#N/A,#N/A,FALSE,"결의서";#N/A,#N/A,FALSE,"내역서";#N/A,#N/A,FALSE,"도급예상"}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조출장" hidden="1">{#N/A,#N/A,FALSE,"CCTV"}</definedName>
    <definedName name="고" hidden="1">{#N/A,#N/A,FALSE,"조골재"}</definedName>
    <definedName name="고1" hidden="1">{#N/A,#N/A,FALSE,"조골재"}</definedName>
    <definedName name="고여원" hidden="1">{#N/A,#N/A,FALSE,"이태원철근"}</definedName>
    <definedName name="공공" hidden="1">{#N/A,#N/A,FALSE,"이태원철근"}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사원가계산서" hidden="1">{#N/A,#N/A,TRUE,"토적및재료집계";#N/A,#N/A,TRUE,"토적및재료집계";#N/A,#N/A,TRUE,"단위량"}</definedName>
    <definedName name="공정표" hidden="1">{#N/A,#N/A,FALSE,"현장 NCR 분석";#N/A,#N/A,FALSE,"현장품질감사";#N/A,#N/A,FALSE,"현장품질감사"}</definedName>
    <definedName name="공통비" localSheetId="0" hidden="1">#REF!</definedName>
    <definedName name="공통비" hidden="1">#REF!</definedName>
    <definedName name="관리비2" hidden="1">{#N/A,#N/A,FALSE,"갑지";#N/A,#N/A,FALSE,"개요";#N/A,#N/A,FALSE,"비목별";#N/A,#N/A,FALSE,"건물별";#N/A,#N/A,FALSE,"기구표";#N/A,#N/A,FALSE,"직원투입"}</definedName>
    <definedName name="교동토" localSheetId="0" hidden="1">#REF!</definedName>
    <definedName name="교동토" hidden="1">#REF!</definedName>
    <definedName name="교동토목공사" hidden="1">{#N/A,#N/A,FALSE,"이태원철근"}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산갑지" localSheetId="0" hidden="1">#REF!</definedName>
    <definedName name="구산갑지" hidden="1">#REF!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자관" hidden="1">{#N/A,#N/A,FALSE,"신청통보";#N/A,#N/A,FALSE,"기성확인서";#N/A,#N/A,FALSE,"기성내역서"}</definedName>
    <definedName name="글쎄1" hidden="1">{#N/A,#N/A,FALSE,"CCTV"}</definedName>
    <definedName name="글쎄3" hidden="1">{#N/A,#N/A,FALSE,"CCTV"}</definedName>
    <definedName name="기" hidden="1">{#N/A,#N/A,FALSE,"견적갑지";#N/A,#N/A,FALSE,"총괄표";#N/A,#N/A,FALSE,"철골공사";#N/A,#N/A,FALSE,"토목공사";#N/A,#N/A,FALSE,"판넬전기공사"}</definedName>
    <definedName name="기계" hidden="1">{#N/A,#N/A,FALSE,"견적갑지";#N/A,#N/A,FALSE,"총괄표";#N/A,#N/A,FALSE,"철골공사";#N/A,#N/A,FALSE,"토목공사";#N/A,#N/A,FALSE,"판넬전기공사"}</definedName>
    <definedName name="기계1" hidden="1">{#N/A,#N/A,FALSE,"견적갑지";#N/A,#N/A,FALSE,"총괄표";#N/A,#N/A,FALSE,"철골공사";#N/A,#N/A,FALSE,"토목공사";#N/A,#N/A,FALSE,"판넬전기공사"}</definedName>
    <definedName name="기계2" hidden="1">{#N/A,#N/A,FALSE,"견적갑지";#N/A,#N/A,FALSE,"총괄표";#N/A,#N/A,FALSE,"철골공사";#N/A,#N/A,FALSE,"토목공사";#N/A,#N/A,FALSE,"판넬전기공사"}</definedName>
    <definedName name="기계3" hidden="1">{#N/A,#N/A,FALSE,"견적갑지";#N/A,#N/A,FALSE,"총괄표";#N/A,#N/A,FALSE,"철골공사";#N/A,#N/A,FALSE,"토목공사";#N/A,#N/A,FALSE,"판넬전기공사"}</definedName>
    <definedName name="기계4" hidden="1">{#N/A,#N/A,FALSE,"견적갑지";#N/A,#N/A,FALSE,"총괄표";#N/A,#N/A,FALSE,"철골공사";#N/A,#N/A,FALSE,"토목공사";#N/A,#N/A,FALSE,"판넬전기공사"}</definedName>
    <definedName name="기계5" hidden="1">{#N/A,#N/A,FALSE,"견적갑지";#N/A,#N/A,FALSE,"총괄표";#N/A,#N/A,FALSE,"철골공사";#N/A,#N/A,FALSE,"토목공사";#N/A,#N/A,FALSE,"판넬전기공사"}</definedName>
    <definedName name="기계집계" hidden="1">{#N/A,#N/A,FALSE,"견적갑지";#N/A,#N/A,FALSE,"총괄표";#N/A,#N/A,FALSE,"철골공사";#N/A,#N/A,FALSE,"토목공사";#N/A,#N/A,FALSE,"판넬전기공사"}</definedName>
    <definedName name="기구본사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0" hidden="1">'[3]#REF'!#REF!</definedName>
    <definedName name="기기기" hidden="1">'[3]#REF'!#REF!</definedName>
    <definedName name="기주조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hidden="1">{#N/A,#N/A,FALSE,"골재소요량";#N/A,#N/A,FALSE,"골재소요량"}</definedName>
    <definedName name="김김" hidden="1">{#N/A,#N/A,FALSE,"골재소요량";#N/A,#N/A,FALSE,"골재소요량"}</definedName>
    <definedName name="김김김" hidden="1">{#N/A,#N/A,FALSE,"단가표지"}</definedName>
    <definedName name="김김김김" hidden="1">{#N/A,#N/A,FALSE,"단가표지"}</definedName>
    <definedName name="김다" hidden="1">{#N/A,#N/A,FALSE,"골재소요량";#N/A,#N/A,FALSE,"골재소요량"}</definedName>
    <definedName name="끝에삽입" hidden="1">{#N/A,#N/A,FALSE,"이태원철근"}</definedName>
    <definedName name="ㄳ" hidden="1">{"1단계공사비",#N/A,FALSE,"공사비";"2단계공사비",#N/A,FALSE,"공사비"}</definedName>
    <definedName name="ㄳㄳ" hidden="1">{"관광단지",#N/A,FALSE,"배후단지 및 부대사업"}</definedName>
    <definedName name="ㄳㄳㄳ" hidden="1">{"대출금상환계획",#N/A,FALSE,"추정IS,CF,무상사용"}</definedName>
    <definedName name="ㄳㄳㄳㄱ" hidden="1">{#N/A,#N/A,FALSE,"민감도"}</definedName>
    <definedName name="ㄳㄳㄳㄳㄳㄳㄱ" hidden="1">{"배후단지",#N/A,FALSE,"배후단지 및 부대사업"}</definedName>
    <definedName name="ㄳㅅ" hidden="1">{"공업단지",#N/A,FALSE,"배후단지 및 부대사업"}</definedName>
    <definedName name="ㄴ" hidden="1">{"1단계 투자비명세",#N/A,FALSE,"투자비명세";"2단계 투자비명세",#N/A,FALSE,"투자비명세"}</definedName>
    <definedName name="ㄴㄱㄹ" hidden="1">[6]BID!$A$1:$A$734</definedName>
    <definedName name="ㄴㄴ" hidden="1">{#N/A,#N/A,FALSE,"표지목차"}</definedName>
    <definedName name="ㄴㄴㄴ" localSheetId="0" hidden="1">#REF!</definedName>
    <definedName name="ㄴㄴㄴ" hidden="1">#REF!</definedName>
    <definedName name="ㄴㄴㄴㄴ" localSheetId="0" hidden="1">#REF!</definedName>
    <definedName name="ㄴㄴㄴㄴ" hidden="1">#REF!</definedName>
    <definedName name="ㄴㄴㄴㄴㄴ" localSheetId="0" hidden="1">#REF!</definedName>
    <definedName name="ㄴㄴㄴㄴㄴ" hidden="1">#REF!</definedName>
    <definedName name="ㄴㄹ" hidden="1">{#N/A,#N/A,FALSE,"배수1"}</definedName>
    <definedName name="ㄴㄻㄴㅇ" hidden="1">{#N/A,#N/A,FALSE,"조골재"}</definedName>
    <definedName name="ㄴㅀ" hidden="1">{#N/A,#N/A,FALSE,"배수2"}</definedName>
    <definedName name="ㄴㅁ" hidden="1">[6]BID!$A$1:$A$4</definedName>
    <definedName name="ㄴㅁㄹㄴㅁㄹ" hidden="1">{#N/A,#N/A,FALSE,"전력간선"}</definedName>
    <definedName name="ㄴㅁㄹㄴㅁㅇㄴㅇㅁㄹㄴ" hidden="1">{#N/A,#N/A,FALSE,"단가표지"}</definedName>
    <definedName name="ㄴㅁㅇㄹ" hidden="1">{#N/A,#N/A,FALSE,"이태원철근"}</definedName>
    <definedName name="ㄴㅇ12121" hidden="1">{#N/A,#N/A,FALSE,"배당분석"}</definedName>
    <definedName name="ㄴㅇㄴㅇㄴㅇㄴ" hidden="1">{"추정현금흐름표",#N/A,FALSE,"추정IS,CF,무상사용"}</definedName>
    <definedName name="ㄴㅇㄴㅇㅌㅊㅌㅊ" hidden="1">{"1단계 투자비명세",#N/A,FALSE,"투자비명세";"2단계 투자비명세",#N/A,FALSE,"투자비명세"}</definedName>
    <definedName name="ㄴㅇㄴㅊㅊ" hidden="1">{"운영수익1",#N/A,FALSE,"운영수익";"운영수익2",#N/A,FALSE,"운영수익";"운영수익3",#N/A,FALSE,"운영수익"}</definedName>
    <definedName name="ㄴㅇㄻㅍㅍㅋㄻㅁㅎㄴㅇㅎㄴㅇㅎ" hidden="1">{"부대사업공정율",#N/A,FALSE,"배후단지 및 부대사업"}</definedName>
    <definedName name="ㄴㅇㅇㅍㄹ" hidden="1">{#N/A,#N/A,FALSE,"견적갑지";#N/A,#N/A,FALSE,"총괄표";#N/A,#N/A,FALSE,"철골공사";#N/A,#N/A,FALSE,"토목공사";#N/A,#N/A,FALSE,"판넬전기공사"}</definedName>
    <definedName name="ㄴㅇㅌㅊ" hidden="1">{"장비보유",#N/A,FALSE,"장비소요"}</definedName>
    <definedName name="ㄴㅍㄴ" hidden="1">{#N/A,#N/A,FALSE,"단가표지"}</definedName>
    <definedName name="나" hidden="1">{#N/A,#N/A,FALSE,"갑지";#N/A,#N/A,FALSE,"개요";#N/A,#N/A,FALSE,"비목별";#N/A,#N/A,FALSE,"건물별";#N/A,#N/A,FALSE,"기구표";#N/A,#N/A,FALSE,"직원투입"}</definedName>
    <definedName name="내역" hidden="1">{#N/A,#N/A,FALSE,"CCTV"}</definedName>
    <definedName name="내역서" hidden="1">{#N/A,#N/A,FALSE,"CCTV"}</definedName>
    <definedName name="내역서1" hidden="1">{#N/A,#N/A,FALSE,"전력간선"}</definedName>
    <definedName name="넣러" hidden="1">{#N/A,#N/A,FALSE,"표지목차"}</definedName>
    <definedName name="년간데획1" localSheetId="0" hidden="1">#REF!</definedName>
    <definedName name="년간데획1" hidden="1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놓ㄹ노" hidden="1">{#N/A,#N/A,FALSE,"골재소요량";#N/A,#N/A,FALSE,"골재소요량"}</definedName>
    <definedName name="ㄶㄶㄶㄱㅎㄴㄹ" hidden="1">{"1단계공사비",#N/A,FALSE,"공사비";"2단계공사비",#N/A,FALSE,"공사비"}</definedName>
    <definedName name="ㄶㅇㅀㄴㅇ" hidden="1">{#N/A,#N/A,FALSE,"표지목차"}</definedName>
    <definedName name="ㄷ" hidden="1">{"개업비1",#N/A,FALSE,"개업비";"개업비2",#N/A,FALSE,"개업비";"개업비3",#N/A,FALSE,"개업비";"개업비4",#N/A,FALSE,"개업비"}</definedName>
    <definedName name="ㄷㄱ" hidden="1">{#N/A,#N/A,FALSE,"단가표지"}</definedName>
    <definedName name="ㄷㄱㅇ" hidden="1">{#N/A,#N/A,FALSE,"CCTV"}</definedName>
    <definedName name="ㄷㄷ" localSheetId="0" hidden="1">#REF!</definedName>
    <definedName name="ㄷㄷ" hidden="1">#REF!</definedName>
    <definedName name="ㄷㄷㄷ" hidden="1">{#N/A,#N/A,FALSE,"운반시간"}</definedName>
    <definedName name="ㄷㅇ" hidden="1">{#N/A,#N/A,FALSE,"전력간선"}</definedName>
    <definedName name="ㄷㅇㅊㅇ" hidden="1">{"장비보유1",#N/A,FALSE,"장비보유현황";"장비보유2",#N/A,FALSE,"장비보유현황"}</definedName>
    <definedName name="다" hidden="1">{"대출금상환계획",#N/A,FALSE,"추정IS,CF,무상사용"}</definedName>
    <definedName name="다시" hidden="1">{#N/A,#N/A,FALSE,"전력간선"}</definedName>
    <definedName name="닥트설치공사" hidden="1">{#N/A,#N/A,FALSE,"전력간선"}</definedName>
    <definedName name="단가산출2" hidden="1">[12]노임단가!$A$1:$A$129</definedName>
    <definedName name="대상시트문" hidden="1">{#N/A,#N/A,FALSE,"이태원철근"}</definedName>
    <definedName name="더" hidden="1">{"1단계 투자비명세",#N/A,FALSE,"투자비명세";"2단계 투자비명세",#N/A,FALSE,"투자비명세"}</definedName>
    <definedName name="돈" hidden="1">{#N/A,#N/A,FALSE,"조골재"}</definedName>
    <definedName name="디" hidden="1">{#N/A,#N/A,FALSE,"견적갑지";#N/A,#N/A,FALSE,"총괄표";#N/A,#N/A,FALSE,"철골공사";#N/A,#N/A,FALSE,"토목공사";#N/A,#N/A,FALSE,"판넬전기공사"}</definedName>
    <definedName name="ㄹ" localSheetId="0" hidden="1">#REF!</definedName>
    <definedName name="ㄹ" hidden="1">#REF!</definedName>
    <definedName name="ㄹ1313" hidden="1">{"1단계 투자비명세",#N/A,FALSE,"투자비명세";"2단계 투자비명세",#N/A,FALSE,"투자비명세"}</definedName>
    <definedName name="ㄹㄴㅁㄹㄴㅁㄹ" hidden="1">{#N/A,#N/A,FALSE,"전력간선"}</definedName>
    <definedName name="ㄹㄴㅇㄻㄴ" hidden="1">{#N/A,#N/A,FALSE,"단가표지"}</definedName>
    <definedName name="ㄹㄴ웋" hidden="1">{#N/A,#N/A,FALSE,"운반시간"}</definedName>
    <definedName name="ㄹㄹ" localSheetId="0" hidden="1">#REF!</definedName>
    <definedName name="ㄹㄹ" hidden="1">#REF!</definedName>
    <definedName name="ㄹㄹ1312" hidden="1">{"추정현금흐름표",#N/A,FALSE,"추정IS,CF,무상사용"}</definedName>
    <definedName name="ㄹㄹㄹ" hidden="1">[0]!ㄹㄹㄹ</definedName>
    <definedName name="ㄹㄹㄹ13" hidden="1">{"추정손익계산서",#N/A,FALSE,"추정IS,CF,무상사용"}</definedName>
    <definedName name="ㄹㄹㄹ231" hidden="1">{"추정대차대조표",#N/A,FALSE,"추정BS"}</definedName>
    <definedName name="ㄹㄹㄹ23232" hidden="1">{"장비보유",#N/A,FALSE,"장비소요"}</definedName>
    <definedName name="ㄹㅇ" hidden="1">{#N/A,#N/A,FALSE,"도급대비시행율";#N/A,#N/A,FALSE,"결의서";#N/A,#N/A,FALSE,"내역서";#N/A,#N/A,FALSE,"도급예상"}</definedName>
    <definedName name="ㄹㅇㄹ" hidden="1">{#N/A,#N/A,FALSE,"혼합골재"}</definedName>
    <definedName name="ㄹㅇㄹㄴ12323" hidden="1">{"장비보유1",#N/A,FALSE,"장비보유현황";"장비보유2",#N/A,FALSE,"장비보유현황"}</definedName>
    <definedName name="ㄹㅇㅎㄴㅇ" hidden="1">{#N/A,#N/A,FALSE,"조골재"}</definedName>
    <definedName name="ㄹㅊㅊ" hidden="1">{"추정손익계산서",#N/A,FALSE,"추정IS,CF,무상사용"}</definedName>
    <definedName name="ㄹ호" hidden="1">[6]BID!$C$1:$H$533</definedName>
    <definedName name="라" hidden="1">{#N/A,#N/A,FALSE,"민감도"}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" hidden="1">{"개업비1",#N/A,FALSE,"개업비";"개업비2",#N/A,FALSE,"개업비";"개업비3",#N/A,FALSE,"개업비";"개업비4",#N/A,FALSE,"개업비"}</definedName>
    <definedName name="러헐" hidden="1">{#N/A,#N/A,FALSE,"도급대비시행율";#N/A,#N/A,FALSE,"결의서";#N/A,#N/A,FALSE,"내역서";#N/A,#N/A,FALSE,"도급예상"}</definedName>
    <definedName name="롫ㅀㄹ" hidden="1">{"추정현금흐름표",#N/A,FALSE,"추정IS,CF,무상사용"}</definedName>
    <definedName name="ㄻ" localSheetId="0" hidden="1">'[13]5사남'!#REF!</definedName>
    <definedName name="ㄻ" hidden="1">'[13]5사남'!#REF!</definedName>
    <definedName name="ㄻㄴㄹㅇㄴㅁ" hidden="1">{#N/A,#N/A,FALSE,"운반시간"}</definedName>
    <definedName name="ㄻㄴㄹㅇㄴㅁㄻㄴ" hidden="1">{#N/A,#N/A,FALSE,"견적갑지";#N/A,#N/A,FALSE,"총괄표";#N/A,#N/A,FALSE,"철골공사";#N/A,#N/A,FALSE,"토목공사";#N/A,#N/A,FALSE,"판넬전기공사"}</definedName>
    <definedName name="ㄻㄴㄻㄴㅇㄻㄴ" hidden="1">{#N/A,#N/A,FALSE,"표지목차"}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ㄻㅈㄷㄴㅇㅌㅊㅌ" hidden="1">{"추정대차대조표",#N/A,FALSE,"추정BS"}</definedName>
    <definedName name="ㄿㄿㄹㄹ" hidden="1">{"추정손익계산서",#N/A,FALSE,"추정IS,CF,무상사용"}</definedName>
    <definedName name="ㅀ" hidden="1">{#N/A,#N/A,TRUE,"토적및재료집계";#N/A,#N/A,TRUE,"토적및재료집계";#N/A,#N/A,TRUE,"단위량"}</definedName>
    <definedName name="ㅀㅇㅁ" hidden="1">{#N/A,#N/A,FALSE,"골재소요량";#N/A,#N/A,FALSE,"골재소요량"}</definedName>
    <definedName name="ㅀ오ㅓㅎ롱ㄶㄹㄴ" hidden="1">{#N/A,#N/A,FALSE,"2~8번"}</definedName>
    <definedName name="ㅁ" localSheetId="0" hidden="1">#REF!</definedName>
    <definedName name="ㅁ" hidden="1">#REF!</definedName>
    <definedName name="ㅁ121212" hidden="1">{"공업단지",#N/A,FALSE,"배후단지 및 부대사업"}</definedName>
    <definedName name="ㅁㄴㄹㄴ" hidden="1">{#N/A,#N/A,FALSE,"운반시간"}</definedName>
    <definedName name="ㅁㄴㄹㅇㅁ" hidden="1">{#N/A,#N/A,FALSE,"단가표지"}</definedName>
    <definedName name="ㅁㄴㅁㄴㅁㄴㅋㅌ" hidden="1">{"부대사업수익총괄",#N/A,FALSE,"배후단지 및 부대사업"}</definedName>
    <definedName name="ㅁㄴㅁㅇ" localSheetId="0" hidden="1">#REF!</definedName>
    <definedName name="ㅁㄴㅁㅇ" hidden="1">#REF!</definedName>
    <definedName name="ㅁㄴㅇ" hidden="1">{#N/A,#N/A,FALSE,"배수1"}</definedName>
    <definedName name="ㅁㄴㅇㄻㄴㅇㄹㅊㅌㅊㅍㅁ" hidden="1">{"추정현금흐름표",#N/A,FALSE,"추정IS,CF,무상사용"}</definedName>
    <definedName name="ㅁㄴㅇㅁ" localSheetId="0" hidden="1">[14]PI!#REF!</definedName>
    <definedName name="ㅁㄴㅇㅁ" hidden="1">[14]PI!#REF!</definedName>
    <definedName name="ㅁㄴㅌㄴ" hidden="1">{"'자리배치도'!$AG$1:$CI$28"}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ㄴㅇㅋㄹ" hidden="1">{"추정손익계산서",#N/A,FALSE,"추정IS,CF,무상사용"}</definedName>
    <definedName name="ㅁㄹㅇㄴ" hidden="1">{#N/A,#N/A,FALSE,"단가표지"}</definedName>
    <definedName name="ㅁㄹㅇㅁㄴ" hidden="1">{#N/A,#N/A,FALSE,"골재소요량";#N/A,#N/A,FALSE,"골재소요량"}</definedName>
    <definedName name="ㅁㄹㅇㅁㄹㅋㅌㅊㅍㅋㅇㄹㄴ" hidden="1">{#N/A,#N/A,FALSE,"배당분석"}</definedName>
    <definedName name="ㅁㄻㄴㄹ" hidden="1">{#N/A,#N/A,FALSE,"골재소요량";#N/A,#N/A,FALSE,"골재소요량"}</definedName>
    <definedName name="ㅁㅁㅁ" hidden="1">{"공업단지",#N/A,FALSE,"배후단지 및 부대사업"}</definedName>
    <definedName name="ㅁㅁㅁㅁ" hidden="1">{#N/A,#N/A,FALSE,"CCTV"}</definedName>
    <definedName name="ㅁㅁㅁㅁㅁㅁ" hidden="1">[6]BID!$A$1:$A$2353</definedName>
    <definedName name="ㅁㅅㅁㅎㅁㅎㅁ" hidden="1">{"개업비1",#N/A,FALSE,"개업비";"개업비2",#N/A,FALSE,"개업비";"개업비3",#N/A,FALSE,"개업비";"개업비4",#N/A,FALSE,"개업비"}</definedName>
    <definedName name="ㅁㅇㄹㄴㅇㅁㄹ" hidden="1">{#N/A,#N/A,FALSE,"운반시간"}</definedName>
    <definedName name="ㅁㅇㄹㅈㅁㄻㅁㄴㅇㄻㄴㄻㄴ" hidden="1">{"1단계 투자비명세",#N/A,FALSE,"투자비명세";"2단계 투자비명세",#N/A,FALSE,"투자비명세"}</definedName>
    <definedName name="ㅁㅇㄻ" hidden="1">{#N/A,#N/A,FALSE,"조골재"}</definedName>
    <definedName name="ㅁㅇㄻㄴㄹ" hidden="1">{#N/A,#N/A,FALSE,"혼합골재"}</definedName>
    <definedName name="ㅁㅇㄻㄴㅇㄻㄴㅇㄻㄴㅇㄻㄴㅇ" hidden="1">{"운영설비비1",#N/A,FALSE,"운영설비비";"운영설비비2",#N/A,FALSE,"운영설비비"}</definedName>
    <definedName name="ㅁㅇㄻㄴㅇㄻㅍㅌㅊㅍㅌㅊㅍ" hidden="1">{"운영수익1",#N/A,FALSE,"운영수익";"운영수익2",#N/A,FALSE,"운영수익";"운영수익3",#N/A,FALSE,"운영수익"}</definedName>
    <definedName name="ㅁㅇㄻㅇㄻㄴㅇㄻㄴㅇㄻㄴㅇㄻㄴ" hidden="1">{"부대사업수익총괄",#N/A,FALSE,"배후단지 및 부대사업"}</definedName>
    <definedName name="ㅁㅇㄻㅇㄻㅇㄻㄴㅇㄻㄴㅇㄹ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ㅁㅇㄻㅇㄻㅇㄻㅇㄻㅇㄻ" hidden="1">{"부대사업본사업연결자료",#N/A,FALSE,"배후단지및부대사업연결"}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마" hidden="1">{#N/A,#N/A,FALSE,"견적갑지";#N/A,#N/A,FALSE,"총괄표";#N/A,#N/A,FALSE,"철골공사";#N/A,#N/A,FALSE,"토목공사";#N/A,#N/A,FALSE,"판넬전기공사"}</definedName>
    <definedName name="매출액" localSheetId="0" hidden="1">[15]인사자료총집계!#REF!</definedName>
    <definedName name="매출액" hidden="1">[15]인사자료총집계!#REF!</definedName>
    <definedName name="머" hidden="1">{"1단계공사비",#N/A,FALSE,"공사비";"2단계공사비",#N/A,FALSE,"공사비"}</definedName>
    <definedName name="메일주소" hidden="1">{#N/A,#N/A,FALSE,"CCTV"}</definedName>
    <definedName name="목차9" hidden="1">{#N/A,#N/A,FALSE,"이태원철근"}</definedName>
    <definedName name="문서" hidden="1">{#N/A,#N/A,FALSE,"현장 NCR 분석";#N/A,#N/A,FALSE,"현장품질감사";#N/A,#N/A,FALSE,"현장품질감사"}</definedName>
    <definedName name="물" hidden="1">{#N/A,#N/A,FALSE,"이태원철근"}</definedName>
    <definedName name="물가" hidden="1">{#N/A,#N/A,FALSE,"이태원철근"}</definedName>
    <definedName name="뭐가이태원이야" hidden="1">{#N/A,#N/A,FALSE,"이태원철근"}</definedName>
    <definedName name="뭐지" hidden="1">{#N/A,#N/A,FALSE,"CCTV"}</definedName>
    <definedName name="ㅂ" hidden="1">{#N/A,#N/A,FALSE,"골재소요량";#N/A,#N/A,FALSE,"골재소요량"}</definedName>
    <definedName name="ㅂ111" hidden="1">{"1단계 투자비명세",#N/A,FALSE,"투자비명세";"2단계 투자비명세",#N/A,FALSE,"투자비명세"}</definedName>
    <definedName name="ㅂ11112" hidden="1">{"개업비1",#N/A,FALSE,"개업비";"개업비2",#N/A,FALSE,"개업비";"개업비3",#N/A,FALSE,"개업비";"개업비4",#N/A,FALSE,"개업비"}</definedName>
    <definedName name="ㅂ12121" hidden="1">{"1단계공사비",#N/A,FALSE,"공사비";"2단계공사비",#N/A,FALSE,"공사비"}</definedName>
    <definedName name="ㅂㅁㅁㅂㅂㅂ" hidden="1">{"부대사업공정율",#N/A,FALSE,"배후단지 및 부대사업"}</definedName>
    <definedName name="ㅂㅁㅁㅋ" hidden="1">{"공업단지",#N/A,FALSE,"배후단지 및 부대사업"}</definedName>
    <definedName name="ㅂㅁㅂㅁ" hidden="1">{"개업비1",#N/A,FALSE,"개업비";"개업비2",#N/A,FALSE,"개업비";"개업비3",#N/A,FALSE,"개업비";"개업비4",#N/A,FALSE,"개업비"}</definedName>
    <definedName name="ㅂㅂ" hidden="1">{#N/A,#N/A,FALSE,"CCTV"}</definedName>
    <definedName name="ㅂㅂㅂㅂ" hidden="1">{"1단계 투자비명세",#N/A,FALSE,"투자비명세";"2단계 투자비명세",#N/A,FALSE,"투자비명세"}</definedName>
    <definedName name="ㅂㅂㅂㅂㅂㅂ" hidden="1">{#N/A,#N/A,FALSE,"민감도"}</definedName>
    <definedName name="ㅂㅇㄴㅂㅂ" hidden="1">{"배후단지",#N/A,FALSE,"배후단지 및 부대사업"}</definedName>
    <definedName name="ㅂㅈㅁㄴ" hidden="1">{"1단계공사비",#N/A,FALSE,"공사비";"2단계공사비",#N/A,FALSE,"공사비"}</definedName>
    <definedName name="ㅂㅈㅁㄴㅁ" hidden="1">{"대출금상환계획",#N/A,FALSE,"추정IS,CF,무상사용"}</definedName>
    <definedName name="ㅂㅈㅂ1212" hidden="1">{#N/A,#N/A,FALSE,"민감도"}</definedName>
    <definedName name="ㅂㅈㅂㅈㅁㄴㄴ" hidden="1">{"불변현금흐름",#N/A,FALSE,"추정IS,CF,무상사용"}</definedName>
    <definedName name="ㅂㅈㅂㅈㅂㅈㅂ" hidden="1">{"부대사업본사업연결자료",#N/A,FALSE,"배후단지및부대사업연결"}</definedName>
    <definedName name="ㅂㅈㅅㄷㅁㅇㄹㄴㅇㄻㄴㅇㄹ" hidden="1">{"총괄자금운영표",#N/A,FALSE,"자금운영표";"1단계자금운영표(불변)",#N/A,FALSE,"자금운영표";"2단계자금운영표(불변)",#N/A,FALSE,"자금운영표"}</definedName>
    <definedName name="ㅂㅈㅇㄹㅇㄹ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ㅂㅈㅇㅁ" hidden="1">{"관광단지",#N/A,FALSE,"배후단지 및 부대사업"}</definedName>
    <definedName name="ㅂ쟈ㅕㅑㅂ1" hidden="1">{#N/A,#N/A,FALSE,"배수1"}</definedName>
    <definedName name="바" hidden="1">{"부대사업공정율",#N/A,FALSE,"배후단지 및 부대사업"}</definedName>
    <definedName name="바보" hidden="1">{#N/A,#N/A,FALSE,"운반시간"}</definedName>
    <definedName name="방음" hidden="1">{#N/A,#N/A,FALSE,"갑지";#N/A,#N/A,FALSE,"개요";#N/A,#N/A,FALSE,"비목별";#N/A,#N/A,FALSE,"건물별";#N/A,#N/A,FALSE,"기구표";#N/A,#N/A,FALSE,"직원투입"}</definedName>
    <definedName name="방음벽" hidden="1">{#N/A,#N/A,FALSE,"배수2"}</definedName>
    <definedName name="밸트컴베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버" hidden="1">{"공업단지",#N/A,FALSE,"배후단지 및 부대사업"}</definedName>
    <definedName name="변경예정공정표" hidden="1">{"공업단지",#N/A,FALSE,"배후단지 및 부대사업"}</definedName>
    <definedName name="보" hidden="1">{#N/A,#N/A,FALSE,"전력간선"}</definedName>
    <definedName name="보증서" hidden="1">{#N/A,#N/A,FALSE,"이태원철근"}</definedName>
    <definedName name="보증일반환산" localSheetId="0" hidden="1">[16]수리결과!#REF!</definedName>
    <definedName name="보증일반환산" hidden="1">[16]수리결과!#REF!</definedName>
    <definedName name="보할" hidden="1">{#N/A,#N/A,FALSE,"이태원철근"}</definedName>
    <definedName name="보할푬_2000년" hidden="1">{#N/A,#N/A,FALSE,"이태원철근"}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사견적" hidden="1">{#N/A,#N/A,FALSE,"CCTV"}</definedName>
    <definedName name="부" hidden="1">{#N/A,#N/A,FALSE,"현장 NCR 분석";#N/A,#N/A,FALSE,"현장품질감사";#N/A,#N/A,FALSE,"현장품질감사"}</definedName>
    <definedName name="부대" hidden="1">{#N/A,#N/A,FALSE,"전력간선"}</definedName>
    <definedName name="부대1" hidden="1">{#N/A,#N/A,FALSE,"운반시간"}</definedName>
    <definedName name="부대a" hidden="1">{#N/A,#N/A,FALSE,"골재소요량";#N/A,#N/A,FALSE,"골재소요량"}</definedName>
    <definedName name="부대구조" hidden="1">{#N/A,#N/A,FALSE,"골재소요량";#N/A,#N/A,FALSE,"골재소요량"}</definedName>
    <definedName name="부대시설" hidden="1">{#N/A,#N/A,FALSE,"전력간선"}</definedName>
    <definedName name="부대원본" hidden="1">{#N/A,#N/A,FALSE,"토공2"}</definedName>
    <definedName name="부손익" hidden="1">{#N/A,#N/A,FALSE,"현장 NCR 분석";#N/A,#N/A,FALSE,"현장품질감사";#N/A,#N/A,FALSE,"현장품질감사"}</definedName>
    <definedName name="분" hidden="1">{#N/A,#N/A,FALSE,"이태원철근"}</definedName>
    <definedName name="분당협조" hidden="1">{#N/A,#N/A,FALSE,"이태원철근"}</definedName>
    <definedName name="분당협조1" hidden="1">{#N/A,#N/A,FALSE,"이태원철근"}</definedName>
    <definedName name="분전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불" hidden="1">{#N/A,#N/A,FALSE,"이태원철근"}</definedName>
    <definedName name="뷰" hidden="1">{#N/A,#N/A,FALSE,"단가표지"}</definedName>
    <definedName name="비" hidden="1">{#N/A,#N/A,FALSE,"견적갑지";#N/A,#N/A,FALSE,"총괄표";#N/A,#N/A,FALSE,"철골공사";#N/A,#N/A,FALSE,"토목공사";#N/A,#N/A,FALSE,"판넬전기공사"}</definedName>
    <definedName name="비목별금액" hidden="1">{#N/A,#N/A,FALSE,"단가표지"}</definedName>
    <definedName name="비목별금액1" hidden="1">{#N/A,#N/A,FALSE,"조골재"}</definedName>
    <definedName name="빔제작단가개정표준도적용" hidden="1">{"'자리배치도'!$AG$1:$CI$28"}</definedName>
    <definedName name="빙" hidden="1">{#N/A,#N/A,FALSE,"견적갑지";#N/A,#N/A,FALSE,"총괄표";#N/A,#N/A,FALSE,"철골공사";#N/A,#N/A,FALSE,"토목공사";#N/A,#N/A,FALSE,"판넬전기공사"}</definedName>
    <definedName name="빙신" hidden="1">{#N/A,#N/A,FALSE,"혼합골재"}</definedName>
    <definedName name="빙추" hidden="1">{#N/A,#N/A,FALSE,"견적갑지";#N/A,#N/A,FALSE,"총괄표";#N/A,#N/A,FALSE,"철골공사";#N/A,#N/A,FALSE,"토목공사";#N/A,#N/A,FALSE,"판넬전기공사"}</definedName>
    <definedName name="빙축열" hidden="1">{#N/A,#N/A,FALSE,"견적갑지";#N/A,#N/A,FALSE,"총괄표";#N/A,#N/A,FALSE,"철골공사";#N/A,#N/A,FALSE,"토목공사";#N/A,#N/A,FALSE,"판넬전기공사"}</definedName>
    <definedName name="빙축열주요자재" hidden="1">{#N/A,#N/A,FALSE,"견적갑지";#N/A,#N/A,FALSE,"총괄표";#N/A,#N/A,FALSE,"철골공사";#N/A,#N/A,FALSE,"토목공사";#N/A,#N/A,FALSE,"판넬전기공사"}</definedName>
    <definedName name="ㅅ굲유" hidden="1">{#N/A,#N/A,FALSE,"조골재"}</definedName>
    <definedName name="ㅅㅅ" localSheetId="0" hidden="1">#REF!</definedName>
    <definedName name="ㅅㅅ" hidden="1">#REF!</definedName>
    <definedName name="ㅅㅅㄱㄱㄱ" hidden="1">{"부대사업공정율",#N/A,FALSE,"배후단지 및 부대사업"}</definedName>
    <definedName name="ㅅㅅㅅ" hidden="1">{#N/A,#N/A,FALSE,"견적갑지";#N/A,#N/A,FALSE,"총괄표";#N/A,#N/A,FALSE,"철골공사";#N/A,#N/A,FALSE,"토목공사";#N/A,#N/A,FALSE,"판넬전기공사"}</definedName>
    <definedName name="ㅅㅅㅅㅅ" hidden="1">{#N/A,#N/A,FALSE,"배당분석"}</definedName>
    <definedName name="ㅅ소소소솟" hidden="1">{"장비보유1",#N/A,FALSE,"장비보유현황";"장비보유2",#N/A,FALSE,"장비보유현황"}</definedName>
    <definedName name="사" hidden="1">{"부대사업본사업연결자료",#N/A,FALSE,"배후단지및부대사업연결"}</definedName>
    <definedName name="사사삿" hidden="1">{#N/A,#N/A,FALSE,"견적갑지";#N/A,#N/A,FALSE,"총괄표";#N/A,#N/A,FALSE,"철골공사";#N/A,#N/A,FALSE,"토목공사";#N/A,#N/A,FALSE,"판넬전기공사"}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자" hidden="1">{#N/A,#N/A,FALSE,"이태원철근"}</definedName>
    <definedName name="새공통" hidden="1">{#N/A,#N/A,FALSE,"이태원철근"}</definedName>
    <definedName name="새로만등" hidden="1">{"1단계 투자비명세",#N/A,FALSE,"투자비명세";"2단계 투자비명세",#N/A,FALSE,"투자비명세"}</definedName>
    <definedName name="선정2" hidden="1">{#N/A,#N/A,FALSE,"CCTV"}</definedName>
    <definedName name="설계내역서" hidden="1">{"'별표'!$N$220"}</definedName>
    <definedName name="설문지" localSheetId="0" hidden="1">#REF!</definedName>
    <definedName name="설문지" hidden="1">#REF!</definedName>
    <definedName name="설비" hidden="1">{#N/A,#N/A,FALSE,"견적갑지";#N/A,#N/A,FALSE,"총괄표";#N/A,#N/A,FALSE,"철골공사";#N/A,#N/A,FALSE,"토목공사";#N/A,#N/A,FALSE,"판넬전기공사"}</definedName>
    <definedName name="설비공사" hidden="1">{#N/A,#N/A,FALSE,"전력간선"}</definedName>
    <definedName name="설치" hidden="1">{#N/A,#N/A,FALSE,"견적갑지";#N/A,#N/A,FALSE,"총괄표";#N/A,#N/A,FALSE,"철골공사";#N/A,#N/A,FALSE,"토목공사";#N/A,#N/A,FALSE,"판넬전기공사"}</definedName>
    <definedName name="섯ㄷ교" hidden="1">{#N/A,#N/A,FALSE,"CCTV"}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우" hidden="1">{#N/A,#N/A,FALSE,"CCTV"}</definedName>
    <definedName name="세륜세차" localSheetId="0" hidden="1">[17]조명시설!#REF!</definedName>
    <definedName name="세륜세차" hidden="1">[17]조명시설!#REF!</definedName>
    <definedName name="세미나" hidden="1">{#N/A,#N/A,FALSE,"이태원철근"}</definedName>
    <definedName name="소소소소소솟" hidden="1">{"장비보유",#N/A,FALSE,"장비소요"}</definedName>
    <definedName name="소소소솟" hidden="1">{"총괄자금운영표",#N/A,FALSE,"자금운영표";"1단계자금운영표(불변)",#N/A,FALSE,"자금운영표";"2단계자금운영표(불변)",#N/A,FALSE,"자금운영표"}</definedName>
    <definedName name="소솟" hidden="1">{"운영수익1",#N/A,FALSE,"운영수익";"운영수익2",#N/A,FALSE,"운영수익";"운영수익3",#N/A,FALSE,"운영수익"}</definedName>
    <definedName name="소포장" hidden="1">{#N/A,#N/A,FALSE,"견적갑지";#N/A,#N/A,FALSE,"총괄표";#N/A,#N/A,FALSE,"철골공사";#N/A,#N/A,FALSE,"토목공사";#N/A,#N/A,FALSE,"판넬전기공사"}</definedName>
    <definedName name="소포장설비" hidden="1">{#N/A,#N/A,FALSE,"견적갑지";#N/A,#N/A,FALSE,"총괄표";#N/A,#N/A,FALSE,"철골공사";#N/A,#N/A,FALSE,"토목공사";#N/A,#N/A,FALSE,"판넬전기공사"}</definedName>
    <definedName name="소화갑지" hidden="1">{#N/A,#N/A,FALSE,"CCTV"}</definedName>
    <definedName name="소화배관" hidden="1">{#N/A,#N/A,FALSE,"전력간선"}</definedName>
    <definedName name="쇼" hidden="1">{#N/A,#N/A,FALSE,"CCTV"}</definedName>
    <definedName name="쇼ㅗ솟" hidden="1">{"운영설비비1",#N/A,FALSE,"운영설비비";"운영설비비2",#N/A,FALSE,"운영설비비"}</definedName>
    <definedName name="쇼ㅛㅅ" hidden="1">{#N/A,#N/A,FALSE,"CCTV"}</definedName>
    <definedName name="수" localSheetId="0" hidden="1">#REF!</definedName>
    <definedName name="수" hidden="1">#REF!</definedName>
    <definedName name="시" hidden="1">{#N/A,#N/A,FALSE,"조골재"}</definedName>
    <definedName name="신관구간내역서" localSheetId="0" hidden="1">[18]콘크리트타설집계표!#REF!</definedName>
    <definedName name="신관구간내역서" hidden="1">[18]콘크리트타설집계표!#REF!</definedName>
    <definedName name="실시공내역" localSheetId="0" hidden="1">[19]콘크리트타설집계표!#REF!</definedName>
    <definedName name="실시공내역" hidden="1">[19]콘크리트타설집계표!#REF!</definedName>
    <definedName name="실행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실행대비집계표" hidden="1">{#N/A,#N/A,FALSE,"운반시간"}</definedName>
    <definedName name="ㅇ" hidden="1">{#N/A,#N/A,FALSE,"CCTV"}</definedName>
    <definedName name="ㅇ1121ㅂㅂ" hidden="1">{"대출금상환계획",#N/A,FALSE,"추정IS,CF,무상사용"}</definedName>
    <definedName name="ㅇ1212121" hidden="1">{"관광단지",#N/A,FALSE,"배후단지 및 부대사업"}</definedName>
    <definedName name="ㅇㄴㄴㄴㅇ" hidden="1">{#N/A,#N/A,FALSE,"견적갑지";#N/A,#N/A,FALSE,"총괄표";#N/A,#N/A,FALSE,"철골공사";#N/A,#N/A,FALSE,"토목공사";#N/A,#N/A,FALSE,"판넬전기공사"}</definedName>
    <definedName name="ㅇㄴㄴㅇ" hidden="1">{"운영설비비1",#N/A,FALSE,"운영설비비";"운영설비비2",#N/A,FALSE,"운영설비비"}</definedName>
    <definedName name="ㅇㄴㄹ" hidden="1">{#N/A,#N/A,FALSE,"CCTV"}</definedName>
    <definedName name="ㅇㄴㄻ" hidden="1">{#N/A,#N/A,FALSE,"표지목차"}</definedName>
    <definedName name="ㅇㄴㄻㄴㅇ" hidden="1">{#N/A,#N/A,FALSE,"표지목차"}</definedName>
    <definedName name="ㅇㄴㅁ" hidden="1">[6]BID!$A$1:$A$4</definedName>
    <definedName name="ㅇㄷㅇㄷ" hidden="1">{#N/A,#N/A,FALSE,"배당분석"}</definedName>
    <definedName name="ㅇㄹ" hidden="1">[6]BID!$C$1:$H$533</definedName>
    <definedName name="ㅇㄹㄹ" localSheetId="0" hidden="1">#REF!</definedName>
    <definedName name="ㅇㄹㄹ" hidden="1">#REF!</definedName>
    <definedName name="ㅇㄹㄹㅇㄹ" hidden="1">{"불변현금흐름",#N/A,FALSE,"추정IS,CF,무상사용"}</definedName>
    <definedName name="ㅇㄹㅇㄹ" localSheetId="0" hidden="1">#REF!</definedName>
    <definedName name="ㅇㄹㅇㄹ" hidden="1">#REF!</definedName>
    <definedName name="ㅇㄹㅇㄹㅇㄹ" hidden="1">{"공업단지",#N/A,FALSE,"배후단지 및 부대사업"}</definedName>
    <definedName name="ㅇㄹㅇㄹㅇㄹㅇㄹㅇㄹ" hidden="1">{"관광단지",#N/A,FALSE,"배후단지 및 부대사업"}</definedName>
    <definedName name="ㅇㄹㅇㄹㅇㄹㅇㄹㅇㄹㅇ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ㅇㄹㅇㄹㅇㄹㅇㄹㅇㄹㅇㄹ" hidden="1">{"1단계 투자비명세",#N/A,FALSE,"투자비명세";"2단계 투자비명세",#N/A,FALSE,"투자비명세"}</definedName>
    <definedName name="ㅇㄹㅇㄹㅇㅁㅇㄻㄻ" hidden="1">{"대출금상환계획",#N/A,FALSE,"추정IS,CF,무상사용"}</definedName>
    <definedName name="ㅇㄻㄴㅁㄴㄻ" hidden="1">{#N/A,#N/A,FALSE,"단가표지"}</definedName>
    <definedName name="ㅇㄻㄴㅋㄻㅈㅇㄻㄴㅇㄹ" hidden="1">{"장비보유",#N/A,FALSE,"장비소요"}</definedName>
    <definedName name="ㅇㄻㅇㄻㄴㄹ" hidden="1">{#N/A,#N/A,FALSE,"단가표지"}</definedName>
    <definedName name="ㅇㅀㅁㅇㅁㅇ" hidden="1">{#N/A,#N/A,FALSE,"단가표지"}</definedName>
    <definedName name="ㅇㅁㅎㄻㅍㅊ" hidden="1">{"장비보유1",#N/A,FALSE,"장비보유현황";"장비보유2",#N/A,FALSE,"장비보유현황"}</definedName>
    <definedName name="ㅇㅇ" localSheetId="0" hidden="1">#REF!</definedName>
    <definedName name="ㅇㅇ" hidden="1">#REF!</definedName>
    <definedName name="ㅇㅇ1212" hidden="1">{"부대사업수익총괄",#N/A,FALSE,"배후단지 및 부대사업"}</definedName>
    <definedName name="ㅇㅇㄴㄴ" hidden="1">{"개업비1",#N/A,FALSE,"개업비";"개업비2",#N/A,FALSE,"개업비";"개업비3",#N/A,FALSE,"개업비";"개업비4",#N/A,FALSE,"개업비"}</definedName>
    <definedName name="ㅇㅇㄹ" localSheetId="0" hidden="1">#REF!</definedName>
    <definedName name="ㅇㅇㄹ" hidden="1">#REF!</definedName>
    <definedName name="ㅇㅇㅇ" hidden="1">{#N/A,#N/A,FALSE,"표지목차"}</definedName>
    <definedName name="ㅇㅇㅇ1121" hidden="1">{"배후단지",#N/A,FALSE,"배후단지 및 부대사업"}</definedName>
    <definedName name="ㅇㅇㅇㄴㅇ" hidden="1">{#N/A,#N/A,FALSE,"부대2"}</definedName>
    <definedName name="ㅇㅇㅇㅇㅇ" hidden="1">{"부대사업본사업연결자료",#N/A,FALSE,"배후단지및부대사업연결"}</definedName>
    <definedName name="ㅇㅇㅇㅇㅇㄹ" hidden="1">{"부대사업수익총괄",#N/A,FALSE,"배후단지 및 부대사업"}</definedName>
    <definedName name="ㅇ호" hidden="1">{#N/A,#N/A,FALSE,"혼합골재"}</definedName>
    <definedName name="아" hidden="1">{"부대사업수익총괄",#N/A,FALSE,"배후단지 및 부대사업"}</definedName>
    <definedName name="아스콘2" localSheetId="0" hidden="1">[20]조명시설!#REF!</definedName>
    <definedName name="아스콘2" hidden="1">[20]조명시설!#REF!</definedName>
    <definedName name="아ㅏ" hidden="1">{#N/A,#N/A,FALSE,"조골재"}</definedName>
    <definedName name="안산키즈" hidden="1">{#N/A,#N/A,FALSE,"전력간선"}</definedName>
    <definedName name="억이상" hidden="1">{#N/A,#N/A,FALSE,"2~8번"}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체" hidden="1">[6]BID!$A$1:$A$734</definedName>
    <definedName name="에" localSheetId="0" hidden="1">#REF!</definedName>
    <definedName name="에" hidden="1">#REF!</definedName>
    <definedName name="엔지" hidden="1">{#N/A,#N/A,FALSE,"현장 NCR 분석";#N/A,#N/A,FALSE,"현장품질감사";#N/A,#N/A,FALSE,"현장품질감사"}</definedName>
    <definedName name="여덜" hidden="1">{#N/A,#N/A,FALSE,"단가표지"}</definedName>
    <definedName name="여진갑" hidden="1">{#N/A,#N/A,FALSE,"이태원철근"}</definedName>
    <definedName name="열한번" hidden="1">{#N/A,#N/A,FALSE,"단가표지"}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예산" hidden="1">{#N/A,#N/A,FALSE,"2~8번"}</definedName>
    <definedName name="오수처리시설" hidden="1">{#N/A,#N/A,FALSE,"CCTV"}</definedName>
    <definedName name="옥외공사" hidden="1">{#N/A,#N/A,FALSE,"이태원철근"}</definedName>
    <definedName name="옥외대비" hidden="1">{#N/A,#N/A,FALSE,"이태원철근"}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용역" hidden="1">{#N/A,#N/A,FALSE,"CCTV"}</definedName>
    <definedName name="우" localSheetId="0" hidden="1">#REF!</definedName>
    <definedName name="우" hidden="1">#REF!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나라" hidden="1">{#N/A,#N/A,FALSE,"전력간선"}</definedName>
    <definedName name="우우" hidden="1">{#N/A,#N/A,FALSE,"골재소요량";#N/A,#N/A,FALSE,"골재소요량"}</definedName>
    <definedName name="우ㅗ홓ㅇ" hidden="1">{#N/A,#N/A,FALSE,"조골재"}</definedName>
    <definedName name="원가" hidden="1">{#N/A,#N/A,FALSE,"운반시간"}</definedName>
    <definedName name="원가계산1" hidden="1">{#N/A,#N/A,FALSE,"단가표지"}</definedName>
    <definedName name="원남내역" hidden="1">[6]BID!$A$1:$A$4</definedName>
    <definedName name="월드건설" hidden="1">{#N/A,#N/A,FALSE,"이태원철근"}</definedName>
    <definedName name="유류반입" hidden="1">{#N/A,#N/A,FALSE,"전력간선"}</definedName>
    <definedName name="을" hidden="1">{#N/A,#N/A,FALSE,"도급대비시행율";#N/A,#N/A,FALSE,"결의서";#N/A,#N/A,FALSE,"내역서";#N/A,#N/A,FALSE,"도급예상"}</definedName>
    <definedName name="의" hidden="1">{#N/A,#N/A,FALSE,"운반시간"}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건" hidden="1">{#N/A,#N/A,FALSE,"CCTV"}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" hidden="1">{#N/A,#N/A,FALSE,"2~8번"}</definedName>
    <definedName name="일" hidden="1">[6]BID!$A$1:$A$4</definedName>
    <definedName name="일정97" localSheetId="0" hidden="1">#REF!</definedName>
    <definedName name="일정97" hidden="1">#REF!</definedName>
    <definedName name="일차" hidden="1">{#N/A,#N/A,FALSE,"이태원철근"}</definedName>
    <definedName name="입찰금액안" localSheetId="0" hidden="1">[6]BID!#REF!</definedName>
    <definedName name="입찰금액안" hidden="1">[6]BID!#REF!</definedName>
    <definedName name="ㅈㅂㅈㅂㅈㅂ" hidden="1">{#N/A,#N/A,FALSE,"배당분석"}</definedName>
    <definedName name="ㅈㅈ" hidden="1">{#N/A,#N/A,FALSE,"표지목차"}</definedName>
    <definedName name="ㅈㅈㅈ" hidden="1">{#N/A,#N/A,FALSE,"운반시간"}</definedName>
    <definedName name="ㅈㅈㅈㅈ" hidden="1">{#N/A,#N/A,FALSE,"CCTV"}</definedName>
    <definedName name="ㅈㅈㅍ" hidden="1">{#N/A,#N/A,FALSE,"2~8번"}</definedName>
    <definedName name="자" hidden="1">{#N/A,#N/A,FALSE,"전력간선"}</definedName>
    <definedName name="재료시험동" hidden="1">{#N/A,#N/A,FALSE,"CCTV"}</definedName>
    <definedName name="재료시험동." hidden="1">{#N/A,#N/A,FALSE,"CCTV"}</definedName>
    <definedName name="저온" hidden="1">{#N/A,#N/A,FALSE,"견적갑지";#N/A,#N/A,FALSE,"총괄표";#N/A,#N/A,FALSE,"철골공사";#N/A,#N/A,FALSE,"토목공사";#N/A,#N/A,FALSE,"판넬전기공사"}</definedName>
    <definedName name="저온1" hidden="1">{#N/A,#N/A,FALSE,"견적갑지";#N/A,#N/A,FALSE,"총괄표";#N/A,#N/A,FALSE,"철골공사";#N/A,#N/A,FALSE,"토목공사";#N/A,#N/A,FALSE,"판넬전기공사"}</definedName>
    <definedName name="저온냉동" hidden="1">{#N/A,#N/A,FALSE,"견적갑지";#N/A,#N/A,FALSE,"총괄표";#N/A,#N/A,FALSE,"철골공사";#N/A,#N/A,FALSE,"토목공사";#N/A,#N/A,FALSE,"판넬전기공사"}</definedName>
    <definedName name="저온설비" hidden="1">{#N/A,#N/A,FALSE,"견적갑지";#N/A,#N/A,FALSE,"총괄표";#N/A,#N/A,FALSE,"철골공사";#N/A,#N/A,FALSE,"토목공사";#N/A,#N/A,FALSE,"판넬전기공사"}</definedName>
    <definedName name="저온저장고" hidden="1">{#N/A,#N/A,FALSE,"견적갑지";#N/A,#N/A,FALSE,"총괄표";#N/A,#N/A,FALSE,"철골공사";#N/A,#N/A,FALSE,"토목공사";#N/A,#N/A,FALSE,"판넬전기공사"}</definedName>
    <definedName name="저온집계" hidden="1">{#N/A,#N/A,FALSE,"견적갑지";#N/A,#N/A,FALSE,"총괄표";#N/A,#N/A,FALSE,"철골공사";#N/A,#N/A,FALSE,"토목공사";#N/A,#N/A,FALSE,"판넬전기공사"}</definedName>
    <definedName name="적용" hidden="1">{#N/A,#N/A,FALSE,"현장 NCR 분석";#N/A,#N/A,FALSE,"현장품질감사";#N/A,#N/A,FALSE,"현장품질감사"}</definedName>
    <definedName name="적용내역1" hidden="1">{#N/A,#N/A,FALSE,"현장 NCR 분석";#N/A,#N/A,FALSE,"현장품질감사";#N/A,#N/A,FALSE,"현장품질감사"}</definedName>
    <definedName name="적용내역내역" hidden="1">{#N/A,#N/A,FALSE,"현장 NCR 분석";#N/A,#N/A,FALSE,"현장품질감사";#N/A,#N/A,FALSE,"현장품질감사"}</definedName>
    <definedName name="전기" hidden="1">{#N/A,#N/A,FALSE,"견적갑지";#N/A,#N/A,FALSE,"총괄표";#N/A,#N/A,FALSE,"철골공사";#N/A,#N/A,FALSE,"토목공사";#N/A,#N/A,FALSE,"판넬전기공사"}</definedName>
    <definedName name="전기1" hidden="1">{#N/A,#N/A,FALSE,"견적갑지";#N/A,#N/A,FALSE,"총괄표";#N/A,#N/A,FALSE,"철골공사";#N/A,#N/A,FALSE,"토목공사";#N/A,#N/A,FALSE,"판넬전기공사"}</definedName>
    <definedName name="전기3" hidden="1">{#N/A,#N/A,FALSE,"견적갑지";#N/A,#N/A,FALSE,"총괄표";#N/A,#N/A,FALSE,"철골공사";#N/A,#N/A,FALSE,"토목공사";#N/A,#N/A,FALSE,"판넬전기공사"}</definedName>
    <definedName name="전기4" hidden="1">{#N/A,#N/A,FALSE,"견적갑지";#N/A,#N/A,FALSE,"총괄표";#N/A,#N/A,FALSE,"철골공사";#N/A,#N/A,FALSE,"토목공사";#N/A,#N/A,FALSE,"판넬전기공사"}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특기조건" hidden="1">{#N/A,#N/A,FALSE,"현장 NCR 분석";#N/A,#N/A,FALSE,"현장품질감사";#N/A,#N/A,FALSE,"현장품질감사"}</definedName>
    <definedName name="전체_검토_도급포함" hidden="1">{#N/A,#N/A,FALSE,"CCTV"}</definedName>
    <definedName name="정명영" hidden="1">{#N/A,#N/A,FALSE,"이태원철근"}</definedName>
    <definedName name="정산표" hidden="1">{#N/A,#N/A,FALSE,"현장 NCR 분석";#N/A,#N/A,FALSE,"현장품질감사";#N/A,#N/A,FALSE,"현장품질감사"}</definedName>
    <definedName name="제" localSheetId="0" hidden="1">[21]조명시설!#REF!</definedName>
    <definedName name="제" hidden="1">[21]조명시설!#REF!</definedName>
    <definedName name="제관공사" hidden="1">{#N/A,#N/A,FALSE,"CCTV"}</definedName>
    <definedName name="조사가" localSheetId="0" hidden="1">[22]입찰안!#REF!</definedName>
    <definedName name="조사가" hidden="1">[22]입찰안!#REF!</definedName>
    <definedName name="조정1" hidden="1">#N/A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죽전5차" hidden="1">{#N/A,#N/A,FALSE,"이태원철근"}</definedName>
    <definedName name="중부" hidden="1">{#N/A,#N/A,FALSE,"이태원철근"}</definedName>
    <definedName name="중호남" hidden="1">{#N/A,#N/A,FALSE,"이태원철근"}</definedName>
    <definedName name="지" hidden="1">{#N/A,#N/A,FALSE,"견적갑지";#N/A,#N/A,FALSE,"총괄표";#N/A,#N/A,FALSE,"철골공사";#N/A,#N/A,FALSE,"토목공사";#N/A,#N/A,FALSE,"판넬전기공사"}</definedName>
    <definedName name="지급" hidden="1">{#N/A,#N/A,FALSE,"견적갑지";#N/A,#N/A,FALSE,"총괄표";#N/A,#N/A,FALSE,"철골공사";#N/A,#N/A,FALSE,"토목공사";#N/A,#N/A,FALSE,"판넬전기공사"}</definedName>
    <definedName name="지질" hidden="1">{#N/A,#N/A,FALSE,"갑지";#N/A,#N/A,FALSE,"개요";#N/A,#N/A,FALSE,"비목별";#N/A,#N/A,FALSE,"건물별";#N/A,#N/A,FALSE,"기구표";#N/A,#N/A,FALSE,"직원투입"}</definedName>
    <definedName name="직매54P" hidden="1">{#N/A,#N/A,TRUE,"토적및재료집계";#N/A,#N/A,TRUE,"토적및재료집계";#N/A,#N/A,TRUE,"단위량"}</definedName>
    <definedName name="직원조직" hidden="1">{#N/A,#N/A,FALSE,"이태원철근"}</definedName>
    <definedName name="직원조직표" hidden="1">{#N/A,#N/A,FALSE,"이태원철근"}</definedName>
    <definedName name="ㅊㄴㅇㄴ" hidden="1">{"총괄자금운영표",#N/A,FALSE,"자금운영표";"1단계자금운영표(불변)",#N/A,FALSE,"자금운영표";"2단계자금운영표(불변)",#N/A,FALSE,"자금운영표"}</definedName>
    <definedName name="ㅊㄴ츄" hidden="1">{"추정대차대조표",#N/A,FALSE,"추정BS"}</definedName>
    <definedName name="ㅊㄹ11212" hidden="1">{"부대사업공정율",#N/A,FALSE,"배후단지 및 부대사업"}</definedName>
    <definedName name="ㅊㅊㅍㅊ12121" hidden="1">{"부대사업본사업연결자료",#N/A,FALSE,"배후단지및부대사업연결"}</definedName>
    <definedName name="ㅊㅍㅋㅌㅊㅋ" hidden="1">{#N/A,#N/A,FALSE,"운반시간"}</definedName>
    <definedName name="ㅊㅍㅋㅌㅍㅌ" hidden="1">{#N/A,#N/A,FALSE,"혼합골재"}</definedName>
    <definedName name="차" hidden="1">{#N/A,#N/A,FALSE,"CCTV"}</definedName>
    <definedName name="차차" localSheetId="0" hidden="1">[23]조명시설!#REF!</definedName>
    <definedName name="차차" hidden="1">[23]조명시설!#REF!</definedName>
    <definedName name="철골" hidden="1">{#N/A,#N/A,FALSE,"CCTV"}</definedName>
    <definedName name="철골협의" hidden="1">{#N/A,#N/A,FALSE,"현장 NCR 분석";#N/A,#N/A,FALSE,"현장품질감사";#N/A,#N/A,FALSE,"현장품질감사"}</definedName>
    <definedName name="철근량" hidden="1">{#N/A,#N/A,FALSE,"전력간선"}</definedName>
    <definedName name="체크아웃시스템" hidden="1">{#N/A,#N/A,FALSE,"견적갑지";#N/A,#N/A,FALSE,"총괄표";#N/A,#N/A,FALSE,"철골공사";#N/A,#N/A,FALSE,"토목공사";#N/A,#N/A,FALSE,"판넬전기공사"}</definedName>
    <definedName name="총공" hidden="1">{#N/A,#N/A,FALSE,"운반시간"}</definedName>
    <definedName name="총공사비2" hidden="1">{#N/A,#N/A,FALSE,"전력간선"}</definedName>
    <definedName name="총괄제출용" hidden="1">{#N/A,#N/A,FALSE,"전력간선"}</definedName>
    <definedName name="총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산산서2" hidden="1">{#N/A,#N/A,FALSE,"견적갑지";#N/A,#N/A,FALSE,"총괄표";#N/A,#N/A,FALSE,"철골공사";#N/A,#N/A,FALSE,"토목공사";#N/A,#N/A,FALSE,"판넬전기공사"}</definedName>
    <definedName name="축구" hidden="1">{#N/A,#N/A,FALSE,"혼합골재"}</definedName>
    <definedName name="축수산장설비" hidden="1">{#N/A,#N/A,FALSE,"견적갑지";#N/A,#N/A,FALSE,"총괄표";#N/A,#N/A,FALSE,"철골공사";#N/A,#N/A,FALSE,"토목공사";#N/A,#N/A,FALSE,"판넬전기공사"}</definedName>
    <definedName name="취소" hidden="1">{#N/A,#N/A,FALSE,"이태원철근"}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ㅊㅁ" hidden="1">{#N/A,#N/A,FALSE,"전력간선"}</definedName>
    <definedName name="카" hidden="1">{#N/A,#N/A,FALSE,"CCTV"}</definedName>
    <definedName name="케이블간지" hidden="1">{#N/A,#N/A,TRUE,"토적및재료집계";#N/A,#N/A,TRUE,"토적및재료집계";#N/A,#N/A,TRUE,"단위량"}</definedName>
    <definedName name="ㅌㅊ" localSheetId="0" hidden="1">'[13]5사남'!#REF!</definedName>
    <definedName name="ㅌㅊ" hidden="1">'[13]5사남'!#REF!</definedName>
    <definedName name="ㅌㅍㅊㅇㅌㅎ" hidden="1">{#N/A,#N/A,FALSE,"도급대비시행율";#N/A,#N/A,FALSE,"결의서";#N/A,#N/A,FALSE,"내역서";#N/A,#N/A,FALSE,"도급예상"}</definedName>
    <definedName name="ㅌㅍ츛ㅌ" hidden="1">{#N/A,#N/A,FALSE,"운반시간"}</definedName>
    <definedName name="타" hidden="1">{#N/A,#N/A,FALSE,"CCTV"}</definedName>
    <definedName name="테스크" hidden="1">{#N/A,#N/A,FALSE,"단가표지"}</definedName>
    <definedName name="토" hidden="1">[6]BID!$A$1:$A$47</definedName>
    <definedName name="토\40" hidden="1">{#N/A,#N/A,FALSE,"토공2"}</definedName>
    <definedName name="토1" hidden="1">{#N/A,#N/A,FALSE,"이정표"}</definedName>
    <definedName name="토2" hidden="1">{#N/A,#N/A,FALSE,"조골재"}</definedName>
    <definedName name="토3" hidden="1">{#N/A,#N/A,FALSE,"구조1"}</definedName>
    <definedName name="토목" hidden="1">{#N/A,#N/A,FALSE,"CCTV"}</definedName>
    <definedName name="토목견적" hidden="1">{#N/A,#N/A,FALSE,"골재소요량";#N/A,#N/A,FALSE,"골재소요량"}</definedName>
    <definedName name="토목공사" hidden="1">{#N/A,#N/A,FALSE,"CCTV"}</definedName>
    <definedName name="토목공사강릉" localSheetId="0" hidden="1">#REF!</definedName>
    <definedName name="토목공사강릉" hidden="1">#REF!</definedName>
    <definedName name="토목공사계약3" hidden="1">{#N/A,#N/A,FALSE,"CCTV"}</definedName>
    <definedName name="토목설계" hidden="1">{#N/A,#N/A,FALSE,"골재소요량";#N/A,#N/A,FALSE,"골재소요량"}</definedName>
    <definedName name="토목실견적" hidden="1">{#N/A,#N/A,FALSE,"이태원철근"}</definedName>
    <definedName name="토목실행" hidden="1">{#N/A,#N/A,FALSE,"골재소요량";#N/A,#N/A,FALSE,"골재소요량"}</definedName>
    <definedName name="ㅍ" hidden="1">{#N/A,#N/A,FALSE,"조골재"}</definedName>
    <definedName name="ㅍㄴㅇ" hidden="1">{#N/A,#N/A,FALSE,"구조2"}</definedName>
    <definedName name="ㅍ춫" hidden="1">{#N/A,#N/A,FALSE,"골재소요량";#N/A,#N/A,FALSE,"골재소요량"}</definedName>
    <definedName name="ㅍ츝" hidden="1">{#N/A,#N/A,FALSE,"표지목차"}</definedName>
    <definedName name="ㅍㅍ" hidden="1">{#N/A,#N/A,FALSE,"골재소요량";#N/A,#N/A,FALSE,"골재소요량"}</definedName>
    <definedName name="ㅍㅍㅍ12121" hidden="1">{"운영비용1",#N/A,FALSE,"운영비용";"운영비용2",#N/A,FALSE,"운영비용";"운영비용3",#N/A,FALSE,"운영비용";"운영비용4",#N/A,FALSE,"운영비용";"운영비용5",#N/A,FALSE,"운영비용";"운영비용6",#N/A,FALSE,"운영비용"}</definedName>
    <definedName name="ㅍㅍㅍ1212ㅍㅍ" hidden="1">{"총괄자금운영표",#N/A,FALSE,"자금운영표";"1단계자금운영표(불변)",#N/A,FALSE,"자금운영표";"2단계자금운영표(불변)",#N/A,FALSE,"자금운영표"}</definedName>
    <definedName name="ㅍㅍㅍ212121" hidden="1">{"불변현금흐름",#N/A,FALSE,"추정IS,CF,무상사용"}</definedName>
    <definedName name="ㅍㅍㅍㅍ1212121" hidden="1">{"운영설비비1",#N/A,FALSE,"운영설비비";"운영설비비2",#N/A,FALSE,"운영설비비"}</definedName>
    <definedName name="파" hidden="1">{#N/A,#N/A,FALSE,"CCTV"}</definedName>
    <definedName name="파일" localSheetId="0" hidden="1">#REF!</definedName>
    <definedName name="파일" hidden="1">#REF!</definedName>
    <definedName name="팔" hidden="1">[6]BID!$A$1:$A$1714</definedName>
    <definedName name="평당단가" localSheetId="0" hidden="1">[15]인사자료총집계!#REF!</definedName>
    <definedName name="평당단가" hidden="1">[15]인사자료총집계!#REF!</definedName>
    <definedName name="포지머ㅗㄱㄷㅌ킹1" hidden="1">{#N/A,#N/A,FALSE,"표지목차"}</definedName>
    <definedName name="폽장2" hidden="1">{#N/A,#N/A,FALSE,"포장1";#N/A,#N/A,FALSE,"포장1"}</definedName>
    <definedName name="표지" hidden="1">{#N/A,#N/A,FALSE,"조골재"}</definedName>
    <definedName name="표지2" localSheetId="0" hidden="1">#REF!</definedName>
    <definedName name="표지2" hidden="1">#REF!</definedName>
    <definedName name="피" hidden="1">{#N/A,#N/A,FALSE,"견적갑지";#N/A,#N/A,FALSE,"총괄표";#N/A,#N/A,FALSE,"철골공사";#N/A,#N/A,FALSE,"토목공사";#N/A,#N/A,FALSE,"판넬전기공사"}</definedName>
    <definedName name="피로티" hidden="1">{#N/A,#N/A,FALSE,"이태원철근"}</definedName>
    <definedName name="피로티1" hidden="1">{#N/A,#N/A,FALSE,"이태원철근"}</definedName>
    <definedName name="ㅎㄴ" hidden="1">{#N/A,#N/A,FALSE,"단가표지"}</definedName>
    <definedName name="ㅎㄹ" hidden="1">{#N/A,#N/A,FALSE,"CCTV"}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로낟안" hidden="1">{#N/A,#N/A,FALSE,"혼합골재"}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1212" hidden="1">{"운영수익1",#N/A,FALSE,"운영수익";"운영수익2",#N/A,FALSE,"운영수익";"운영수익3",#N/A,FALSE,"운영수익"}</definedName>
    <definedName name="ㅎㅁㅇㅀㅁㅇ" hidden="1">{#N/A,#N/A,FALSE,"단가표지"}</definedName>
    <definedName name="ㅎㅁㅇㅀㅁㅇㅎㅁ" hidden="1">{#N/A,#N/A,FALSE,"단가표지"}</definedName>
    <definedName name="ㅎㅁㅎㄻㄴㅇ" hidden="1">{#N/A,#N/A,FALSE,"단가표지"}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" localSheetId="0" hidden="1">'[13]5사남'!#REF!</definedName>
    <definedName name="ㅎㅎ" hidden="1">'[13]5사남'!#REF!</definedName>
    <definedName name="하" hidden="1">{#N/A,#N/A,FALSE,"CCTV"}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이얀" hidden="1">{#N/A,#N/A,FALSE,"이태원철근"}</definedName>
    <definedName name="한" localSheetId="0" hidden="1">#REF!</definedName>
    <definedName name="한" hidden="1">#REF!</definedName>
    <definedName name="한울" hidden="1">#N/A</definedName>
    <definedName name="한울11" hidden="1">#N/A</definedName>
    <definedName name="햐ㅓㅈ바허ㅏㅣ농하ㅗㅎ" hidden="1">{#N/A,#N/A,FALSE,"CCTV"}</definedName>
    <definedName name="현대건설" hidden="1">{#N/A,#N/A,FALSE,"이태원철근"}</definedName>
    <definedName name="현장전개도" hidden="1">{#N/A,#N/A,FALSE,"골재소요량";#N/A,#N/A,FALSE,"골재소요량"}</definedName>
    <definedName name="호" hidden="1">{#N/A,#N/A,FALSE,"CCTV"}</definedName>
    <definedName name="호우" hidden="1">{#N/A,#N/A,FALSE,"표지목차"}</definedName>
    <definedName name="호우ㅗ" hidden="1">{#N/A,#N/A,FALSE,"단가표지"}</definedName>
    <definedName name="호ㅓ" localSheetId="0" hidden="1">#REF!</definedName>
    <definedName name="호ㅓ" hidden="1">#REF!</definedName>
    <definedName name="호ㅓㅎ" hidden="1">{#N/A,#N/A,FALSE,"표지목차"}</definedName>
    <definedName name="호ㅓㅕㅏ6ㅅ서ㅛㅓ" localSheetId="0" hidden="1">[6]BID!#REF!</definedName>
    <definedName name="호ㅓㅕㅏ6ㅅ서ㅛㅓ" hidden="1">[6]BID!#REF!</definedName>
    <definedName name="혼ㄹ" hidden="1">{#N/A,#N/A,FALSE,"운반시간"}</definedName>
    <definedName name="홀ㄴㄺㅅ" hidden="1">{#N/A,#N/A,FALSE,"단가표지"}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황보" hidden="1">{#N/A,#N/A,FALSE,"CCTV"}</definedName>
    <definedName name="힌울" hidden="1">#N/A</definedName>
    <definedName name="ㅏㅅ" hidden="1">{#N/A,#N/A,FALSE,"견적갑지";#N/A,#N/A,FALSE,"총괄표";#N/A,#N/A,FALSE,"철골공사";#N/A,#N/A,FALSE,"토목공사";#N/A,#N/A,FALSE,"판넬전기공사"}</definedName>
    <definedName name="ㅏ허화" hidden="1">{#N/A,#N/A,FALSE,"골재소요량";#N/A,#N/A,FALSE,"골재소요량"}</definedName>
    <definedName name="ㅏㅏㅓ" hidden="1">{#N/A,#N/A,FALSE,"CCTV"}</definedName>
    <definedName name="ㅏㅓ화호" hidden="1">{#N/A,#N/A,FALSE,"단가표지"}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ㅐ" hidden="1">{#N/A,#N/A,FALSE,"이태원철근"}</definedName>
    <definedName name="ㅓㄴㄱ" hidden="1">[6]BID!$A$1:$A$4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" hidden="1">{#N/A,#N/A,FALSE,"CCTV"}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ㅓㅡㅓ" hidden="1">{"1단계 투자비명세",#N/A,FALSE,"투자비명세";"2단계 투자비명세",#N/A,FALSE,"투자비명세"}</definedName>
    <definedName name="ㅔㅔ" localSheetId="0" hidden="1">[6]BID!#REF!</definedName>
    <definedName name="ㅔㅔ" hidden="1">[6]BID!#REF!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ㅅ" localSheetId="0" hidden="1">'[13]5사남'!#REF!</definedName>
    <definedName name="ㅕㅅ" hidden="1">'[13]5사남'!#REF!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ㄹㄶ" hidden="1">{#N/A,#N/A,FALSE,"조골재"}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하ㅣㄴ어ㅗ뢔ㅑㅇㅈ" hidden="1">{#N/A,#N/A,FALSE,"CCTV"}</definedName>
    <definedName name="ㅗ허ㅗ" hidden="1">{#N/A,#N/A,FALSE,"단가표지"}</definedName>
    <definedName name="ㅗ호" hidden="1">{#N/A,#N/A,FALSE,"단가표지"}</definedName>
    <definedName name="ㅗ홍ㄹ노" hidden="1">{"총괄자금운영표",#N/A,FALSE,"자금운영표";"1단계자금운영표(불변)",#N/A,FALSE,"자금운영표";"2단계자금운영표(불변)",#N/A,FALSE,"자금운영표"}</definedName>
    <definedName name="ㅗㅓ쇼ㅓㅕㄷ쇼ㅓㅕㄷㅅ" hidden="1">{#N/A,#N/A,FALSE,"단가표지"}</definedName>
    <definedName name="ㅗㅓㅎ로ㅓㅎㄹ" hidden="1">{#N/A,#N/A,FALSE,"표지목차"}</definedName>
    <definedName name="ㅗㅛㅗㅎㄹ" hidden="1">{"운영수익1",#N/A,FALSE,"운영수익";"운영수익2",#N/A,FALSE,"운영수익";"운영수익3",#N/A,FALSE,"운영수익"}</definedName>
    <definedName name="ㅗㅠㅊㅌㅍㅇㄹㅇㅀ" hidden="1">{"배후단지",#N/A,FALSE,"배후단지 및 부대사업"}</definedName>
    <definedName name="ㅗㅠㅍ" hidden="1">{#N/A,#N/A,FALSE,"혼합골재"}</definedName>
    <definedName name="ㅘㅗ허ㅎ" localSheetId="0" hidden="1">#REF!</definedName>
    <definedName name="ㅘㅗ허ㅎ" hidden="1">#REF!</definedName>
    <definedName name="ㅛ" hidden="1">{#N/A,#N/A,FALSE,"이태원철근"}</definedName>
    <definedName name="ㅛㅛㅗㅛㅗㅛㅗㅛ" hidden="1">{"추정대차대조표",#N/A,FALSE,"추정BS"}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ㄴ" hidden="1">{#N/A,#N/A,FALSE,"조골재"}</definedName>
    <definedName name="ㅠㄹㅇㄴㄴㄹㅇ" hidden="1">{#N/A,#N/A,FALSE,"단가표지"}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ㅓㅜㅗㅓ" hidden="1">{#N/A,#N/A,FALSE,"CCTV"}</definedName>
    <definedName name="ㅠㅠㅠ" hidden="1">{"대출금상환계획",#N/A,FALSE,"추정IS,CF,무상사용"}</definedName>
    <definedName name="ㅡㅡ" hidden="1">{#N/A,#N/A,FALSE,"단가표지"}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ㅜ" hidden="1">{#N/A,#N/A,FALSE,"CCTV"}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ㅑㅑ" hidden="1">{#N/A,#N/A,FALSE,"단가표지"}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ㅣ" localSheetId="0" hidden="1">[20]조명시설!#REF!</definedName>
    <definedName name="ㅣㅣㅣ" hidden="1">[20]조명시설!#REF!</definedName>
    <definedName name="ㅣㅣㅣㅣ" localSheetId="0" hidden="1">[20]조명시설!#REF!</definedName>
    <definedName name="ㅣㅣㅣㅣ" hidden="1">[20]조명시설!#REF!</definedName>
    <definedName name="ㅣㅣㅣㅣㅣㅣ" localSheetId="0" hidden="1">[20]조명시설!#REF!</definedName>
    <definedName name="ㅣㅣㅣㅣㅣㅣ" hidden="1">[20]조명시설!#REF!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9" l="1"/>
  <c r="M49" i="19"/>
  <c r="E49" i="19"/>
  <c r="G49" i="19" s="1"/>
  <c r="H49" i="19" s="1"/>
  <c r="M48" i="19"/>
  <c r="E48" i="19"/>
  <c r="G48" i="19" s="1"/>
  <c r="H48" i="19" s="1"/>
  <c r="M47" i="19"/>
  <c r="E47" i="19"/>
  <c r="G47" i="19" s="1"/>
  <c r="H47" i="19" s="1"/>
  <c r="M46" i="19"/>
  <c r="E43" i="19"/>
  <c r="M42" i="19"/>
  <c r="E42" i="19"/>
  <c r="G42" i="19" s="1"/>
  <c r="H42" i="19" s="1"/>
  <c r="M41" i="19"/>
  <c r="E41" i="19"/>
  <c r="G41" i="19" s="1"/>
  <c r="H41" i="19" s="1"/>
  <c r="M40" i="19"/>
  <c r="E40" i="19"/>
  <c r="G40" i="19" s="1"/>
  <c r="H40" i="19" s="1"/>
  <c r="M39" i="19"/>
  <c r="E39" i="19"/>
  <c r="G39" i="19" s="1"/>
  <c r="H39" i="19" s="1"/>
  <c r="M38" i="19"/>
  <c r="E35" i="19"/>
  <c r="E34" i="19"/>
  <c r="G34" i="19" s="1"/>
  <c r="H34" i="19" s="1"/>
  <c r="E33" i="19"/>
  <c r="G33" i="19" s="1"/>
  <c r="H33" i="19" s="1"/>
  <c r="E32" i="19"/>
  <c r="G32" i="19" s="1"/>
  <c r="H32" i="19" s="1"/>
  <c r="M31" i="19"/>
  <c r="E31" i="19"/>
  <c r="G31" i="19" s="1"/>
  <c r="H31" i="19" s="1"/>
  <c r="M30" i="19"/>
  <c r="M27" i="19"/>
  <c r="E26" i="19"/>
  <c r="M25" i="19"/>
  <c r="E25" i="19"/>
  <c r="G25" i="19" s="1"/>
  <c r="H25" i="19" s="1"/>
  <c r="E24" i="19"/>
  <c r="J24" i="19" s="1"/>
  <c r="H24" i="19" s="1"/>
  <c r="M23" i="19"/>
  <c r="E23" i="19"/>
  <c r="G23" i="19" s="1"/>
  <c r="H23" i="19" s="1"/>
  <c r="M22" i="19"/>
  <c r="E22" i="19"/>
  <c r="G22" i="19" s="1"/>
  <c r="H22" i="19" s="1"/>
  <c r="M21" i="19"/>
  <c r="E21" i="19"/>
  <c r="G21" i="19" s="1"/>
  <c r="H21" i="19" s="1"/>
  <c r="M20" i="19"/>
  <c r="E20" i="19"/>
  <c r="G20" i="19" s="1"/>
  <c r="H20" i="19" s="1"/>
  <c r="M19" i="19"/>
  <c r="M18" i="19"/>
  <c r="E17" i="19"/>
  <c r="J17" i="19" s="1"/>
  <c r="H17" i="19" s="1"/>
  <c r="M16" i="19"/>
  <c r="E16" i="19"/>
  <c r="G16" i="19" s="1"/>
  <c r="H16" i="19" s="1"/>
  <c r="M15" i="19"/>
  <c r="E15" i="19"/>
  <c r="G15" i="19" s="1"/>
  <c r="H15" i="19" s="1"/>
  <c r="M14" i="19"/>
  <c r="E14" i="19"/>
  <c r="E18" i="19" s="1"/>
  <c r="G18" i="19" s="1"/>
  <c r="H18" i="19" s="1"/>
  <c r="M13" i="19"/>
  <c r="E13" i="19"/>
  <c r="G13" i="19" s="1"/>
  <c r="H13" i="19" s="1"/>
  <c r="M12" i="19"/>
  <c r="E9" i="19"/>
  <c r="J9" i="19" s="1"/>
  <c r="H9" i="19" s="1"/>
  <c r="M8" i="19"/>
  <c r="E8" i="19"/>
  <c r="G8" i="19" s="1"/>
  <c r="H8" i="19" s="1"/>
  <c r="M7" i="19"/>
  <c r="E7" i="19"/>
  <c r="G7" i="19" s="1"/>
  <c r="H7" i="19" s="1"/>
  <c r="M6" i="19"/>
  <c r="E5" i="19"/>
  <c r="M4" i="19"/>
  <c r="E4" i="19"/>
  <c r="G4" i="19" s="1"/>
  <c r="H4" i="19" s="1"/>
  <c r="K12" i="18"/>
  <c r="E27" i="19" l="1"/>
  <c r="G27" i="19" s="1"/>
  <c r="H27" i="19" s="1"/>
  <c r="G14" i="19"/>
  <c r="H14" i="19" s="1"/>
  <c r="J43" i="19"/>
  <c r="H43" i="19" s="1"/>
  <c r="J5" i="19"/>
  <c r="H5" i="19" s="1"/>
  <c r="K24" i="19"/>
  <c r="M24" i="19" s="1"/>
  <c r="K17" i="19"/>
  <c r="M17" i="19" s="1"/>
  <c r="J26" i="19"/>
  <c r="H26" i="19" s="1"/>
  <c r="K9" i="19"/>
  <c r="M9" i="19" s="1"/>
  <c r="J35" i="19"/>
  <c r="H35" i="19" s="1"/>
  <c r="J50" i="19"/>
  <c r="H50" i="19" s="1"/>
  <c r="K5" i="19" l="1"/>
  <c r="M5" i="19" s="1"/>
  <c r="K35" i="19"/>
  <c r="M35" i="19" s="1"/>
  <c r="K43" i="19"/>
  <c r="M43" i="19" s="1"/>
  <c r="K26" i="19"/>
  <c r="M26" i="19" s="1"/>
  <c r="K50" i="19"/>
  <c r="M50" i="19" s="1"/>
  <c r="G9" i="19"/>
  <c r="G17" i="19"/>
  <c r="G24" i="19"/>
  <c r="G35" i="19" l="1"/>
  <c r="G43" i="19"/>
  <c r="G26" i="19"/>
  <c r="G5" i="19"/>
  <c r="G50" i="19"/>
  <c r="E49" i="18" l="1"/>
  <c r="E50" i="17" l="1"/>
  <c r="E48" i="17"/>
  <c r="E49" i="17"/>
  <c r="E47" i="17"/>
  <c r="E43" i="17"/>
  <c r="E39" i="17"/>
  <c r="E35" i="17"/>
  <c r="E34" i="17"/>
  <c r="E32" i="17"/>
  <c r="E33" i="17"/>
  <c r="E31" i="17"/>
  <c r="E9" i="17"/>
  <c r="E4" i="17" l="1"/>
  <c r="G6" i="18"/>
  <c r="E5" i="17" s="1"/>
  <c r="D7" i="18"/>
  <c r="E8" i="17" s="1"/>
  <c r="F7" i="18"/>
  <c r="E7" i="17" s="1"/>
  <c r="D8" i="18"/>
  <c r="E8" i="18"/>
  <c r="F8" i="18"/>
  <c r="G8" i="18"/>
  <c r="E17" i="17" s="1"/>
  <c r="D9" i="18"/>
  <c r="F9" i="18"/>
  <c r="G9" i="18"/>
  <c r="E10" i="18"/>
  <c r="E11" i="18"/>
  <c r="E25" i="18"/>
  <c r="E26" i="18"/>
  <c r="B49" i="18"/>
  <c r="C49" i="18"/>
  <c r="D49" i="18"/>
  <c r="G49" i="18"/>
  <c r="E13" i="17" l="1"/>
  <c r="E15" i="17"/>
  <c r="E7" i="18"/>
  <c r="F49" i="18"/>
  <c r="E26" i="17"/>
  <c r="K26" i="17" s="1"/>
  <c r="H26" i="17" s="1"/>
  <c r="E24" i="17"/>
  <c r="E25" i="17"/>
  <c r="E23" i="17"/>
  <c r="G23" i="17" s="1"/>
  <c r="H23" i="17" s="1"/>
  <c r="E21" i="17"/>
  <c r="G21" i="17" s="1"/>
  <c r="H21" i="17" s="1"/>
  <c r="E22" i="17"/>
  <c r="E20" i="17"/>
  <c r="E9" i="18"/>
  <c r="E16" i="17"/>
  <c r="E14" i="17"/>
  <c r="K50" i="17"/>
  <c r="H50" i="17" s="1"/>
  <c r="L50" i="17" s="1"/>
  <c r="N49" i="17"/>
  <c r="N48" i="17"/>
  <c r="G48" i="17"/>
  <c r="H48" i="17" s="1"/>
  <c r="N47" i="17"/>
  <c r="N46" i="17"/>
  <c r="K43" i="17"/>
  <c r="H43" i="17" s="1"/>
  <c r="N42" i="17"/>
  <c r="E42" i="17"/>
  <c r="N41" i="17"/>
  <c r="E41" i="17"/>
  <c r="N40" i="17"/>
  <c r="E40" i="17"/>
  <c r="N39" i="17"/>
  <c r="G39" i="17"/>
  <c r="H39" i="17" s="1"/>
  <c r="N38" i="17"/>
  <c r="K35" i="17"/>
  <c r="H35" i="17" s="1"/>
  <c r="L35" i="17" s="1"/>
  <c r="G34" i="17"/>
  <c r="H34" i="17" s="1"/>
  <c r="G33" i="17"/>
  <c r="H33" i="17" s="1"/>
  <c r="N31" i="17"/>
  <c r="N30" i="17"/>
  <c r="N27" i="17"/>
  <c r="N25" i="17"/>
  <c r="G25" i="17"/>
  <c r="H25" i="17" s="1"/>
  <c r="K24" i="17"/>
  <c r="H24" i="17" s="1"/>
  <c r="N23" i="17"/>
  <c r="N22" i="17"/>
  <c r="G22" i="17"/>
  <c r="H22" i="17" s="1"/>
  <c r="N21" i="17"/>
  <c r="N20" i="17"/>
  <c r="G20" i="17"/>
  <c r="H20" i="17" s="1"/>
  <c r="N19" i="17"/>
  <c r="N18" i="17"/>
  <c r="K17" i="17"/>
  <c r="H17" i="17" s="1"/>
  <c r="N16" i="17"/>
  <c r="G16" i="17"/>
  <c r="H16" i="17" s="1"/>
  <c r="N15" i="17"/>
  <c r="N14" i="17"/>
  <c r="N13" i="17"/>
  <c r="G13" i="17"/>
  <c r="H13" i="17" s="1"/>
  <c r="N12" i="17"/>
  <c r="K9" i="17"/>
  <c r="H9" i="17" s="1"/>
  <c r="N8" i="17"/>
  <c r="G8" i="17"/>
  <c r="H8" i="17" s="1"/>
  <c r="N7" i="17"/>
  <c r="G7" i="17"/>
  <c r="H7" i="17" s="1"/>
  <c r="N6" i="17"/>
  <c r="K5" i="17"/>
  <c r="H5" i="17" s="1"/>
  <c r="L5" i="17" s="1"/>
  <c r="N4" i="17"/>
  <c r="G4" i="17"/>
  <c r="H4" i="17" s="1"/>
  <c r="L9" i="17" l="1"/>
  <c r="G9" i="17" s="1"/>
  <c r="G31" i="17"/>
  <c r="H31" i="17" s="1"/>
  <c r="E18" i="17"/>
  <c r="G18" i="17" s="1"/>
  <c r="H18" i="17" s="1"/>
  <c r="N9" i="17"/>
  <c r="G5" i="17"/>
  <c r="N5" i="17"/>
  <c r="N35" i="17"/>
  <c r="G35" i="17"/>
  <c r="N50" i="17"/>
  <c r="G50" i="17"/>
  <c r="L43" i="17"/>
  <c r="N43" i="17" s="1"/>
  <c r="L24" i="17"/>
  <c r="N24" i="17" s="1"/>
  <c r="L17" i="17"/>
  <c r="N17" i="17" s="1"/>
  <c r="G32" i="17"/>
  <c r="H32" i="17" s="1"/>
  <c r="G40" i="17"/>
  <c r="H40" i="17" s="1"/>
  <c r="G14" i="17"/>
  <c r="H14" i="17" s="1"/>
  <c r="G41" i="17"/>
  <c r="H41" i="17" s="1"/>
  <c r="G49" i="17"/>
  <c r="H49" i="17" s="1"/>
  <c r="G15" i="17"/>
  <c r="H15" i="17" s="1"/>
  <c r="G42" i="17"/>
  <c r="H42" i="17" s="1"/>
  <c r="L26" i="17"/>
  <c r="N26" i="17" s="1"/>
  <c r="G47" i="17"/>
  <c r="H47" i="17" s="1"/>
  <c r="E27" i="17"/>
  <c r="G27" i="17" s="1"/>
  <c r="H27" i="17" s="1"/>
  <c r="G26" i="17" l="1"/>
  <c r="G43" i="17"/>
  <c r="G24" i="17"/>
  <c r="G17" i="17"/>
</calcChain>
</file>

<file path=xl/sharedStrings.xml><?xml version="1.0" encoding="utf-8"?>
<sst xmlns="http://schemas.openxmlformats.org/spreadsheetml/2006/main" count="399" uniqueCount="109">
  <si>
    <t>단위</t>
    <phoneticPr fontId="1" type="noConversion"/>
  </si>
  <si>
    <t>수량</t>
    <phoneticPr fontId="1" type="noConversion"/>
  </si>
  <si>
    <t>간접일</t>
    <phoneticPr fontId="1" type="noConversion"/>
  </si>
  <si>
    <t>검측</t>
    <phoneticPr fontId="1" type="noConversion"/>
  </si>
  <si>
    <t>보강/검측</t>
    <phoneticPr fontId="1" type="noConversion"/>
  </si>
  <si>
    <t>양생</t>
    <phoneticPr fontId="1" type="noConversion"/>
  </si>
  <si>
    <t>ton</t>
  </si>
  <si>
    <t>㎡</t>
  </si>
  <si>
    <t>㎥</t>
  </si>
  <si>
    <t>투입장비명</t>
    <phoneticPr fontId="1" type="noConversion"/>
  </si>
  <si>
    <t>장비대수</t>
    <phoneticPr fontId="1" type="noConversion"/>
  </si>
  <si>
    <t>콘크리트 펌프차</t>
  </si>
  <si>
    <t>콘크리트 펌프차</t>
    <phoneticPr fontId="1" type="noConversion"/>
  </si>
  <si>
    <t>앵커/안전발판</t>
  </si>
  <si>
    <t>구분</t>
    <phoneticPr fontId="1" type="noConversion"/>
  </si>
  <si>
    <t>1.버림틀설치</t>
    <phoneticPr fontId="1" type="noConversion"/>
  </si>
  <si>
    <t>2.버림타설</t>
    <phoneticPr fontId="1" type="noConversion"/>
  </si>
  <si>
    <t>4.기초철근조립</t>
    <phoneticPr fontId="1" type="noConversion"/>
  </si>
  <si>
    <t>5.끊어치기 작업</t>
    <phoneticPr fontId="1" type="noConversion"/>
  </si>
  <si>
    <t>6.기초타설</t>
    <phoneticPr fontId="1" type="noConversion"/>
  </si>
  <si>
    <t>3.먹메김</t>
    <phoneticPr fontId="1" type="noConversion"/>
  </si>
  <si>
    <t>2.옹벽철근조립</t>
    <phoneticPr fontId="1" type="noConversion"/>
  </si>
  <si>
    <t>3.지하2층거푸집설치</t>
    <phoneticPr fontId="1" type="noConversion"/>
  </si>
  <si>
    <t>4.보슬라브철근조립</t>
    <phoneticPr fontId="1" type="noConversion"/>
  </si>
  <si>
    <t>5.마감작업</t>
    <phoneticPr fontId="1" type="noConversion"/>
  </si>
  <si>
    <t>6.타설</t>
    <phoneticPr fontId="1" type="noConversion"/>
  </si>
  <si>
    <t>*거푸집해체정리</t>
    <phoneticPr fontId="1" type="noConversion"/>
  </si>
  <si>
    <t>12.2차 마감작업</t>
    <phoneticPr fontId="1" type="noConversion"/>
  </si>
  <si>
    <t>13.2차 타설</t>
    <phoneticPr fontId="1" type="noConversion"/>
  </si>
  <si>
    <t>2.갱폼설치</t>
    <phoneticPr fontId="1" type="noConversion"/>
  </si>
  <si>
    <t>4.알폼조립</t>
    <phoneticPr fontId="1" type="noConversion"/>
  </si>
  <si>
    <t>5.슬라브철근 조립</t>
    <phoneticPr fontId="1" type="noConversion"/>
  </si>
  <si>
    <t>3.옹벽철근 조립</t>
    <phoneticPr fontId="1" type="noConversion"/>
  </si>
  <si>
    <t>총작업인원</t>
    <phoneticPr fontId="1" type="noConversion"/>
  </si>
  <si>
    <t>직영 순작업일</t>
    <phoneticPr fontId="1" type="noConversion"/>
  </si>
  <si>
    <t>버림</t>
    <phoneticPr fontId="1" type="noConversion"/>
  </si>
  <si>
    <t>4.유로폼 설치</t>
    <phoneticPr fontId="1" type="noConversion"/>
  </si>
  <si>
    <t>인당 1일 작업량</t>
    <phoneticPr fontId="1" type="noConversion"/>
  </si>
  <si>
    <t>장비대수*5명 /기초부분</t>
    <phoneticPr fontId="1" type="noConversion"/>
  </si>
  <si>
    <t>장비대수*4명 /버림부분</t>
    <phoneticPr fontId="1" type="noConversion"/>
  </si>
  <si>
    <t>장비대수*5명 /지하골조부분</t>
    <phoneticPr fontId="1" type="noConversion"/>
  </si>
  <si>
    <t>장비대수*4명 /최상층</t>
    <phoneticPr fontId="1" type="noConversion"/>
  </si>
  <si>
    <t>장비대수*6명 /셋팅층</t>
    <phoneticPr fontId="1" type="noConversion"/>
  </si>
  <si>
    <t>장비대수*6명 /일반층</t>
    <phoneticPr fontId="1" type="noConversion"/>
  </si>
  <si>
    <t>PH층 대당타설량</t>
    <phoneticPr fontId="1" type="noConversion"/>
  </si>
  <si>
    <t>일반층 대당타설량</t>
    <phoneticPr fontId="1" type="noConversion"/>
  </si>
  <si>
    <t>1층 대당타설량</t>
    <phoneticPr fontId="1" type="noConversion"/>
  </si>
  <si>
    <t>지하 대당타설량</t>
    <phoneticPr fontId="1" type="noConversion"/>
  </si>
  <si>
    <t>기초 대당타설량</t>
    <phoneticPr fontId="1" type="noConversion"/>
  </si>
  <si>
    <t>산정 기준</t>
    <phoneticPr fontId="1" type="noConversion"/>
  </si>
  <si>
    <t>총작업일수</t>
    <phoneticPr fontId="1" type="noConversion"/>
  </si>
  <si>
    <t>간접작업항목</t>
    <phoneticPr fontId="1" type="noConversion"/>
  </si>
  <si>
    <t>펌프차 대수산정기준 : 4호조합 동별 최대 2대</t>
    <phoneticPr fontId="1" type="noConversion"/>
  </si>
  <si>
    <t>1.먹매김(1일)</t>
    <phoneticPr fontId="1" type="noConversion"/>
  </si>
  <si>
    <t>1일 투입인원</t>
    <phoneticPr fontId="1" type="noConversion"/>
  </si>
  <si>
    <t>일수고정</t>
    <phoneticPr fontId="1" type="noConversion"/>
  </si>
  <si>
    <t>7.먹매김(1일)</t>
    <phoneticPr fontId="1" type="noConversion"/>
  </si>
  <si>
    <t>PH2층</t>
    <phoneticPr fontId="1" type="noConversion"/>
  </si>
  <si>
    <t>PH1층</t>
    <phoneticPr fontId="1" type="noConversion"/>
  </si>
  <si>
    <t>15층</t>
  </si>
  <si>
    <t>14층</t>
  </si>
  <si>
    <t>13층</t>
  </si>
  <si>
    <t>12층</t>
  </si>
  <si>
    <t>11층</t>
  </si>
  <si>
    <t>10층</t>
  </si>
  <si>
    <t>9층</t>
  </si>
  <si>
    <t>8층</t>
  </si>
  <si>
    <t>7층</t>
  </si>
  <si>
    <t>6층</t>
  </si>
  <si>
    <t>5층</t>
  </si>
  <si>
    <t>4층</t>
  </si>
  <si>
    <t>3층</t>
  </si>
  <si>
    <t>2층</t>
  </si>
  <si>
    <t>1층</t>
  </si>
  <si>
    <t>B1</t>
  </si>
  <si>
    <t>B2</t>
  </si>
  <si>
    <t>M3</t>
    <phoneticPr fontId="1" type="noConversion"/>
  </si>
  <si>
    <t>TON</t>
    <phoneticPr fontId="1" type="noConversion"/>
  </si>
  <si>
    <t>M2</t>
    <phoneticPr fontId="1" type="noConversion"/>
  </si>
  <si>
    <t>M2</t>
  </si>
  <si>
    <t>콘크리트</t>
    <phoneticPr fontId="1" type="noConversion"/>
  </si>
  <si>
    <t>철근</t>
    <phoneticPr fontId="1" type="noConversion"/>
  </si>
  <si>
    <t>해체/정리</t>
    <phoneticPr fontId="1" type="noConversion"/>
  </si>
  <si>
    <t>형틀</t>
    <phoneticPr fontId="1" type="noConversion"/>
  </si>
  <si>
    <t>알폼</t>
    <phoneticPr fontId="1" type="noConversion"/>
  </si>
  <si>
    <t>갱폼</t>
    <phoneticPr fontId="1" type="noConversion"/>
  </si>
  <si>
    <r>
      <rPr>
        <b/>
        <sz val="16"/>
        <rFont val="맑은 고딕"/>
        <family val="3"/>
        <charset val="129"/>
        <scheme val="minor"/>
      </rPr>
      <t>107동</t>
    </r>
    <r>
      <rPr>
        <sz val="16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(4호조합/55/46타입/58세대/15층)</t>
    </r>
    <phoneticPr fontId="1" type="noConversion"/>
  </si>
  <si>
    <t>층</t>
    <phoneticPr fontId="1" type="noConversion"/>
  </si>
  <si>
    <t>기초</t>
    <phoneticPr fontId="1" type="noConversion"/>
  </si>
  <si>
    <t>8.벽 철근조립</t>
    <phoneticPr fontId="1" type="noConversion"/>
  </si>
  <si>
    <t>9.지하1층 거푸집 설치</t>
    <phoneticPr fontId="1" type="noConversion"/>
  </si>
  <si>
    <t>10.보슬라브 철근조립</t>
    <phoneticPr fontId="1" type="noConversion"/>
  </si>
  <si>
    <t>11.1차 마감작업</t>
    <phoneticPr fontId="1" type="noConversion"/>
  </si>
  <si>
    <t>12.1차 타설</t>
    <phoneticPr fontId="1" type="noConversion"/>
  </si>
  <si>
    <t>지상골조(PH층)
층별 물량반영
현재 PH1층 기준</t>
    <phoneticPr fontId="1" type="noConversion"/>
  </si>
  <si>
    <t>세부공종</t>
    <phoneticPr fontId="1" type="noConversion"/>
  </si>
  <si>
    <t>셋팅층</t>
    <phoneticPr fontId="1" type="noConversion"/>
  </si>
  <si>
    <t>기준층</t>
    <phoneticPr fontId="1" type="noConversion"/>
  </si>
  <si>
    <t>셀렉트박스명</t>
    <phoneticPr fontId="1" type="noConversion"/>
  </si>
  <si>
    <t>표준공정</t>
    <phoneticPr fontId="1" type="noConversion"/>
  </si>
  <si>
    <t>8일 사이클</t>
    <phoneticPr fontId="1" type="noConversion"/>
  </si>
  <si>
    <t>지하2층</t>
    <phoneticPr fontId="1" type="noConversion"/>
  </si>
  <si>
    <t>지하1층</t>
    <phoneticPr fontId="1" type="noConversion"/>
  </si>
  <si>
    <t>순작업일</t>
    <phoneticPr fontId="1" type="noConversion"/>
  </si>
  <si>
    <t>총투입인원</t>
    <phoneticPr fontId="1" type="noConversion"/>
  </si>
  <si>
    <t>인당 생산성</t>
    <phoneticPr fontId="1" type="noConversion"/>
  </si>
  <si>
    <t>버림 대당타설량</t>
    <phoneticPr fontId="1" type="noConversion"/>
  </si>
  <si>
    <t>셋팅층 대당타설량</t>
    <phoneticPr fontId="1" type="noConversion"/>
  </si>
  <si>
    <t>기준층 대당타설량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</si>
</sst>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"/>
    <numFmt numFmtId="177" formatCode="_-* #,##0.00_-;\-* #,##0.00_-;_-* &quot;-&quot;_-;_-@_-"/>
    <numFmt numFmtId="178" formatCode="_-* #,##0.0_-;\-* #,##0.0_-;_-* &quot;-&quot;_-;_-@_-"/>
    <numFmt numFmtId="179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8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thin">
        <color indexed="64"/>
      </left>
      <right style="medium">
        <color rgb="FFFF0000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theme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9" xfId="0" applyBorder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8" fillId="0" borderId="4" xfId="0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176" fontId="3" fillId="0" borderId="3" xfId="0" applyNumberFormat="1" applyFont="1" applyBorder="1">
      <alignment vertical="center"/>
    </xf>
    <xf numFmtId="176" fontId="0" fillId="0" borderId="3" xfId="0" applyNumberFormat="1" applyBorder="1">
      <alignment vertical="center"/>
    </xf>
    <xf numFmtId="0" fontId="3" fillId="0" borderId="3" xfId="0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2" fontId="0" fillId="0" borderId="0" xfId="0" applyNumberFormat="1">
      <alignment vertical="center"/>
    </xf>
    <xf numFmtId="0" fontId="8" fillId="0" borderId="7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176" fontId="0" fillId="0" borderId="10" xfId="0" applyNumberFormat="1" applyBorder="1">
      <alignment vertical="center"/>
    </xf>
    <xf numFmtId="1" fontId="0" fillId="0" borderId="0" xfId="0" applyNumberFormat="1">
      <alignment vertical="center"/>
    </xf>
    <xf numFmtId="0" fontId="0" fillId="0" borderId="22" xfId="0" applyBorder="1">
      <alignment vertical="center"/>
    </xf>
    <xf numFmtId="176" fontId="0" fillId="0" borderId="22" xfId="0" applyNumberFormat="1" applyBorder="1">
      <alignment vertical="center"/>
    </xf>
    <xf numFmtId="0" fontId="0" fillId="0" borderId="16" xfId="0" applyBorder="1">
      <alignment vertical="center"/>
    </xf>
    <xf numFmtId="176" fontId="0" fillId="0" borderId="16" xfId="0" applyNumberFormat="1" applyBorder="1">
      <alignment vertical="center"/>
    </xf>
    <xf numFmtId="0" fontId="0" fillId="2" borderId="10" xfId="0" applyFill="1" applyBorder="1">
      <alignment vertical="center"/>
    </xf>
    <xf numFmtId="0" fontId="0" fillId="2" borderId="15" xfId="0" applyFill="1" applyBorder="1">
      <alignment vertical="center"/>
    </xf>
    <xf numFmtId="176" fontId="0" fillId="0" borderId="11" xfId="0" applyNumberFormat="1" applyBorder="1">
      <alignment vertical="center"/>
    </xf>
    <xf numFmtId="2" fontId="0" fillId="0" borderId="6" xfId="0" applyNumberFormat="1" applyBorder="1">
      <alignment vertical="center"/>
    </xf>
    <xf numFmtId="2" fontId="7" fillId="0" borderId="6" xfId="0" applyNumberFormat="1" applyFont="1" applyBorder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176" fontId="3" fillId="3" borderId="10" xfId="0" applyNumberFormat="1" applyFont="1" applyFill="1" applyBorder="1">
      <alignment vertical="center"/>
    </xf>
    <xf numFmtId="2" fontId="0" fillId="3" borderId="23" xfId="0" applyNumberFormat="1" applyFill="1" applyBorder="1">
      <alignment vertical="center"/>
    </xf>
    <xf numFmtId="0" fontId="0" fillId="3" borderId="11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10" xfId="0" applyFill="1" applyBorder="1">
      <alignment vertical="center"/>
    </xf>
    <xf numFmtId="0" fontId="0" fillId="4" borderId="10" xfId="0" applyFill="1" applyBorder="1">
      <alignment vertical="center"/>
    </xf>
    <xf numFmtId="2" fontId="0" fillId="4" borderId="12" xfId="0" applyNumberFormat="1" applyFill="1" applyBorder="1">
      <alignment vertical="center"/>
    </xf>
    <xf numFmtId="0" fontId="0" fillId="4" borderId="9" xfId="0" applyFill="1" applyBorder="1">
      <alignment vertical="center"/>
    </xf>
    <xf numFmtId="0" fontId="0" fillId="4" borderId="1" xfId="0" applyFill="1" applyBorder="1">
      <alignment vertical="center"/>
    </xf>
    <xf numFmtId="2" fontId="0" fillId="4" borderId="1" xfId="0" applyNumberFormat="1" applyFill="1" applyBorder="1">
      <alignment vertical="center"/>
    </xf>
    <xf numFmtId="176" fontId="0" fillId="4" borderId="8" xfId="0" applyNumberFormat="1" applyFill="1" applyBorder="1">
      <alignment vertical="center"/>
    </xf>
    <xf numFmtId="176" fontId="3" fillId="4" borderId="10" xfId="0" applyNumberFormat="1" applyFont="1" applyFill="1" applyBorder="1">
      <alignment vertical="center"/>
    </xf>
    <xf numFmtId="0" fontId="0" fillId="3" borderId="9" xfId="0" applyFill="1" applyBorder="1">
      <alignment vertical="center"/>
    </xf>
    <xf numFmtId="0" fontId="0" fillId="3" borderId="1" xfId="0" applyFill="1" applyBorder="1">
      <alignment vertical="center"/>
    </xf>
    <xf numFmtId="2" fontId="0" fillId="3" borderId="1" xfId="0" applyNumberFormat="1" applyFill="1" applyBorder="1">
      <alignment vertical="center"/>
    </xf>
    <xf numFmtId="0" fontId="0" fillId="3" borderId="19" xfId="0" applyFill="1" applyBorder="1">
      <alignment vertical="center"/>
    </xf>
    <xf numFmtId="2" fontId="6" fillId="3" borderId="19" xfId="0" applyNumberFormat="1" applyFont="1" applyFill="1" applyBorder="1">
      <alignment vertical="center"/>
    </xf>
    <xf numFmtId="2" fontId="0" fillId="3" borderId="19" xfId="0" applyNumberFormat="1" applyFill="1" applyBorder="1">
      <alignment vertical="center"/>
    </xf>
    <xf numFmtId="176" fontId="0" fillId="3" borderId="20" xfId="0" applyNumberFormat="1" applyFill="1" applyBorder="1">
      <alignment vertical="center"/>
    </xf>
    <xf numFmtId="176" fontId="0" fillId="3" borderId="13" xfId="0" applyNumberFormat="1" applyFill="1" applyBorder="1">
      <alignment vertical="center"/>
    </xf>
    <xf numFmtId="176" fontId="0" fillId="4" borderId="13" xfId="0" applyNumberFormat="1" applyFill="1" applyBorder="1">
      <alignment vertical="center"/>
    </xf>
    <xf numFmtId="176" fontId="0" fillId="0" borderId="0" xfId="0" applyNumberFormat="1" applyAlignment="1">
      <alignment horizontal="right" vertical="center"/>
    </xf>
    <xf numFmtId="176" fontId="6" fillId="0" borderId="0" xfId="0" applyNumberFormat="1" applyFont="1" applyAlignment="1">
      <alignment vertical="center" wrapText="1"/>
    </xf>
    <xf numFmtId="176" fontId="6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2" fontId="0" fillId="2" borderId="12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176" fontId="0" fillId="2" borderId="8" xfId="0" applyNumberForma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14" xfId="0" applyFill="1" applyBorder="1">
      <alignment vertical="center"/>
    </xf>
    <xf numFmtId="2" fontId="0" fillId="2" borderId="14" xfId="0" applyNumberFormat="1" applyFill="1" applyBorder="1">
      <alignment vertical="center"/>
    </xf>
    <xf numFmtId="2" fontId="0" fillId="2" borderId="17" xfId="0" applyNumberFormat="1" applyFill="1" applyBorder="1">
      <alignment vertical="center"/>
    </xf>
    <xf numFmtId="176" fontId="0" fillId="2" borderId="18" xfId="0" applyNumberFormat="1" applyFill="1" applyBorder="1">
      <alignment vertical="center"/>
    </xf>
    <xf numFmtId="0" fontId="3" fillId="2" borderId="15" xfId="0" applyFont="1" applyFill="1" applyBorder="1">
      <alignment vertical="center"/>
    </xf>
    <xf numFmtId="0" fontId="0" fillId="2" borderId="9" xfId="0" applyFill="1" applyBorder="1">
      <alignment vertical="center"/>
    </xf>
    <xf numFmtId="0" fontId="0" fillId="2" borderId="1" xfId="0" applyFill="1" applyBorder="1">
      <alignment vertical="center"/>
    </xf>
    <xf numFmtId="2" fontId="0" fillId="2" borderId="1" xfId="0" applyNumberFormat="1" applyFill="1" applyBorder="1">
      <alignment vertical="center"/>
    </xf>
    <xf numFmtId="176" fontId="3" fillId="2" borderId="10" xfId="0" applyNumberFormat="1" applyFont="1" applyFill="1" applyBorder="1">
      <alignment vertical="center"/>
    </xf>
    <xf numFmtId="176" fontId="3" fillId="2" borderId="15" xfId="0" applyNumberFormat="1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0" fillId="5" borderId="10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1" xfId="0" applyFill="1" applyBorder="1">
      <alignment vertical="center"/>
    </xf>
    <xf numFmtId="2" fontId="0" fillId="5" borderId="1" xfId="0" applyNumberFormat="1" applyFill="1" applyBorder="1">
      <alignment vertical="center"/>
    </xf>
    <xf numFmtId="2" fontId="0" fillId="5" borderId="12" xfId="0" applyNumberFormat="1" applyFill="1" applyBorder="1">
      <alignment vertical="center"/>
    </xf>
    <xf numFmtId="176" fontId="0" fillId="5" borderId="13" xfId="0" applyNumberFormat="1" applyFill="1" applyBorder="1">
      <alignment vertical="center"/>
    </xf>
    <xf numFmtId="176" fontId="0" fillId="5" borderId="8" xfId="0" applyNumberFormat="1" applyFill="1" applyBorder="1">
      <alignment vertical="center"/>
    </xf>
    <xf numFmtId="176" fontId="3" fillId="5" borderId="10" xfId="0" applyNumberFormat="1" applyFont="1" applyFill="1" applyBorder="1">
      <alignment vertical="center"/>
    </xf>
    <xf numFmtId="0" fontId="0" fillId="6" borderId="10" xfId="0" applyFill="1" applyBorder="1">
      <alignment vertical="center"/>
    </xf>
    <xf numFmtId="0" fontId="0" fillId="6" borderId="9" xfId="0" applyFill="1" applyBorder="1">
      <alignment vertical="center"/>
    </xf>
    <xf numFmtId="0" fontId="0" fillId="6" borderId="1" xfId="0" applyFill="1" applyBorder="1">
      <alignment vertical="center"/>
    </xf>
    <xf numFmtId="2" fontId="0" fillId="6" borderId="1" xfId="0" applyNumberFormat="1" applyFill="1" applyBorder="1">
      <alignment vertical="center"/>
    </xf>
    <xf numFmtId="2" fontId="0" fillId="6" borderId="12" xfId="0" applyNumberFormat="1" applyFill="1" applyBorder="1">
      <alignment vertical="center"/>
    </xf>
    <xf numFmtId="176" fontId="0" fillId="6" borderId="13" xfId="0" applyNumberFormat="1" applyFill="1" applyBorder="1">
      <alignment vertical="center"/>
    </xf>
    <xf numFmtId="176" fontId="0" fillId="6" borderId="8" xfId="0" applyNumberFormat="1" applyFill="1" applyBorder="1">
      <alignment vertical="center"/>
    </xf>
    <xf numFmtId="176" fontId="3" fillId="6" borderId="10" xfId="0" applyNumberFormat="1" applyFont="1" applyFill="1" applyBorder="1">
      <alignment vertical="center"/>
    </xf>
    <xf numFmtId="0" fontId="0" fillId="7" borderId="10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" xfId="0" applyFill="1" applyBorder="1">
      <alignment vertical="center"/>
    </xf>
    <xf numFmtId="2" fontId="0" fillId="7" borderId="1" xfId="0" applyNumberFormat="1" applyFill="1" applyBorder="1">
      <alignment vertical="center"/>
    </xf>
    <xf numFmtId="2" fontId="0" fillId="7" borderId="12" xfId="0" applyNumberFormat="1" applyFill="1" applyBorder="1">
      <alignment vertical="center"/>
    </xf>
    <xf numFmtId="176" fontId="0" fillId="7" borderId="13" xfId="0" applyNumberFormat="1" applyFill="1" applyBorder="1">
      <alignment vertical="center"/>
    </xf>
    <xf numFmtId="176" fontId="0" fillId="7" borderId="8" xfId="0" applyNumberFormat="1" applyFill="1" applyBorder="1">
      <alignment vertical="center"/>
    </xf>
    <xf numFmtId="176" fontId="3" fillId="7" borderId="10" xfId="0" applyNumberFormat="1" applyFont="1" applyFill="1" applyBorder="1">
      <alignment vertical="center"/>
    </xf>
    <xf numFmtId="0" fontId="0" fillId="8" borderId="10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1" xfId="0" applyFill="1" applyBorder="1">
      <alignment vertical="center"/>
    </xf>
    <xf numFmtId="2" fontId="0" fillId="8" borderId="1" xfId="0" applyNumberFormat="1" applyFill="1" applyBorder="1">
      <alignment vertical="center"/>
    </xf>
    <xf numFmtId="2" fontId="0" fillId="8" borderId="12" xfId="0" applyNumberFormat="1" applyFill="1" applyBorder="1">
      <alignment vertical="center"/>
    </xf>
    <xf numFmtId="176" fontId="0" fillId="8" borderId="13" xfId="0" applyNumberFormat="1" applyFill="1" applyBorder="1">
      <alignment vertical="center"/>
    </xf>
    <xf numFmtId="176" fontId="0" fillId="8" borderId="8" xfId="0" applyNumberFormat="1" applyFill="1" applyBorder="1">
      <alignment vertical="center"/>
    </xf>
    <xf numFmtId="176" fontId="3" fillId="8" borderId="10" xfId="0" applyNumberFormat="1" applyFont="1" applyFill="1" applyBorder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3">
      <alignment vertical="center"/>
    </xf>
    <xf numFmtId="177" fontId="3" fillId="0" borderId="0" xfId="3" applyNumberFormat="1">
      <alignment vertical="center"/>
    </xf>
    <xf numFmtId="41" fontId="3" fillId="0" borderId="0" xfId="4" applyFont="1">
      <alignment vertical="center"/>
    </xf>
    <xf numFmtId="0" fontId="3" fillId="9" borderId="0" xfId="3" applyFill="1">
      <alignment vertical="center"/>
    </xf>
    <xf numFmtId="41" fontId="3" fillId="0" borderId="28" xfId="3" applyNumberFormat="1" applyBorder="1">
      <alignment vertical="center"/>
    </xf>
    <xf numFmtId="177" fontId="3" fillId="0" borderId="28" xfId="3" applyNumberFormat="1" applyBorder="1">
      <alignment vertical="center"/>
    </xf>
    <xf numFmtId="0" fontId="6" fillId="2" borderId="28" xfId="3" applyFont="1" applyFill="1" applyBorder="1" applyAlignment="1">
      <alignment horizontal="center" vertical="center"/>
    </xf>
    <xf numFmtId="41" fontId="3" fillId="0" borderId="1" xfId="4" applyFont="1" applyFill="1" applyBorder="1" applyAlignment="1">
      <alignment horizontal="center" vertical="center" shrinkToFit="1"/>
    </xf>
    <xf numFmtId="177" fontId="3" fillId="0" borderId="1" xfId="4" applyNumberFormat="1" applyFont="1" applyFill="1" applyBorder="1" applyAlignment="1">
      <alignment horizontal="center" vertical="center"/>
    </xf>
    <xf numFmtId="178" fontId="3" fillId="0" borderId="1" xfId="4" applyNumberFormat="1" applyFont="1" applyFill="1" applyBorder="1" applyAlignment="1">
      <alignment horizontal="center" vertical="center" shrinkToFit="1"/>
    </xf>
    <xf numFmtId="179" fontId="0" fillId="0" borderId="1" xfId="1" applyNumberFormat="1" applyFont="1" applyFill="1" applyBorder="1" applyAlignment="1">
      <alignment horizontal="center" vertical="center" shrinkToFit="1"/>
    </xf>
    <xf numFmtId="41" fontId="11" fillId="0" borderId="1" xfId="4" applyFont="1" applyFill="1" applyBorder="1" applyAlignment="1">
      <alignment horizontal="center" vertical="center" shrinkToFit="1"/>
    </xf>
    <xf numFmtId="177" fontId="11" fillId="0" borderId="1" xfId="4" applyNumberFormat="1" applyFont="1" applyFill="1" applyBorder="1" applyAlignment="1">
      <alignment horizontal="center" vertical="center"/>
    </xf>
    <xf numFmtId="178" fontId="11" fillId="0" borderId="1" xfId="4" applyNumberFormat="1" applyFont="1" applyFill="1" applyBorder="1" applyAlignment="1">
      <alignment horizontal="center" vertical="center" shrinkToFit="1"/>
    </xf>
    <xf numFmtId="179" fontId="11" fillId="0" borderId="1" xfId="1" applyNumberFormat="1" applyFont="1" applyFill="1" applyBorder="1" applyAlignment="1">
      <alignment horizontal="center" vertical="center" shrinkToFit="1"/>
    </xf>
    <xf numFmtId="41" fontId="11" fillId="0" borderId="1" xfId="4" applyFont="1" applyFill="1" applyBorder="1" applyAlignment="1">
      <alignment horizontal="center" vertical="center"/>
    </xf>
    <xf numFmtId="0" fontId="11" fillId="0" borderId="0" xfId="4" applyNumberFormat="1" applyFont="1" applyFill="1" applyBorder="1" applyAlignment="1">
      <alignment horizontal="center" vertical="center" shrinkToFit="1"/>
    </xf>
    <xf numFmtId="41" fontId="11" fillId="0" borderId="0" xfId="4" applyFont="1" applyFill="1" applyBorder="1" applyAlignment="1">
      <alignment horizontal="center" vertical="center" shrinkToFit="1"/>
    </xf>
    <xf numFmtId="41" fontId="11" fillId="0" borderId="1" xfId="4" applyFont="1" applyFill="1" applyBorder="1" applyAlignment="1">
      <alignment vertical="center"/>
    </xf>
    <xf numFmtId="0" fontId="3" fillId="2" borderId="0" xfId="3" applyFill="1">
      <alignment vertical="center"/>
    </xf>
    <xf numFmtId="0" fontId="11" fillId="0" borderId="1" xfId="3" applyFont="1" applyBorder="1" applyAlignment="1">
      <alignment horizontal="center" vertical="center" wrapText="1"/>
    </xf>
    <xf numFmtId="10" fontId="11" fillId="0" borderId="1" xfId="3" applyNumberFormat="1" applyFont="1" applyBorder="1" applyAlignment="1">
      <alignment horizontal="center" vertical="center" wrapText="1"/>
    </xf>
    <xf numFmtId="0" fontId="12" fillId="2" borderId="0" xfId="3" applyFont="1" applyFill="1">
      <alignment vertical="center"/>
    </xf>
    <xf numFmtId="0" fontId="13" fillId="0" borderId="1" xfId="3" applyFont="1" applyBorder="1" applyAlignment="1">
      <alignment horizontal="center" vertical="center" wrapText="1"/>
    </xf>
    <xf numFmtId="0" fontId="13" fillId="5" borderId="1" xfId="3" applyFont="1" applyFill="1" applyBorder="1" applyAlignment="1">
      <alignment horizontal="center" vertical="center" wrapText="1"/>
    </xf>
    <xf numFmtId="0" fontId="13" fillId="11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7" fillId="12" borderId="0" xfId="3" applyFont="1" applyFill="1">
      <alignment vertical="center"/>
    </xf>
    <xf numFmtId="0" fontId="17" fillId="0" borderId="0" xfId="3" applyFont="1">
      <alignment vertical="center"/>
    </xf>
    <xf numFmtId="0" fontId="18" fillId="0" borderId="0" xfId="3" applyFont="1">
      <alignment vertical="center"/>
    </xf>
    <xf numFmtId="41" fontId="3" fillId="0" borderId="0" xfId="3" applyNumberFormat="1">
      <alignment vertical="center"/>
    </xf>
    <xf numFmtId="0" fontId="15" fillId="0" borderId="29" xfId="3" applyFont="1" applyBorder="1" applyAlignment="1">
      <alignment horizontal="center" vertical="center" wrapText="1"/>
    </xf>
    <xf numFmtId="0" fontId="11" fillId="10" borderId="29" xfId="3" applyFont="1" applyFill="1" applyBorder="1" applyAlignment="1">
      <alignment horizontal="center" vertical="center"/>
    </xf>
    <xf numFmtId="0" fontId="11" fillId="10" borderId="1" xfId="3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5">
    <cellStyle name="쉼표 [0]" xfId="4" builtinId="6"/>
    <cellStyle name="쉼표 [0] 2" xfId="1" xr:uid="{17F304C0-A46F-45FA-9416-8AFBADDB0A2A}"/>
    <cellStyle name="쉼표 [0] 2 10" xfId="2" xr:uid="{D42284D6-F357-4326-9CA1-0F64A6231EBD}"/>
    <cellStyle name="표준" xfId="0" builtinId="0"/>
    <cellStyle name="표준 2" xfId="3" xr:uid="{DBD0910C-D582-4ECE-9F80-2B49FF9835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2384;\&#44277;&#50976;\DOO-SAN\&#48372;-&#44592;&#46181;\&#44592;&#461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17;\MECH\&#49457;&#51648;&#44277;&#547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1228;&#52384;&#49548;\&#54788;&#51109;&#44288;&#47532;&#48708;&#44288;&#47144;\DOC\&#49892;&#54665;\&#49340;&#52377;&#44540;&#45909;\&#49340;&#52377;&#4404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9345;&#52384;\C\Windows\&#48148;&#53461;%20&#54868;&#47732;\Book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1228;&#52384;&#49548;\&#54788;&#51109;&#44288;&#47532;&#48708;&#44288;&#47144;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9457;\C\&#50504;&#49328;&#54788;&#51109;\&#44592;&#49457;&#49436;&#47448;\2001&#45380;\6&#50900;\Book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49457;&#51116;\&#51221;&#47497;&#54788;&#51109;\My%20Documents\200P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bsj\c31004\PE\JP\CHANGE\3RD\LI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&#44208;&#49328;9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1228;&#52384;&#49548;\&#54788;&#51109;&#44288;&#47532;&#48708;&#44288;&#47144;\A1&#51060;&#52397;&#47148;\&#44204;&#51201;&#49884;&#54665;\&#50689;&#50900;-&#51221;&#50577;(&#52572;&#51200;&#44032;&#44277;&#49324;)\&#54788;&#49444;&#51088;&#47308;(&#48512;&#45824;&#51077;&#52272;&#50857;,&#50689;&#50900;&#51221;&#50577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7;&#54805;&#49437;\C\EXCL\99&#45380;&#44277;&#49324;\99-E(&#44221;&#48708;&#51473;&#45824;&#44277;&#49324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windows\TEMP\&#54861;&#48372;&#54924;&#51032;\&#49849;&#51652;&#45824;&#4934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5148;\C\&#44608;&#52285;&#49885;\&#44221;&#49345;&#53804;&#51088;\99&#45380;&#44221;&#49345;&#53804;&#51088;\2&#50676;&#50672;%20oil%20&#48372;&#52649;%20system%20&#49444;&#52824;\AKF-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yang\db\&#44148;&#52629;&#48512;\&#51032;&#51221;&#48512;%20&#51652;&#54665;&#54788;&#51109;&#44288;&#47532;&#52384;\WIN95\&#48148;&#53461;%20&#54868;&#47732;\&#51064;&#49324;&#44288;~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6972;&#51060;&#50616;&#53433;\HAREP\MONTH\H4A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737;\C\My%20Documents\&#47560;&#47161;-&#51109;&#49688;(&#54788;)\700\719(&#44277;&#51221;&#44288;&#47532;)\&#49324;\&#50900;&#48324;&#44592;&#49457;&#50896;&#44032;&#44228;&#54925;\2000&#45380;&#46020;\2,4&#48516;&#44592;%20&#44592;&#49457;&#50896;&#44032;%20&#50896;&#51064;&#48516;&#49437;&#50857;(200629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9849;&#49885;\&#50892;&#52964;&#55184;\temp\SUIV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4032;&#49328;&#46041;SK\&#44277;&#47924;\&#44592;&#49457;\&#44277;&#47924;\&#44592;&#49457;\temp\SUIVI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09_03\cjc\My%20Documents\&#44592;&#49457;&#48512;&#48516;&#45236;&#50669;&#44049;&#5164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6020;&#47196;&#44277;&#49324;\&#49328;&#52636;&#49436;\5&#48512;&#45824;&#44277;\&#46020;&#47196;&#44277;&#49324;\&#52265;&#51456;&#44277;&#44228;\95&#51456;&#4427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9849;&#48176;\&#54252;&#51109;&#44277;&#49688;&#47049;\&#52380;&#50504;&#51452;&#44144;&#54872;&#44221;\&#49892;&#49884;&#48393;&#47749;3&#51648;&#44396;\&#49688;&#47049;&#49328;&#52636;&#49436;\&#44592;&#51316;&#44396;&#51312;&#47932;&#44648;&#4459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24\c\&#44256;\WIN95\&#48148;&#53461;%20&#54868;&#47732;\&#51064;&#49324;&#44288;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2-X방향 "/>
      <sheetName val="01"/>
      <sheetName val="2.단면가정3.모델링"/>
      <sheetName val="1062-X방향_"/>
      <sheetName val="2_단면가정3_모델링"/>
      <sheetName val="기둥"/>
      <sheetName val="COVER"/>
      <sheetName val="교각계산"/>
      <sheetName val="인사자료총집계"/>
      <sheetName val="포장공(집계)"/>
      <sheetName val="집계표"/>
      <sheetName val="BID"/>
      <sheetName val="8.PILE  (돌출)"/>
      <sheetName val="II손익관리"/>
      <sheetName val="목표세부명세"/>
      <sheetName val="T형( 파일기초) 공현1교"/>
      <sheetName val="1.설계조건"/>
      <sheetName val="type-1응력검토"/>
      <sheetName val="총괄표"/>
      <sheetName val="유림골조"/>
      <sheetName val="총괄내역서"/>
      <sheetName val="H-PILE"/>
      <sheetName val="은행"/>
      <sheetName val="&lt;&lt;설계입력&gt;&gt;"/>
      <sheetName val="1.1설계기준"/>
      <sheetName val="1.2해석단면및모델링"/>
      <sheetName val="1.8 결과요약"/>
      <sheetName val="1.7단면력도정리"/>
      <sheetName val="주형지지보"/>
      <sheetName val="입력-----&gt;출력제외"/>
      <sheetName val="슬래브집계(주동교)"/>
      <sheetName val="#REF"/>
      <sheetName val="3련 BOX"/>
      <sheetName val="철집"/>
      <sheetName val="Eq. Mobilization"/>
      <sheetName val="입출재고현황 (2)"/>
      <sheetName val="PIPE ROOF"/>
      <sheetName val="토류공"/>
      <sheetName val="가설수로공"/>
      <sheetName val="일반총괄"/>
      <sheetName val="토공"/>
      <sheetName val="표층포설및다짐"/>
      <sheetName val="단면_(2)"/>
      <sheetName val="단면가정"/>
      <sheetName val="철근단면적"/>
      <sheetName val="BOX(1_5X1_5)"/>
      <sheetName val="역T형"/>
      <sheetName val="1__설계조건_2_단면가정_3__하중계산"/>
      <sheetName val="A1"/>
      <sheetName val="출입구총집계"/>
      <sheetName val="DATA_입력란"/>
      <sheetName val="설계조건"/>
      <sheetName val="중기산출근거기초"/>
      <sheetName val="모형도"/>
      <sheetName val="1_설계기준"/>
      <sheetName val="주beam"/>
      <sheetName val="품셈TABLE"/>
      <sheetName val="말뚝기초"/>
      <sheetName val="입력DATA"/>
      <sheetName val="1_설계조건"/>
      <sheetName val="L_RPTA05_목록"/>
      <sheetName val="5_모델링"/>
      <sheetName val="단면 (2)"/>
      <sheetName val="공사개요"/>
      <sheetName val="수량총괄표"/>
      <sheetName val="INPUT"/>
      <sheetName val="6PILE  (돌출)"/>
      <sheetName val="3구간수량집계"/>
      <sheetName val="Tiepdia"/>
      <sheetName val="기기리스트"/>
      <sheetName val="일반수량집계표"/>
      <sheetName val="2.철근집계"/>
      <sheetName val="철근산출(출력x)"/>
      <sheetName val="Sheet1"/>
      <sheetName val="선급금산출"/>
      <sheetName val="2.단면가정, 3.구조해석"/>
      <sheetName val="입력자료"/>
      <sheetName val="공예을"/>
      <sheetName val="L형옹벽철거"/>
      <sheetName val="철근량"/>
      <sheetName val="품셈(기초)"/>
      <sheetName val="노임단가"/>
      <sheetName val="1.토공"/>
      <sheetName val="토량1-1"/>
      <sheetName val="DATA"/>
      <sheetName val="8.수량산출 (2)"/>
      <sheetName val="수량산출서"/>
      <sheetName val="연번2-1련(외관조사)"/>
      <sheetName val="연번2-1련손상종류"/>
      <sheetName val="연번2-2련(외관조사)"/>
      <sheetName val="연번2-2련손상종류"/>
      <sheetName val="EQUIPMENT -2"/>
      <sheetName val="지장물 이설수량집계"/>
      <sheetName val="간지"/>
      <sheetName val="조명시설"/>
      <sheetName val="유림콘도"/>
      <sheetName val="Sheet4"/>
      <sheetName val="데이타"/>
      <sheetName val="2.단면가정"/>
      <sheetName val="3.(상시)구조해석"/>
      <sheetName val="3.바닥판설계"/>
      <sheetName val="오수집계"/>
      <sheetName val="표준산식"/>
      <sheetName val="woo(mac)"/>
      <sheetName val="L형집계"/>
      <sheetName val="공사비증감"/>
      <sheetName val="3.공통공사대비"/>
      <sheetName val="내역서"/>
      <sheetName val="도급분설계내역집계표"/>
      <sheetName val="기계경비 (2)"/>
      <sheetName val="노임"/>
      <sheetName val="공사비대비표(자재비포함)"/>
      <sheetName val="예가표"/>
      <sheetName val="Sheet1 (2)"/>
      <sheetName val="Footing공-PY1, PY2"/>
      <sheetName val="철근집계"/>
      <sheetName val="자재집계"/>
      <sheetName val="찍기"/>
      <sheetName val="1TL종점(1)"/>
      <sheetName val="교각1"/>
      <sheetName val="수량산출"/>
      <sheetName val="공문"/>
      <sheetName val="수량집계"/>
      <sheetName val="포장공수량집계표"/>
      <sheetName val="Sheet2"/>
      <sheetName val="총괄"/>
      <sheetName val="강재집계표"/>
      <sheetName val="입찰내역 발주처 양식"/>
      <sheetName val="3.하중계산"/>
      <sheetName val="단가대비표"/>
      <sheetName val="부하(성남)"/>
      <sheetName val="평형별 세대수"/>
      <sheetName val="대비표"/>
      <sheetName val="내역서(마루공사)"/>
      <sheetName val="본체"/>
      <sheetName val="하중계산"/>
      <sheetName val="접합단위수량"/>
      <sheetName val="맨홀조서"/>
      <sheetName val="4.2 오수공수량집계"/>
      <sheetName val="차수공개요"/>
      <sheetName val="구조물공"/>
      <sheetName val="배수공"/>
      <sheetName val="부대공"/>
      <sheetName val="포장공"/>
      <sheetName val="설계내역서"/>
      <sheetName val="토사(PE)"/>
      <sheetName val="Rate Analysis"/>
      <sheetName val="콘크리트 집계표(전체)"/>
      <sheetName val="FitOutConfCentre"/>
      <sheetName val="Main"/>
      <sheetName val="거푸집물량"/>
      <sheetName val="예정(3)"/>
      <sheetName val="동원(3)"/>
      <sheetName val="제출내역 (2)"/>
    </sheetNames>
    <sheetDataSet>
      <sheetData sheetId="0" refreshError="1">
        <row r="92">
          <cell r="A92" t="str">
            <v>1-2) 사용성 및 축하중 검토</v>
          </cell>
        </row>
        <row r="93">
          <cell r="A93" t="str">
            <v>1-2) 사용성 및 축하중 검토</v>
          </cell>
        </row>
        <row r="94">
          <cell r="A94" t="str">
            <v xml:space="preserve"> ① X-방향</v>
          </cell>
        </row>
        <row r="95">
          <cell r="A95" t="str">
            <v>① X-방향</v>
          </cell>
        </row>
        <row r="96">
          <cell r="A96" t="str">
            <v xml:space="preserve">  a) 단면제원</v>
          </cell>
        </row>
        <row r="101">
          <cell r="A101" t="str">
            <v>a) 단면제원</v>
          </cell>
        </row>
        <row r="102">
          <cell r="A102" t="str">
            <v xml:space="preserve">  b) 세장비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ELECTRIC"/>
      <sheetName val="CTEMCOST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내역"/>
      <sheetName val="예가표"/>
      <sheetName val="01"/>
      <sheetName val="간접1"/>
      <sheetName val="을지"/>
      <sheetName val="#REF"/>
      <sheetName val="샤워실위생"/>
      <sheetName val="성지공현"/>
      <sheetName val="견적"/>
      <sheetName val="Total"/>
      <sheetName val="프랜트면허"/>
      <sheetName val="공사비집계"/>
      <sheetName val="세부내역"/>
      <sheetName val="일위"/>
      <sheetName val="A-4"/>
      <sheetName val="도급FORM"/>
      <sheetName val="밸브설치"/>
      <sheetName val="공통가설"/>
      <sheetName val="목차"/>
      <sheetName val="C3"/>
      <sheetName val="갑지"/>
      <sheetName val="토목주소"/>
      <sheetName val="유림골조"/>
      <sheetName val="개요"/>
      <sheetName val="자동제어"/>
      <sheetName val="아파트 "/>
      <sheetName val="입찰내역"/>
      <sheetName val="Sheet1"/>
      <sheetName val="기성내역1"/>
      <sheetName val="건축내역"/>
      <sheetName val="경영상태"/>
      <sheetName val="금액내역서"/>
      <sheetName val="공문"/>
      <sheetName val="공사개요 (2)"/>
      <sheetName val="매입세"/>
      <sheetName val="단가대비표"/>
      <sheetName val="공사개요"/>
      <sheetName val="TDI ISBL"/>
      <sheetName val="1차 내역서"/>
      <sheetName val="TYPE-A"/>
      <sheetName val="제1영업소"/>
      <sheetName val="제2영업소"/>
      <sheetName val="제3영업소"/>
      <sheetName val="노무비"/>
      <sheetName val="공종별내역서"/>
      <sheetName val="실행내역"/>
      <sheetName val="0226"/>
      <sheetName val="견적대비표"/>
      <sheetName val="Macro1"/>
      <sheetName val="노원열병합  건축공사기성내역서"/>
      <sheetName val="입찰내역서(본공사)"/>
      <sheetName val="입찰내역서(가설)"/>
      <sheetName val="잡철물"/>
      <sheetName val="실행(ALT1)"/>
      <sheetName val="차액보증"/>
      <sheetName val="변대신설"/>
      <sheetName val="집계표-전기(신설)"/>
      <sheetName val="DATA"/>
      <sheetName val="교대"/>
      <sheetName val="평3"/>
      <sheetName val="cable-data"/>
      <sheetName val="간접"/>
      <sheetName val="인사자료총집계"/>
      <sheetName val="현장관리비집계표"/>
      <sheetName val="예총"/>
      <sheetName val="전 기"/>
      <sheetName val="일위대가표"/>
      <sheetName val="조건표"/>
      <sheetName val="노임"/>
      <sheetName val="입찰안"/>
      <sheetName val="수정'매출매입_자료"/>
      <sheetName val="건축원가"/>
      <sheetName val="노임이"/>
      <sheetName val="건축내역서 (경제상무실)"/>
      <sheetName val="견"/>
      <sheetName val="1.설계조건"/>
      <sheetName val="2.하중산정"/>
      <sheetName val="BID"/>
      <sheetName val="대림경상68억"/>
      <sheetName val="2공구산출내역"/>
      <sheetName val="70%"/>
      <sheetName val="CAT_5"/>
      <sheetName val="내역서"/>
      <sheetName val="견적을지"/>
      <sheetName val="조명일위"/>
      <sheetName val="은행"/>
      <sheetName val="Customer Databas"/>
      <sheetName val="FRP내역서"/>
      <sheetName val="1ST"/>
      <sheetName val="계산근거"/>
      <sheetName val="TTL"/>
      <sheetName val="기기리스트"/>
      <sheetName val="COVER"/>
      <sheetName val="금융비용"/>
      <sheetName val="98지급계획"/>
      <sheetName val="COVER-P"/>
      <sheetName val="일위대가(가설)"/>
      <sheetName val="YM-IL1"/>
      <sheetName val="분석"/>
      <sheetName val="4 LINE"/>
      <sheetName val="소비자가"/>
      <sheetName val="7 th"/>
      <sheetName val="실행"/>
      <sheetName val="기안"/>
      <sheetName val="개산공사비"/>
      <sheetName val="CAPVC"/>
      <sheetName val="수입"/>
      <sheetName val="돈암사업"/>
      <sheetName val="97 사업추정(WEKI)"/>
      <sheetName val="케이블규격"/>
      <sheetName val="MEXICO-C"/>
      <sheetName val="전기일위대가"/>
      <sheetName val="단위세대물량"/>
      <sheetName val="참조"/>
      <sheetName val="결과조달"/>
      <sheetName val="DATA(VTL)"/>
      <sheetName val="정산내역"/>
      <sheetName val="말뚝지지력산정"/>
      <sheetName val="정보매체A동"/>
      <sheetName val="MATRLDATA"/>
      <sheetName val="단가표"/>
      <sheetName val="EACT10"/>
      <sheetName val="견적서"/>
      <sheetName val="연돌일위집계"/>
      <sheetName val="일위대가(1)"/>
      <sheetName val="실행철강하도"/>
      <sheetName val="집계표"/>
      <sheetName val="인건비"/>
      <sheetName val="찍기"/>
      <sheetName val="변전실재분리"/>
      <sheetName val="X13"/>
      <sheetName val="Sapphire"/>
      <sheetName val="2. 주요공지（主要公告）"/>
      <sheetName val="4. 접지매립내역（接地工程清单）"/>
      <sheetName val="일위대가"/>
      <sheetName val="#REF!"/>
      <sheetName val="할증 "/>
      <sheetName val="물량산출근거"/>
      <sheetName val="APT"/>
      <sheetName val="지수"/>
      <sheetName val="3.공통공사대비"/>
      <sheetName val="공종별내역서(기계)"/>
      <sheetName val="내역서(전기)"/>
      <sheetName val="설계내역서"/>
      <sheetName val="수량산출"/>
      <sheetName val="1. 설계조건 2.단면가정 3. 하중계산"/>
      <sheetName val="DATA 입력란"/>
      <sheetName val="FORM-0"/>
      <sheetName val="산출및내역"/>
      <sheetName val="변경집계표"/>
      <sheetName val="EQT-ESTN"/>
      <sheetName val="Sheet5"/>
      <sheetName val="FAX"/>
      <sheetName val="조도계산서 (도서)"/>
      <sheetName val="주식"/>
      <sheetName val="Sheet1 (2)"/>
      <sheetName val="입찰내역 발주처 양식"/>
      <sheetName val="순공사비"/>
      <sheetName val="목창호"/>
      <sheetName val="BSD (2)"/>
      <sheetName val="CondPol"/>
      <sheetName val="D-3109"/>
      <sheetName val="TEST1"/>
      <sheetName val="대비"/>
      <sheetName val="품"/>
      <sheetName val="XZLC003_PART1"/>
      <sheetName val="토공"/>
      <sheetName val="SAKUB"/>
      <sheetName val="IW-LIST"/>
      <sheetName val="기성내역"/>
      <sheetName val="1차네트공정"/>
      <sheetName val="집계표(육상)"/>
      <sheetName val="지급자재"/>
      <sheetName val="본부장"/>
      <sheetName val="갑지(추정)"/>
      <sheetName val="화재 탐지 설비"/>
      <sheetName val="단면별연장"/>
      <sheetName val="상세내역,전력산출서"/>
      <sheetName val="보할공정"/>
      <sheetName val="자금흐름표_SAC_작업"/>
      <sheetName val="SG"/>
      <sheetName val=" 냉각수펌프"/>
      <sheetName val="wall"/>
      <sheetName val="토사(PE)"/>
      <sheetName val="차이내역"/>
      <sheetName val="CONCRETE"/>
      <sheetName val="1가설캠프"/>
      <sheetName val="2.대외공문"/>
      <sheetName val="건축공사"/>
      <sheetName val="5.전사투자계획종함안"/>
      <sheetName val="BOX전기내역"/>
      <sheetName val="공조기휀"/>
      <sheetName val="AHU집계"/>
      <sheetName val="울산시산표"/>
      <sheetName val="BEND LOSS"/>
      <sheetName val="GAEYO"/>
      <sheetName val="관리동"/>
      <sheetName val="실행예산대비 발주내역1차"/>
      <sheetName val="음료실행"/>
      <sheetName val="잡비"/>
      <sheetName val="2000전체분"/>
      <sheetName val="세원견적서"/>
      <sheetName val="J直材4"/>
      <sheetName val="견적(CHANNEL)"/>
      <sheetName val="건축공사 집계표"/>
      <sheetName val="골조"/>
      <sheetName val="토목"/>
      <sheetName val="3.건축(현장안)"/>
      <sheetName val="10월"/>
      <sheetName val="단"/>
      <sheetName val="간접비"/>
      <sheetName val="문학간접"/>
      <sheetName val="패널"/>
      <sheetName val="제어(하부)"/>
      <sheetName val="설직재-1"/>
      <sheetName val="DATE"/>
      <sheetName val="산출2-기기동력"/>
      <sheetName val="단가"/>
      <sheetName val="집계표(OPTION)"/>
      <sheetName val="6PILE  (돌출)"/>
      <sheetName val="일위대가목차"/>
      <sheetName val="현장관리비 산출내역"/>
      <sheetName val="APT내역"/>
      <sheetName val="내역(전체)"/>
      <sheetName val="단가산출2"/>
      <sheetName val="Y-WORK"/>
      <sheetName val="을"/>
      <sheetName val="간접비내역-1"/>
      <sheetName val="AILC004"/>
      <sheetName val="BASIC (2)"/>
      <sheetName val="자재단가비교표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전력"/>
      <sheetName val="TABLE"/>
      <sheetName val="Sheet4"/>
      <sheetName val="실행내역서 "/>
      <sheetName val="일위대가(여기까지)"/>
      <sheetName val="설계명세서(선로)"/>
      <sheetName val="내역서(음성금왕)"/>
      <sheetName val="일위_파일"/>
      <sheetName val="IT-BAT"/>
      <sheetName val="산근"/>
      <sheetName val="대비표"/>
      <sheetName val="Table 3-EQ"/>
      <sheetName val="단가산출1"/>
      <sheetName val="공종집계"/>
      <sheetName val="S0"/>
      <sheetName val="6호기"/>
      <sheetName val="물량산출"/>
      <sheetName val="시행후면적"/>
      <sheetName val="YES-T"/>
      <sheetName val="깨기"/>
      <sheetName val="PAD TR보호대기초"/>
      <sheetName val="HANDHOLE(2)"/>
      <sheetName val="가로등기초"/>
      <sheetName val="자체실적1Q"/>
      <sheetName val="가격조사서"/>
      <sheetName val="중기조종사 단위단가"/>
      <sheetName val="1062-X방향 "/>
      <sheetName val="일위대가표(장비)"/>
      <sheetName val="기계설비공사 집계표"/>
      <sheetName val="공사비내역서"/>
      <sheetName val="적현로"/>
      <sheetName val="ȱ_x0000_⠀恷_x0000__x0000_"/>
      <sheetName val="천마갑지"/>
      <sheetName val="항목(1)"/>
      <sheetName val="DHEQSUPT"/>
      <sheetName val="unit 4"/>
      <sheetName val="b_balju_cho"/>
      <sheetName val="목포방향"/>
      <sheetName val="5사남"/>
      <sheetName val="FAB별"/>
      <sheetName val="부속동"/>
      <sheetName val="A(Rev.3)"/>
      <sheetName val="M"/>
      <sheetName val="전체내역 (2)"/>
      <sheetName val="직재"/>
      <sheetName val="주차구획선수량"/>
      <sheetName val="cctv"/>
      <sheetName val="미디어고등학교"/>
      <sheetName val="B1(반포1차)"/>
      <sheetName val="220 (2)"/>
      <sheetName val="공사원가계산서"/>
      <sheetName val="수로접합"/>
      <sheetName val=""/>
      <sheetName val="제조노임"/>
      <sheetName val="자재테이블"/>
      <sheetName val="DATA2000"/>
      <sheetName val="EQUIP"/>
      <sheetName val="아파트_"/>
      <sheetName val="공사개요_(2)"/>
      <sheetName val="1차_내역서"/>
      <sheetName val="건축내역서_(경제상무실)"/>
      <sheetName val="전_기"/>
      <sheetName val="조도계산서_(도서)"/>
      <sheetName val="대가목록"/>
      <sheetName val="총괄내역서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1.가로등수량"/>
      <sheetName val="코드 및 제품 목록"/>
      <sheetName val="DATA-UPS"/>
      <sheetName val="인건-측정"/>
      <sheetName val="배명(단가)"/>
      <sheetName val="(참조)PH-2 12K_150406 제원"/>
      <sheetName val="単価表"/>
      <sheetName val="통보서"/>
      <sheetName val="토공산출(주차장)"/>
      <sheetName val="옵션"/>
      <sheetName val="신규 품목 합산자재"/>
      <sheetName val="신규 품목 일위대가"/>
      <sheetName val="유림총괄"/>
      <sheetName val="조명시설"/>
      <sheetName val="수량집계"/>
      <sheetName val="총괄집계표"/>
      <sheetName val="REDUCER"/>
      <sheetName val="WE'T"/>
      <sheetName val="표지"/>
      <sheetName val="설비원가"/>
      <sheetName val="총괄표"/>
      <sheetName val="업무처리전"/>
      <sheetName val="산출집계"/>
      <sheetName val="FRP PIPING 일위대가"/>
      <sheetName val="@PRICE1"/>
      <sheetName val="전선 및 전선관"/>
      <sheetName val="Sheet3"/>
      <sheetName val="당초"/>
      <sheetName val="PRO_DCI"/>
      <sheetName val="INST_DCI"/>
      <sheetName val="HVAC_DCI"/>
      <sheetName val="PIPE_DCI"/>
      <sheetName val="기본사항"/>
      <sheetName val="LinerWt"/>
      <sheetName val="공사내역"/>
      <sheetName val="산출내역서집계표"/>
      <sheetName val="업체별단가"/>
      <sheetName val="내역표지"/>
      <sheetName val="도면자료제출일정"/>
      <sheetName val="인원현황"/>
      <sheetName val="조직"/>
      <sheetName val="원가계산서"/>
      <sheetName val="견적정보"/>
      <sheetName val="사진"/>
      <sheetName val="CAL1"/>
      <sheetName val="노무"/>
      <sheetName val="동해title"/>
      <sheetName val="금융"/>
      <sheetName val="소방"/>
      <sheetName val="일반공사"/>
      <sheetName val="화전내"/>
      <sheetName val="목표세부명세"/>
      <sheetName val="FB25JN"/>
      <sheetName val="총괄"/>
      <sheetName val="중기일위대가"/>
      <sheetName val="건축(을)"/>
      <sheetName val="Sheet2"/>
      <sheetName val="CODE"/>
      <sheetName val="정부노임단가"/>
      <sheetName val="MOTOR"/>
      <sheetName val="분뇨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구리토평1전기"/>
      <sheetName val="공량집계"/>
      <sheetName val="용접POINT산출 (2)"/>
      <sheetName val="업체명"/>
      <sheetName val="관리"/>
      <sheetName val="충주"/>
      <sheetName val="국산화"/>
      <sheetName val="diff_tube"/>
      <sheetName val="기본단가"/>
      <sheetName val="인건비단가"/>
      <sheetName val="별표총괄"/>
      <sheetName val="품셈TABLE"/>
      <sheetName val="투자,기성 실적"/>
      <sheetName val="토공집계표"/>
      <sheetName val="설계예산서"/>
      <sheetName val="COST"/>
      <sheetName val="PRICES"/>
      <sheetName val="ȱ"/>
      <sheetName val="계획대비 정산비용(합계)"/>
      <sheetName val="부대공"/>
      <sheetName val="포장공"/>
      <sheetName val="터파기및재료"/>
      <sheetName val="실행(표지,갑,을)"/>
      <sheetName val="동원인원"/>
      <sheetName val="전기공사"/>
      <sheetName val="GRDBS"/>
      <sheetName val="시실누(모) "/>
      <sheetName val="현우실적"/>
      <sheetName val="Subs"/>
      <sheetName val="2. 주요공지"/>
      <sheetName val="FACTOR"/>
      <sheetName val="샘플표지"/>
      <sheetName val="골조시행"/>
      <sheetName val="개선안 개요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화재_탐지_설비"/>
      <sheetName val="_냉각수펌프"/>
      <sheetName val="2_대외공문"/>
      <sheetName val="5_전사투자계획종함안"/>
      <sheetName val="BEND_LOSS"/>
      <sheetName val="실행예산대비_발주내역1차"/>
      <sheetName val="건축공사_집계표"/>
      <sheetName val="3_건축(현장안)"/>
      <sheetName val="Table_3-EQ"/>
      <sheetName val="현장관리비_산출내역"/>
      <sheetName val="Data②_분류표"/>
      <sheetName val="차수"/>
      <sheetName val="40총괄"/>
      <sheetName val="40집계"/>
      <sheetName val="제품 정보"/>
      <sheetName val="16년 부문별"/>
      <sheetName val="부대내역"/>
      <sheetName val="변경별표"/>
      <sheetName val="직원투입"/>
      <sheetName val="LF자재단가"/>
      <sheetName val="조건표 (2)"/>
      <sheetName val="관급자재"/>
      <sheetName val="CP-E2 (품셈표)"/>
      <sheetName val="Gia vat tu"/>
      <sheetName val="데이타"/>
      <sheetName val="구의33고"/>
      <sheetName val="1-4 익월예상투자대비"/>
      <sheetName val="1-2 투입대비"/>
      <sheetName val="대치판정"/>
      <sheetName val="집수정(600-700)"/>
      <sheetName val="기계내역"/>
      <sheetName val="ȱ_x005f_x0000_⠀恷_x005f_x0000__x005f_x0000_"/>
      <sheetName val="전체 수금"/>
      <sheetName val="단위단가"/>
      <sheetName val="기숙사본건물도급내역"/>
      <sheetName val="Arch"/>
      <sheetName val="실행대비"/>
      <sheetName val="단면설계"/>
      <sheetName val="안정검토"/>
      <sheetName val="PI"/>
      <sheetName val="Sheet9"/>
      <sheetName val="Sheet14"/>
      <sheetName val="전기자료"/>
      <sheetName val="Sheet10"/>
      <sheetName val="Sheet13"/>
      <sheetName val="냉천부속동"/>
      <sheetName val="진주방향"/>
      <sheetName val="마산방향"/>
      <sheetName val="마산방향철근집계"/>
      <sheetName val="Baby일위대가"/>
      <sheetName val="기초자료"/>
      <sheetName val="견적집계표"/>
      <sheetName val="laroux"/>
      <sheetName val="인사데이타(정규)"/>
      <sheetName val="공통"/>
      <sheetName val="s"/>
      <sheetName val="환율change"/>
      <sheetName val="대림산업"/>
      <sheetName val="설계명세서"/>
      <sheetName val="품셈표"/>
      <sheetName val="표준건축비"/>
      <sheetName val="PAD_TR보호대기초"/>
      <sheetName val="중기조종사_단위단가"/>
      <sheetName val="1062-X방향_"/>
      <sheetName val="기계설비공사_집계표"/>
      <sheetName val="Sheet1_(2)"/>
      <sheetName val="예정(3)"/>
      <sheetName val="동원(3)"/>
      <sheetName val="견적 (2)"/>
      <sheetName val="투찰보고"/>
      <sheetName val="분석기준"/>
      <sheetName val="예산명세서"/>
      <sheetName val="자료입력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ȱ_x005f_x0000_⠀恷_x005f_x0000__x"/>
      <sheetName val="간지"/>
      <sheetName val="업체별기성내역"/>
      <sheetName val="SDSS현황"/>
      <sheetName val="목록"/>
      <sheetName val="제품"/>
      <sheetName val="수량산출서 갑지"/>
      <sheetName val="9GNG운반"/>
      <sheetName val="1월"/>
      <sheetName val="정화조동내역"/>
      <sheetName val="인천제철"/>
      <sheetName val="1단계"/>
      <sheetName val="기준정보"/>
      <sheetName val="BB"/>
      <sheetName val="DB"/>
      <sheetName val="기성금내역서"/>
      <sheetName val="토공및가시설"/>
      <sheetName val="배수내역"/>
      <sheetName val="電気設備表"/>
      <sheetName val="LOB"/>
      <sheetName val="약품설비"/>
      <sheetName val="2000노임기준"/>
      <sheetName val="식재일위대가"/>
      <sheetName val="역T형교대(말뚝기초)"/>
      <sheetName val="사통"/>
      <sheetName val="금액"/>
      <sheetName val="3련 BOX"/>
      <sheetName val="연부97-1"/>
      <sheetName val="갑지1"/>
      <sheetName val="E.C.T DATA(DON'T TOUCH)"/>
      <sheetName val="VENDOR DATA"/>
      <sheetName val="SITE DATA"/>
      <sheetName val="Materials Categories"/>
      <sheetName val="미수"/>
      <sheetName val="ȱ_x005f_x005f_x005f_x0000_⠀恷_x005f_x005f_x005f_x0000__x"/>
      <sheetName val="ȱ_x005f_x005f_x005f_x005f_x005f_x005f_x005f_x0000_⠀恷_x0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단면 (2)"/>
      <sheetName val="단중"/>
      <sheetName val="영동(D)"/>
      <sheetName val="코드"/>
      <sheetName val="준공조서갑지"/>
      <sheetName val="의뢰서"/>
      <sheetName val="IMP(MAIN)"/>
      <sheetName val="IMP (REACTOR)"/>
      <sheetName val="Bellinfo"/>
      <sheetName val="MAT"/>
      <sheetName val="일일출역현황"/>
      <sheetName val="현장지지물물량"/>
      <sheetName val="화설내"/>
      <sheetName val="기계경비(시간당)"/>
      <sheetName val="램머"/>
      <sheetName val="30신설일위대가"/>
      <sheetName val="30집계표"/>
      <sheetName val="BOX 본체"/>
      <sheetName val="NSCP견적물량"/>
      <sheetName val="공사비예산서(토목분)"/>
      <sheetName val="I一般比"/>
      <sheetName val="CABLE SIZE-3"/>
      <sheetName val="설계예시"/>
      <sheetName val="물량산출서(SECL)"/>
      <sheetName val="물량산출서(감리단)"/>
      <sheetName val="물량산출서(SCS 실측)"/>
      <sheetName val="단가표(전기)"/>
      <sheetName val="DRUM"/>
      <sheetName val="건축"/>
      <sheetName val="집계"/>
      <sheetName val="판넬"/>
      <sheetName val="철골"/>
      <sheetName val="Sports"/>
      <sheetName val="아파트_1"/>
      <sheetName val="물가자료"/>
      <sheetName val="관리사무소"/>
      <sheetName val="입찰"/>
      <sheetName val="현경"/>
      <sheetName val="단중표"/>
      <sheetName val="잔기르바에바"/>
      <sheetName val="마감사양"/>
      <sheetName val="단양 00 아파트-세부내역"/>
      <sheetName val="Main Screen"/>
      <sheetName val="2000년1차"/>
      <sheetName val="연습"/>
      <sheetName val="N賃率-職"/>
      <sheetName val="자료"/>
      <sheetName val="Piping Design Data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Template"/>
      <sheetName val="사업부배부A"/>
      <sheetName val="도급,하도급 예정금액"/>
      <sheetName val="실행간접비"/>
      <sheetName val="기성내역서표지"/>
      <sheetName val="자재_계약일(2015_04_27)"/>
      <sheetName val="산출"/>
      <sheetName val="자재_계약일(2015_07_07)"/>
      <sheetName val="PROJECT BRIEF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변경내역서(유림3년차)"/>
      <sheetName val="중갑지"/>
      <sheetName val="현장경상비"/>
      <sheetName val="경비2내역"/>
      <sheetName val="일위목록"/>
      <sheetName val="1,2공구원가계산서"/>
      <sheetName val="1공구산출내역서"/>
      <sheetName val="표"/>
      <sheetName val="3.도급비집계표"/>
      <sheetName val="태화42 "/>
      <sheetName val="FAB4생산"/>
      <sheetName val="안산기계장치"/>
      <sheetName val="(4-2)열관류값-2"/>
      <sheetName val="도봉2지구"/>
      <sheetName val="에너지동"/>
      <sheetName val="1.설계기준"/>
      <sheetName val="TOWER 10TON"/>
      <sheetName val="TOWER 12TON"/>
      <sheetName val="평당자료"/>
      <sheetName val="JIB CRANE,HOIST"/>
      <sheetName val="옥외 전력간선공사"/>
      <sheetName val="토목내역"/>
      <sheetName val="118.세금과공과"/>
      <sheetName val="108.수선비"/>
      <sheetName val="P.M 별"/>
      <sheetName val="NYS"/>
      <sheetName val="대차대조표"/>
      <sheetName val="내역(한신APT)"/>
      <sheetName val="가로등내역서"/>
      <sheetName val="cal"/>
      <sheetName val="AD표준단가"/>
      <sheetName val="서림실행"/>
      <sheetName val="JA8-4"/>
      <sheetName val="납부서"/>
      <sheetName val="ABUT수량-A1"/>
      <sheetName val="합천내역"/>
      <sheetName val="투찰(하수)"/>
      <sheetName val="예산실적전체당월"/>
      <sheetName val="배합비(99-05-25)"/>
      <sheetName val="과천MAIN"/>
      <sheetName val="여과지동"/>
      <sheetName val="설계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YANG"/>
      <sheetName val="현장관리비"/>
      <sheetName val="0.인사노무관리"/>
      <sheetName val="S3-A공사계약내역서_일반배관공사.xlsx"/>
      <sheetName val="일위대가목록"/>
      <sheetName val="터널조도"/>
      <sheetName val="tank list"/>
      <sheetName val="영업소실적"/>
      <sheetName val="신규일위대가"/>
      <sheetName val="1.취수장"/>
      <sheetName val="적격점수&lt;300억미만&gt;"/>
      <sheetName val="설계산출표지"/>
      <sheetName val="금호"/>
      <sheetName val="archi(본사)"/>
      <sheetName val="정산내역서"/>
      <sheetName val="집계표(공장동)"/>
      <sheetName val="전기"/>
      <sheetName val="약품공급2"/>
      <sheetName val="서∼군(2)"/>
      <sheetName val="장비"/>
      <sheetName val="간선계산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DATASPEC(VT1)"/>
      <sheetName val="단가조사"/>
      <sheetName val="PROCURE"/>
      <sheetName val="Macro7"/>
      <sheetName val="요율표"/>
      <sheetName val="6PILE__(돌출)2"/>
      <sheetName val="공사개요_(2)2"/>
      <sheetName val="아파트_2"/>
      <sheetName val="건축내역서_(경제상무실)2"/>
      <sheetName val="1-4_익월예상투자대비1"/>
      <sheetName val="1-2_투입대비1"/>
      <sheetName val="전_기2"/>
      <sheetName val="1차_내역서2"/>
      <sheetName val="TDI_ISBL2"/>
      <sheetName val="노원열병합__건축공사기성내역서2"/>
      <sheetName val="4_LINE2"/>
      <sheetName val="7_th2"/>
      <sheetName val="1_설계조건2"/>
      <sheetName val="2_하중산정2"/>
      <sheetName val="입찰내역_발주처_양식2"/>
      <sheetName val="1__설계조건_2_단면가정_3__하중계산2"/>
      <sheetName val="DATA_입력란2"/>
      <sheetName val="3_공통공사대비2"/>
      <sheetName val="PAD_TR보호대기초2"/>
      <sheetName val="2_대외공문2"/>
      <sheetName val="Customer_Databas2"/>
      <sheetName val="97_사업추정(WEKI)2"/>
      <sheetName val="2__주요공지（主要公告）2"/>
      <sheetName val="4__접지매립내역（接地工程清单）2"/>
      <sheetName val="할증_2"/>
      <sheetName val="중기조종사_단위단가2"/>
      <sheetName val="1062-X방향_2"/>
      <sheetName val="기계설비공사_집계표2"/>
      <sheetName val="조도계산서_(도서)2"/>
      <sheetName val="Sheet1_(2)2"/>
      <sheetName val="BSD_(2)2"/>
      <sheetName val="A(Rev_3)1"/>
      <sheetName val="5_전사투자계획종함안2"/>
      <sheetName val="전체내역_(2)1"/>
      <sheetName val="현장관리비_산출내역2"/>
      <sheetName val="BASIC_(2)2"/>
      <sheetName val="unit_41"/>
      <sheetName val="화재_탐지_설비2"/>
      <sheetName val="_냉각수펌프2"/>
      <sheetName val="BEND_LOSS2"/>
      <sheetName val="실행예산대비_발주내역1차2"/>
      <sheetName val="건축공사_집계표2"/>
      <sheetName val="3_건축(현장안)2"/>
      <sheetName val="실행내역서_2"/>
      <sheetName val="Table_3-EQ2"/>
      <sheetName val="(참조)PH-2_12K_150406_제원1"/>
      <sheetName val="220_(2)1"/>
      <sheetName val="1_가로등수량1"/>
      <sheetName val="코드_및_제품_목록1"/>
      <sheetName val="제품_정보1"/>
      <sheetName val="16년_부문별1"/>
      <sheetName val="신규_품목_합산자재1"/>
      <sheetName val="신규_품목_일위대가1"/>
      <sheetName val="FRP_PIPING_일위대가1"/>
      <sheetName val="전선_및_전선관1"/>
      <sheetName val="조건표_(2)1"/>
      <sheetName val="CP-E2_(품셈표)1"/>
      <sheetName val="BA_1"/>
      <sheetName val="용접POINT산출_(2)1"/>
      <sheetName val="투자,기성_실적1"/>
      <sheetName val="Gia_vat_tu1"/>
      <sheetName val="견적_(2)1"/>
      <sheetName val="수량산출서_갑지1"/>
      <sheetName val="전체_수금1"/>
      <sheetName val="3련_BOX1"/>
      <sheetName val="계획대비_정산비용(합계)1"/>
      <sheetName val="시실누(모)_1"/>
      <sheetName val="2__주요공지1"/>
      <sheetName val="개선안_개요1"/>
      <sheetName val="전차선로_물량표1"/>
      <sheetName val="E_C_T_DATA(DON'T_TOUCH)1"/>
      <sheetName val="VENDOR_DATA1"/>
      <sheetName val="SITE_DATA1"/>
      <sheetName val="Materials_Categories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단면_(2)1"/>
      <sheetName val="6PILE__(돌출)1"/>
      <sheetName val="공사개요_(2)1"/>
      <sheetName val="건축내역서_(경제상무실)1"/>
      <sheetName val="1-4_익월예상투자대비"/>
      <sheetName val="1-2_투입대비"/>
      <sheetName val="전_기1"/>
      <sheetName val="1차_내역서1"/>
      <sheetName val="TDI_ISBL1"/>
      <sheetName val="노원열병합__건축공사기성내역서1"/>
      <sheetName val="4_LINE1"/>
      <sheetName val="7_th1"/>
      <sheetName val="1_설계조건1"/>
      <sheetName val="2_하중산정1"/>
      <sheetName val="입찰내역_발주처_양식1"/>
      <sheetName val="1__설계조건_2_단면가정_3__하중계산1"/>
      <sheetName val="DATA_입력란1"/>
      <sheetName val="3_공통공사대비1"/>
      <sheetName val="PAD_TR보호대기초1"/>
      <sheetName val="2_대외공문1"/>
      <sheetName val="Customer_Databas1"/>
      <sheetName val="97_사업추정(WEKI)1"/>
      <sheetName val="2__주요공지（主要公告）1"/>
      <sheetName val="4__접지매립내역（接地工程清单）1"/>
      <sheetName val="할증_1"/>
      <sheetName val="중기조종사_단위단가1"/>
      <sheetName val="1062-X방향_1"/>
      <sheetName val="기계설비공사_집계표1"/>
      <sheetName val="조도계산서_(도서)1"/>
      <sheetName val="Sheet1_(2)1"/>
      <sheetName val="BSD_(2)1"/>
      <sheetName val="A(Rev_3)"/>
      <sheetName val="5_전사투자계획종함안1"/>
      <sheetName val="전체내역_(2)"/>
      <sheetName val="현장관리비_산출내역1"/>
      <sheetName val="BASIC_(2)1"/>
      <sheetName val="unit_4"/>
      <sheetName val="화재_탐지_설비1"/>
      <sheetName val="_냉각수펌프1"/>
      <sheetName val="BEND_LOSS1"/>
      <sheetName val="실행예산대비_발주내역1차1"/>
      <sheetName val="건축공사_집계표1"/>
      <sheetName val="3_건축(현장안)1"/>
      <sheetName val="실행내역서_1"/>
      <sheetName val="Table_3-EQ1"/>
      <sheetName val="(참조)PH-2_12K_150406_제원"/>
      <sheetName val="220_(2)"/>
      <sheetName val="1_가로등수량"/>
      <sheetName val="코드_및_제품_목록"/>
      <sheetName val="제품_정보"/>
      <sheetName val="16년_부문별"/>
      <sheetName val="신규_품목_합산자재"/>
      <sheetName val="신규_품목_일위대가"/>
      <sheetName val="FRP_PIPING_일위대가"/>
      <sheetName val="전선_및_전선관"/>
      <sheetName val="조건표_(2)"/>
      <sheetName val="CP-E2_(품셈표)"/>
      <sheetName val="BA_"/>
      <sheetName val="용접POINT산출_(2)"/>
      <sheetName val="투자,기성_실적"/>
      <sheetName val="Gia_vat_tu"/>
      <sheetName val="견적_(2)"/>
      <sheetName val="수량산출서_갑지"/>
      <sheetName val="전체_수금"/>
      <sheetName val="3련_BOX"/>
      <sheetName val="계획대비_정산비용(합계)"/>
      <sheetName val="시실누(모)_"/>
      <sheetName val="2__주요공지"/>
      <sheetName val="개선안_개요"/>
      <sheetName val="전차선로_물량표"/>
      <sheetName val="E_C_T_DATA(DON'T_TOUCH)"/>
      <sheetName val="VENDOR_DATA"/>
      <sheetName val="SITE_DATA"/>
      <sheetName val="Materials_Categories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단면_(2)"/>
      <sheetName val="도"/>
      <sheetName val="설명서 "/>
      <sheetName val="계약내역서(을지)"/>
      <sheetName val="원가"/>
      <sheetName val="00 PAYMENT CERTI"/>
      <sheetName val="06 내역서"/>
      <sheetName val="낙찰율적용표"/>
      <sheetName val="Dulieu"/>
      <sheetName val="ȱ_x005f_x005f_x005f_x005f_x005f_x005f_x005f_x005f_x005f"/>
      <sheetName val="ȱ_x005f_x005f_x005f_x0000_⠀恷_x0"/>
      <sheetName val="ȱ_x005f_x005f_x005f_x005f_x005f"/>
      <sheetName val="당진1,2호기전선관설치및접지4차공사내역서-을지"/>
      <sheetName val="8.PILE  (돌출)"/>
      <sheetName val="1TL종점(1)"/>
      <sheetName val="판매시설"/>
      <sheetName val="PH-2"/>
      <sheetName val="물산(원가집계표)"/>
      <sheetName val="장비당단가 (1)"/>
      <sheetName val="전체"/>
      <sheetName val="구분"/>
      <sheetName val="EF-Sel"/>
      <sheetName val="SF-Sel"/>
      <sheetName val="외주기성고을지"/>
      <sheetName val="제-노임"/>
      <sheetName val="제직재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갈현동"/>
      <sheetName val="강관 및 부속"/>
      <sheetName val="단가대비"/>
      <sheetName val="기초코드"/>
      <sheetName val="날개벽수량표"/>
      <sheetName val="제조원가(확인)"/>
      <sheetName val="적정심사"/>
      <sheetName val="SCH"/>
      <sheetName val="Trend(ALTS)"/>
      <sheetName val="Trend(LBS)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입출재고현황 (2)"/>
      <sheetName val="자재표"/>
      <sheetName val="입력쉬트"/>
      <sheetName val="분류표"/>
      <sheetName val="식재인부"/>
      <sheetName val="0. Level"/>
      <sheetName val="96수출"/>
      <sheetName val="Q-Code"/>
      <sheetName val="RE9604"/>
      <sheetName val="118_세금과공과"/>
      <sheetName val="108_수선비"/>
      <sheetName val="평균단가"/>
      <sheetName val="총MM실적(일반건축)"/>
      <sheetName val="Sheet6"/>
      <sheetName val="Load-Sum"/>
      <sheetName val="Front"/>
      <sheetName val="시설물기초"/>
      <sheetName val="간접비 총괄표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실행DB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경비"/>
      <sheetName val="7단가"/>
      <sheetName val="차이분석(수정)"/>
      <sheetName val="일위대가(계측기설치)"/>
      <sheetName val="공사일보 취합용"/>
      <sheetName val="SW-TEO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유효성목록"/>
      <sheetName val="Mc1"/>
      <sheetName val="직원급여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사업계획손익"/>
      <sheetName val="03년3Q누계급여"/>
      <sheetName val="부하(성남)"/>
      <sheetName val="단가비교표"/>
      <sheetName val="3004-2"/>
      <sheetName val="주경기-오배수"/>
      <sheetName val="단독"/>
      <sheetName val="계정참조"/>
      <sheetName val="공사원가"/>
      <sheetName val="G_R300경비"/>
      <sheetName val="원가계산서_"/>
      <sheetName val="내역서01"/>
      <sheetName val="소일위대가코드표"/>
      <sheetName val="수목데이타_2"/>
      <sheetName val="수목표준대가"/>
      <sheetName val="공정집계_국별"/>
      <sheetName val="단가_및_재료비"/>
      <sheetName val="1,2,3,4,5단위수량"/>
      <sheetName val="정보"/>
      <sheetName val="Macro(전선)"/>
      <sheetName val="입력시트"/>
      <sheetName val="노무비단가"/>
      <sheetName val="단가 "/>
      <sheetName val="물량산출서(SCS_실측)"/>
      <sheetName val="단양_00_아파트-세부내역"/>
      <sheetName val="Main_Screen"/>
      <sheetName val="Piping_Design_Data"/>
      <sheetName val="동양제과_12월"/>
      <sheetName val="롯데제과_12월"/>
      <sheetName val="크라운제과_12월"/>
      <sheetName val="해태제과_12월"/>
      <sheetName val="도급,하도급_예정금액"/>
      <sheetName val="PROJECT_BRIEF"/>
      <sheetName val="59A_(현관)"/>
      <sheetName val="3_도급비집계표"/>
      <sheetName val="태화42_"/>
      <sheetName val="1_설계기준"/>
      <sheetName val="TOWER_10TON"/>
      <sheetName val="TOWER_12TON"/>
      <sheetName val="JIB_CRANE,HOIST"/>
      <sheetName val="옥외_전력간선공사"/>
      <sheetName val="P_M_별"/>
      <sheetName val="0_인사노무관리"/>
      <sheetName val="S3-A공사계약내역서_일반배관공사_xlsx"/>
      <sheetName val="tank_list"/>
      <sheetName val="1_취수장"/>
      <sheetName val="FAB_1F"/>
      <sheetName val="FAB_2F"/>
      <sheetName val="FAB_3F"/>
      <sheetName val="FAB_18_35F"/>
      <sheetName val="유도등_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PRESSURE GAUGE"/>
      <sheetName val="Benchmark"/>
      <sheetName val="Consumables"/>
      <sheetName val="12CGOU"/>
      <sheetName val="205동"/>
      <sheetName val="전력간선 설비공사电力_x0000__x0000_"/>
      <sheetName val="DANGA"/>
      <sheetName val="DATA1"/>
      <sheetName val="공정진도현황(2069)"/>
      <sheetName val="공정진도현황(2단계2차)"/>
      <sheetName val="철근"/>
      <sheetName val="날개벽(시점좌측)"/>
      <sheetName val="Conduit_Size선정"/>
      <sheetName val="ȱ_x0000_⠀恷_x0000__x"/>
      <sheetName val="-"/>
      <sheetName val="방배동내역(리라)"/>
      <sheetName val="부대공사총괄"/>
      <sheetName val="현장경비"/>
      <sheetName val="건축공사집계표"/>
      <sheetName val="방배동내역 (총괄)"/>
      <sheetName val="분전함신설"/>
      <sheetName val="접지1종"/>
      <sheetName val="RR1-3집계"/>
      <sheetName val="B"/>
      <sheetName val="목록별산출서(CM)"/>
      <sheetName val="노임근거(CM)"/>
      <sheetName val="산출집계(CM)"/>
      <sheetName val="합산자재 (2)"/>
      <sheetName val="목록별산출서(시공사)"/>
      <sheetName val="예산羘ↈ✈"/>
      <sheetName val="예산ၒ_x0000__x0000_"/>
      <sheetName val="토목내역서 (도급단가) (2)"/>
      <sheetName val="FLAT_1.0"/>
      <sheetName val="공사비증감"/>
      <sheetName val="단가산출서(기계)"/>
      <sheetName val="우수"/>
      <sheetName val="플랜트 설치"/>
      <sheetName val="여주방향"/>
      <sheetName val="남양내역"/>
      <sheetName val="CAUDIT"/>
      <sheetName val="이슈항목"/>
      <sheetName val="2중 유효성검사 방법"/>
      <sheetName val="노무비(전지2기)"/>
      <sheetName val="업무분장"/>
      <sheetName val="도급견적가"/>
      <sheetName val="Financ. Overview"/>
      <sheetName val="Toolbox"/>
      <sheetName val="인건비(VOICE)"/>
      <sheetName val="부대공Ⅱ"/>
      <sheetName val="工程量"/>
      <sheetName val=" 비계 설치"/>
      <sheetName val="공통부대비"/>
      <sheetName val="T형( 파일기초) 공현1교"/>
      <sheetName val="수지표 기본틀"/>
      <sheetName val="TBN실행"/>
      <sheetName val="DESIGN CRITERIA"/>
      <sheetName val="대가표"/>
      <sheetName val="단위중량"/>
      <sheetName val="증감내역"/>
      <sheetName val="물량표"/>
      <sheetName val="청주(철골발주의뢰서)"/>
      <sheetName val="2003.4.1."/>
      <sheetName val="일위대가(4층원격)"/>
      <sheetName val="공조기"/>
      <sheetName val="백암비스타내역"/>
      <sheetName val="118_세금과공과1"/>
      <sheetName val="108_수선비1"/>
      <sheetName val="7_경제성결과"/>
      <sheetName val="총_원가계산"/>
      <sheetName val="강관_및_부속"/>
      <sheetName val="입출재고현황_(2)"/>
      <sheetName val="장비당단가_(1)"/>
      <sheetName val="0__Level"/>
      <sheetName val="CFS3"/>
      <sheetName val="배관내경(삭제하지마시오)"/>
      <sheetName val="Vendor"/>
      <sheetName val="1-7"/>
      <sheetName val="6MONTHS"/>
      <sheetName val="아파트_3"/>
      <sheetName val="공사개요_(2)3"/>
      <sheetName val="1차_내역서3"/>
      <sheetName val="TDI_ISBL3"/>
      <sheetName val="노원열병합__건축공사기성내역서3"/>
      <sheetName val="4_LINE3"/>
      <sheetName val="7_th3"/>
      <sheetName val="전_기3"/>
      <sheetName val="1_설계조건3"/>
      <sheetName val="2_하중산정3"/>
      <sheetName val="97_사업추정(WEKI)3"/>
      <sheetName val="Customer_Databas3"/>
      <sheetName val="건축내역서_(경제상무실)3"/>
      <sheetName val="2__주요공지（主要公告）3"/>
      <sheetName val="4__접지매립내역（接地工程清单）3"/>
      <sheetName val="할증_3"/>
      <sheetName val="6PILE__(돌출)3"/>
      <sheetName val="실행내역서_3"/>
      <sheetName val="BSD_(2)3"/>
      <sheetName val="BASIC_(2)3"/>
      <sheetName val="3_공통공사대비3"/>
      <sheetName val="입찰내역_발주처_양식3"/>
      <sheetName val="1__설계조건_2_단면가정_3__하중계산3"/>
      <sheetName val="DATA_입력란3"/>
      <sheetName val="화재_탐지_설비3"/>
      <sheetName val="_냉각수펌프3"/>
      <sheetName val="2_대외공문3"/>
      <sheetName val="5_전사투자계획종함안3"/>
      <sheetName val="BEND_LOSS3"/>
      <sheetName val="실행예산대비_발주내역1차3"/>
      <sheetName val="건축공사_집계표3"/>
      <sheetName val="3_건축(현장안)3"/>
      <sheetName val="Table_3-EQ3"/>
      <sheetName val="조도계산서_(도서)3"/>
      <sheetName val="현장관리비_산출내역3"/>
      <sheetName val="(참조)PH-2_12K_150406_제원2"/>
      <sheetName val="unit_42"/>
      <sheetName val="FRP_PIPING_일위대가2"/>
      <sheetName val="전선_및_전선관2"/>
      <sheetName val="A(Rev_3)2"/>
      <sheetName val="전체내역_(2)2"/>
      <sheetName val="220_(2)2"/>
      <sheetName val="1_가로등수량2"/>
      <sheetName val="코드_및_제품_목록2"/>
      <sheetName val="Gia_vat_tu2"/>
      <sheetName val="BA_2"/>
      <sheetName val="용접POINT산출_(2)2"/>
      <sheetName val="투자,기성_실적2"/>
      <sheetName val="신규_품목_합산자재2"/>
      <sheetName val="신규_품목_일위대가2"/>
      <sheetName val="계획대비_정산비용(합계)2"/>
      <sheetName val="시실누(모)_2"/>
      <sheetName val="제품_정보2"/>
      <sheetName val="16년_부문별2"/>
      <sheetName val="조건표_(2)2"/>
      <sheetName val="CP-E2_(품셈표)2"/>
      <sheetName val="2__주요공지2"/>
      <sheetName val="개선안_개요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FAB_1F1"/>
      <sheetName val="FAB_2F1"/>
      <sheetName val="FAB_3F1"/>
      <sheetName val="FAB_18_35F1"/>
      <sheetName val="유도등_1"/>
      <sheetName val="물량산출서(SCS_실측)1"/>
      <sheetName val="단양_00_아파트-세부내역1"/>
      <sheetName val="Main_Screen1"/>
      <sheetName val="Piping_Design_Data1"/>
      <sheetName val="동양제과_12월1"/>
      <sheetName val="롯데제과_12월1"/>
      <sheetName val="크라운제과_12월1"/>
      <sheetName val="해태제과_12월1"/>
      <sheetName val="도급,하도급_예정금액1"/>
      <sheetName val="PROJECT_BRIEF1"/>
      <sheetName val="59A_(현관)1"/>
      <sheetName val="3_도급비집계표1"/>
      <sheetName val="태화42_1"/>
      <sheetName val="1_설계기준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0_인사노무관리1"/>
      <sheetName val="S3-A공사계약내역서_일반배관공사_xlsx1"/>
      <sheetName val="tank_list1"/>
      <sheetName val="1_취수장1"/>
      <sheetName val="IMP_(REACTOR)1"/>
      <sheetName val="장비당단가_(1)1"/>
      <sheetName val="7_경제성결과1"/>
      <sheetName val="총_원가계산1"/>
      <sheetName val="강관_및_부속1"/>
      <sheetName val="단가_및_재료비1"/>
      <sheetName val="입출재고현황_(2)1"/>
      <sheetName val="0__Level1"/>
      <sheetName val="간접비_총괄표1"/>
      <sheetName val="배수관접합및부설__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#1_인원(당초)1"/>
      <sheetName val="#6_해외출장비1"/>
      <sheetName val="#2,3,4_냉방비,가설건물,숙소1"/>
      <sheetName val="배관배선_단가조사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간접비_총괄표"/>
      <sheetName val="배수관접합및부설__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#1_인원(당초)"/>
      <sheetName val="#6_해외출장비"/>
      <sheetName val="#2,3,4_냉방비,가설건물,숙소"/>
      <sheetName val="배관배선_단가조사"/>
      <sheetName val="고정1"/>
      <sheetName val="세금자료"/>
      <sheetName val="w't table"/>
      <sheetName val="VS배관내역서"/>
      <sheetName val="U-TYPE(1)"/>
      <sheetName val="예산"/>
      <sheetName val="준공조서"/>
      <sheetName val="공사준공계"/>
      <sheetName val="준공검사보고서"/>
      <sheetName val="NEYOK"/>
      <sheetName val="PRİSMA"/>
      <sheetName val="(원문)특허실용의장"/>
      <sheetName val="G.R300경비"/>
      <sheetName val="C97상"/>
      <sheetName val="FAB_I"/>
      <sheetName val="FitOutConfCentre"/>
      <sheetName val="BM"/>
      <sheetName val="VC2 8.98"/>
      <sheetName val="96까지"/>
      <sheetName val="97년"/>
      <sheetName val="98이후"/>
      <sheetName val="실수량대입 (2)"/>
      <sheetName val="한강운반비"/>
      <sheetName val="escon"/>
      <sheetName val="ȱ_x005f_x0000_⠀恷_x0"/>
      <sheetName val="ȱ_x005f_x005f_x005f"/>
      <sheetName val="IMP (RE_x0000__x0000__x0005__x0000_閰貌"/>
      <sheetName val="IMP (RE_x0000__x0000__x0005__x0000_ධ臹"/>
      <sheetName val="식재೚_x0002_退嚢"/>
      <sheetName val="용지매수"/>
      <sheetName val="유치원내역"/>
      <sheetName val="00노임기준"/>
      <sheetName val="투찰내역"/>
      <sheetName val="현장운영비 산출"/>
      <sheetName val="기준단가현황"/>
      <sheetName val="공사개요(입력)"/>
      <sheetName val="단가조사서"/>
      <sheetName val="용산3(영광)"/>
      <sheetName val="협조전"/>
      <sheetName val="EE-PROP"/>
      <sheetName val="매립"/>
      <sheetName val="부산제일극장"/>
      <sheetName val="3BL공동구 수량"/>
      <sheetName val=" 견적서"/>
      <sheetName val="공통비총괄표"/>
      <sheetName val="HRG BAHAN &amp; UPAH okk"/>
      <sheetName val="Analis Kusen okk"/>
      <sheetName val="Notes"/>
      <sheetName val="Bhn.Pmsrn"/>
      <sheetName val="대로근거"/>
      <sheetName val="중로근거"/>
      <sheetName val="Ref"/>
      <sheetName val="분전반"/>
      <sheetName val="공정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부표단가"/>
      <sheetName val="유효성핕터"/>
      <sheetName val="단가표 (2)"/>
      <sheetName val="Sheet1_(2)3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Cash2"/>
      <sheetName val="Z"/>
      <sheetName val="M-Price-Electrical"/>
      <sheetName val="아파트_4"/>
      <sheetName val="공사개요_(2)4"/>
      <sheetName val="TDI_ISBL4"/>
      <sheetName val="1차_내역서4"/>
      <sheetName val="노원열병합__건축공사기성내역서4"/>
      <sheetName val="전_기4"/>
      <sheetName val="1_설계조건4"/>
      <sheetName val="2_하중산정4"/>
      <sheetName val="건축내역서_(경제상무실)4"/>
      <sheetName val="4_LINE4"/>
      <sheetName val="7_th4"/>
      <sheetName val="Customer_Databas4"/>
      <sheetName val="입찰내역_발주처_양식4"/>
      <sheetName val="1__설계조건_2_단면가정_3__하중계산4"/>
      <sheetName val="DATA_입력란4"/>
      <sheetName val="97_사업추정(WEKI)4"/>
      <sheetName val="6PILE__(돌출)4"/>
      <sheetName val="할증_4"/>
      <sheetName val="2__주요공지（主要公告）4"/>
      <sheetName val="4__접지매립내역（接地工程清单）4"/>
      <sheetName val="BSD_(2)4"/>
      <sheetName val="BASIC_(2)4"/>
      <sheetName val="실행내역서_4"/>
      <sheetName val="현장관리비_산출내역4"/>
      <sheetName val="화재_탐지_설비4"/>
      <sheetName val="_냉각수펌프4"/>
      <sheetName val="2_대외공문4"/>
      <sheetName val="5_전사투자계획종함안4"/>
      <sheetName val="BEND_LOSS4"/>
      <sheetName val="실행예산대비_발주내역1차4"/>
      <sheetName val="건축공사_집계표4"/>
      <sheetName val="3_건축(현장안)4"/>
      <sheetName val="조도계산서_(도서)4"/>
      <sheetName val="3_공통공사대비4"/>
      <sheetName val="Table_3-EQ4"/>
      <sheetName val="(참조)PH-2_12K_150406_제원3"/>
      <sheetName val="unit_43"/>
      <sheetName val="220_(2)3"/>
      <sheetName val="A(Rev_3)3"/>
      <sheetName val="전체내역_(2)3"/>
      <sheetName val="1_가로등수량3"/>
      <sheetName val="코드_및_제품_목록3"/>
      <sheetName val="FRP_PIPING_일위대가3"/>
      <sheetName val="전선_및_전선관3"/>
      <sheetName val="Gia_vat_tu3"/>
      <sheetName val="BA_3"/>
      <sheetName val="용접POINT산출_(2)3"/>
      <sheetName val="투자,기성_실적3"/>
      <sheetName val="신규_품목_합산자재3"/>
      <sheetName val="신규_품목_일위대가3"/>
      <sheetName val="제품_정보3"/>
      <sheetName val="16년_부문별3"/>
      <sheetName val="조건표_(2)3"/>
      <sheetName val="CP-E2_(품셈표)3"/>
      <sheetName val="계획대비_정산비용(합계)3"/>
      <sheetName val="시실누(모)_3"/>
      <sheetName val="00_PAYMENT_CERTI2"/>
      <sheetName val="06_내역서2"/>
      <sheetName val="2__주요공지3"/>
      <sheetName val="개선안_개요3"/>
      <sheetName val="FAB_1F2"/>
      <sheetName val="FAB_2F2"/>
      <sheetName val="FAB_3F2"/>
      <sheetName val="FAB_18_35F2"/>
      <sheetName val="유도등_2"/>
      <sheetName val="물량산출서(SCS_실측)2"/>
      <sheetName val="단양_00_아파트-세부내역2"/>
      <sheetName val="Main_Screen2"/>
      <sheetName val="Piping_Design_Data2"/>
      <sheetName val="동양제과_12월2"/>
      <sheetName val="롯데제과_12월2"/>
      <sheetName val="크라운제과_12월2"/>
      <sheetName val="해태제과_12월2"/>
      <sheetName val="도급,하도급_예정금액2"/>
      <sheetName val="PROJECT_BRIEF2"/>
      <sheetName val="59A_(현관)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0_인사노무관리2"/>
      <sheetName val="S3-A공사계약내역서_일반배관공사_xlsx2"/>
      <sheetName val="tank_list2"/>
      <sheetName val="1_취수장2"/>
      <sheetName val="CABLE_SIZE-32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IMP_(REACTOR)2"/>
      <sheetName val="PRESSURE_GAUGE"/>
      <sheetName val="장비당단가_(1)2"/>
      <sheetName val="7_경제성결과2"/>
      <sheetName val="총_원가계산2"/>
      <sheetName val="강관_및_부속2"/>
      <sheetName val="단가_및_재료비2"/>
      <sheetName val="입출재고현황_(2)2"/>
      <sheetName val="0__Level2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#1_인원(당초)2"/>
      <sheetName val="#6_해외출장비2"/>
      <sheetName val="#2,3,4_냉방비,가설건물,숙소2"/>
      <sheetName val="배관배선_단가조사2"/>
      <sheetName val="설명서_"/>
      <sheetName val="8_PILE__(돌출)"/>
      <sheetName val="단가_"/>
      <sheetName val="방배동내역_(총괄)"/>
      <sheetName val="w't_table"/>
      <sheetName val="토목내역서_(도급단가)_(2)"/>
      <sheetName val="FLAT_1_0"/>
      <sheetName val="플랜트_설치"/>
      <sheetName val="2중_유효성검사_방법"/>
      <sheetName val="Financ__Overview"/>
      <sheetName val="_비계_설치"/>
      <sheetName val="T형(_파일기초)_공현1교"/>
      <sheetName val="수지표_기본틀"/>
      <sheetName val="DESIGN_CRITERIA"/>
      <sheetName val="2003_4_1_"/>
      <sheetName val="Para"/>
      <sheetName val="125x125"/>
      <sheetName val="Earthwork"/>
      <sheetName val="도로경계단위"/>
      <sheetName val="BQMPALOC"/>
      <sheetName val="#ССЫЛКА"/>
      <sheetName val="부영5블럭-1"/>
      <sheetName val="ENE-CAL"/>
      <sheetName val="재무비율분석데이타"/>
      <sheetName val="1층LOAD"/>
      <sheetName val="결재판(삭제하지말아주세요)"/>
      <sheetName val="기초자료입력"/>
      <sheetName val="A"/>
      <sheetName val="MixBed"/>
      <sheetName val="구성비"/>
      <sheetName val="품의"/>
      <sheetName val="IMP (RE"/>
      <sheetName val="공사개요_(2)5"/>
      <sheetName val="아파트_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화재_탐지_설비5"/>
      <sheetName val="_냉각수펌프5"/>
      <sheetName val="2_대외공문5"/>
      <sheetName val="5_전사투자계획종함안5"/>
      <sheetName val="BEND_LOSS5"/>
      <sheetName val="실행예산대비_발주내역1차5"/>
      <sheetName val="건축공사_집계표5"/>
      <sheetName val="3_건축(현장안)5"/>
      <sheetName val="실행내역서_5"/>
      <sheetName val="조도계산서_(도서)5"/>
      <sheetName val="3_공통공사대비5"/>
      <sheetName val="Table_3-EQ5"/>
      <sheetName val="(참조)PH-2_12K_150406_제원4"/>
      <sheetName val="Sheet1_(2)4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전선_및_전선관4"/>
      <sheetName val="A(Rev_3)4"/>
      <sheetName val="220_(2)4"/>
      <sheetName val="전체내역_(2)4"/>
      <sheetName val="1_가로등수량4"/>
      <sheetName val="코드_및_제품_목록4"/>
      <sheetName val="BA_4"/>
      <sheetName val="용접POINT산출_(2)4"/>
      <sheetName val="투자,기성_실적4"/>
      <sheetName val="신규_품목_합산자재4"/>
      <sheetName val="신규_품목_일위대가4"/>
      <sheetName val="Gia_vat_tu4"/>
      <sheetName val="계획대비_정산비용(합계)4"/>
      <sheetName val="시실누(모)_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2__주요공지4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물량산출서(SCS_실측)3"/>
      <sheetName val="단양_00_아파트-세부내역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도급,하도급_예정금액3"/>
      <sheetName val="PROJECT_BRIEF3"/>
      <sheetName val="59A_(현관)3"/>
      <sheetName val="3_도급비집계표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0_인사노무관리3"/>
      <sheetName val="S3-A공사계약내역서_일반배관공사_xlsx3"/>
      <sheetName val="tank_list3"/>
      <sheetName val="1_취수장3"/>
      <sheetName val="Materials_Categories3"/>
      <sheetName val="E_C_T_DATA(DON'T_TOUCH)3"/>
      <sheetName val="VENDOR_DATA3"/>
      <sheetName val="SITE_DATA3"/>
      <sheetName val="IMP_(REACTOR)3"/>
      <sheetName val="3련_BOX3"/>
      <sheetName val="장비당단가_(1)3"/>
      <sheetName val="7_경제성결과3"/>
      <sheetName val="총_원가계산3"/>
      <sheetName val="강관_및_부속3"/>
      <sheetName val="단가_및_재료비3"/>
      <sheetName val="입출재고현황_(2)3"/>
      <sheetName val="0__Level3"/>
      <sheetName val="간접비_총괄표3"/>
      <sheetName val="배수관접합및부설__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#1_인원(당초)3"/>
      <sheetName val="#6_해외출장비3"/>
      <sheetName val="#2,3,4_냉방비,가설건물,숙소3"/>
      <sheetName val="배관배선_단가조사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아파트_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단양_00_아파트-세부내역4"/>
      <sheetName val="Main_Screen4"/>
      <sheetName val="Piping_Design_Data4"/>
      <sheetName val="동양제과_12월4"/>
      <sheetName val="롯데제과_12월4"/>
      <sheetName val="크라운제과_12월4"/>
      <sheetName val="해태제과_12월4"/>
      <sheetName val="도급,하도급_예정금액4"/>
      <sheetName val="PROJECT_BRIEF4"/>
      <sheetName val="59A_(현관)4"/>
      <sheetName val="3_도급비집계표4"/>
      <sheetName val="태화42_4"/>
      <sheetName val="1_설계기준4"/>
      <sheetName val="TOWER_10TON4"/>
      <sheetName val="TOWER_12TON4"/>
      <sheetName val="JIB_CRANE,HOIST4"/>
      <sheetName val="옥외_전력간선공사4"/>
      <sheetName val="118_세금과공과5"/>
      <sheetName val="108_수선비5"/>
      <sheetName val="P_M_별4"/>
      <sheetName val="0_인사노무관리4"/>
      <sheetName val="S3-A공사계약내역서_일반배관공사_xlsx4"/>
      <sheetName val="tank_list4"/>
      <sheetName val="1_취수장4"/>
      <sheetName val="Materials_Categories4"/>
      <sheetName val="E_C_T_DATA(DON'T_TOUCH)4"/>
      <sheetName val="VENDOR_DATA4"/>
      <sheetName val="SITE_DATA4"/>
      <sheetName val="IMP_(REACTOR)4"/>
      <sheetName val="3련_BOX4"/>
      <sheetName val="장비당단가_(1)4"/>
      <sheetName val="7_경제성결과4"/>
      <sheetName val="총_원가계산4"/>
      <sheetName val="강관_및_부속4"/>
      <sheetName val="단가_및_재료비4"/>
      <sheetName val="입출재고현황_(2)4"/>
      <sheetName val="0__Level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내역총괄"/>
      <sheetName val="내역총괄2"/>
      <sheetName val="내역총괄3"/>
      <sheetName val="Cash Out Table"/>
      <sheetName val="Net Cash Table"/>
      <sheetName val="Eq. Mobilization"/>
      <sheetName val="투찰가"/>
      <sheetName val="계정참조 (건들지 마세요)"/>
      <sheetName val="신우"/>
      <sheetName val="상 부"/>
      <sheetName val="원가계산서(공사)"/>
      <sheetName val="을-ATYPE"/>
      <sheetName val="[성지공현.XLS][성지공현.XLS]_____MECH_2"/>
      <sheetName val="[성지공현.XLS][성지공현.XLS]_____MECH_3"/>
      <sheetName val="9"/>
      <sheetName val="A-1"/>
      <sheetName val="calc"/>
      <sheetName val=" 동력 설비공사_x0000__x0000__x0000__x0000_"/>
      <sheetName val="A LINE"/>
      <sheetName val="중기비"/>
      <sheetName val="업체별기성㆔Ⱥ"/>
      <sheetName val="업체별기성ૐǨ"/>
      <sheetName val="업체별기성밽z"/>
      <sheetName val="예산_x0000_ჿŇ"/>
      <sheetName val="본선 토공 분배표"/>
      <sheetName val="내역1공구"/>
      <sheetName val="예상"/>
      <sheetName val="직원인원"/>
      <sheetName val="1안"/>
      <sheetName val="품셈"/>
      <sheetName val="데이터"/>
      <sheetName val="3-2.인원투입"/>
      <sheetName val="감리을"/>
      <sheetName val="도근좌표"/>
      <sheetName val="입력"/>
      <sheetName val="POWER"/>
      <sheetName val="PKG"/>
      <sheetName val="목록관리"/>
      <sheetName val="Sheet15"/>
      <sheetName val="내역(정지)"/>
      <sheetName val="ITEM"/>
      <sheetName val="Category(삭제수정금지)"/>
      <sheetName val="유효성목록 (2)"/>
      <sheetName val="참조자료"/>
      <sheetName val="일용노임단가2001상"/>
      <sheetName val="특수선일위대가"/>
      <sheetName val="용산1(해보)"/>
      <sheetName val="cable"/>
      <sheetName val="일위노임"/>
      <sheetName val="5.소재"/>
      <sheetName val="배관BM(일반)"/>
      <sheetName val="건축공사실행"/>
      <sheetName val="직노"/>
      <sheetName val="AKF-2"/>
      <sheetName val="물량내역서"/>
      <sheetName val="기초목"/>
      <sheetName val="database"/>
      <sheetName val="항목등록"/>
      <sheetName val="기초일위대가"/>
      <sheetName val="증감대비"/>
      <sheetName val="내역 LIST"/>
      <sheetName val="계정"/>
      <sheetName val="WORK"/>
      <sheetName val="현설자료UT"/>
      <sheetName val="FAB计算式"/>
      <sheetName val="CUB结算式"/>
      <sheetName val="FAB B01计算式"/>
      <sheetName val="室外计算式"/>
      <sheetName val="9609추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분류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비용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원형1호맨홀토공수량"/>
      <sheetName val="0130 FINAL BOQ "/>
      <sheetName val="포장복구집계"/>
      <sheetName val="유체종류(Fluid)"/>
      <sheetName val="실행갑지"/>
      <sheetName val="중곡동"/>
      <sheetName val="결제방"/>
      <sheetName val="98수문일위"/>
      <sheetName val="APX"/>
      <sheetName val="APX(2)"/>
      <sheetName val="원가계산서(남측)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수문보고"/>
      <sheetName val="신상정보"/>
      <sheetName val="설계명세"/>
      <sheetName val="tggwan(mac)"/>
      <sheetName val="오억미만"/>
      <sheetName val="내2"/>
      <sheetName val="단가일람"/>
      <sheetName val="단위량당중기"/>
      <sheetName val="[성지공현.XLS][성지공현.XLS]__________3"/>
      <sheetName val="esc"/>
      <sheetName val="JUCK"/>
      <sheetName val="플랜트_설치1"/>
      <sheetName val="토목내역서_(도급단가)_(2)1"/>
      <sheetName val="FLAT_1_01"/>
      <sheetName val="2중_유효성검사_방법1"/>
      <sheetName val="Financ__Overview1"/>
      <sheetName val="DESIGN_CRITERIA1"/>
      <sheetName val="T형(_파일기초)_공현1교1"/>
      <sheetName val="수지표_기본틀1"/>
      <sheetName val="2003_4_1_1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연구2팀_운영방안_170110_xlsx1"/>
      <sheetName val="Common_Wheat1"/>
      <sheetName val="Sch7a_(토요일)1"/>
      <sheetName val="[성지공현_XLS][성지공현_XLS]__________2"/>
      <sheetName val="[성지공현_XLS][성지공현_XLS]__________3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[성지공현.XLS][성지공현.XLS]_________14"/>
      <sheetName val="[성지공현.XLS][성지공현.XLS]_________13"/>
      <sheetName val="[성지공현.XLS][성지공현.XLS]__________4"/>
      <sheetName val="[성지공현.XLS][성지공현.XLS]__________5"/>
      <sheetName val="[성지공현.XLS][성지공현.XLS]__________6"/>
      <sheetName val="[성지공현.XLS][성지공현.XLS]__________9"/>
      <sheetName val="[성지공현.XLS][성지공현.XLS]__________8"/>
      <sheetName val="[성지공현.XLS][성지공현.XLS]__________7"/>
      <sheetName val="[성지공현.XLS][성지공현.XLS]_________11"/>
      <sheetName val="[성지공현.XLS][성지공현.XLS]_________10"/>
      <sheetName val="[성지공현.XLS][성지공현.XLS]_________12"/>
      <sheetName val="[성지공현.XLS][성지공현.XLS]_________15"/>
      <sheetName val="[성지공현.XLS][성지공현.XLS]_________20"/>
      <sheetName val="[성지공현.XLS][성지공현.XLS]_________19"/>
      <sheetName val="[성지공현.XLS][성지공현.XLS]_________16"/>
      <sheetName val="[성지공현.XLS][성지공현.XLS]_________17"/>
      <sheetName val="[성지공현.XLS][성지공현.XLS]_________18"/>
      <sheetName val="[성지공현.XLS][성지공현.XLS]_________21"/>
      <sheetName val="[성지공현.XLS][성지공현.XLS]_________22"/>
      <sheetName val="[성지공현.XLS][성지공현.XLS]_________23"/>
      <sheetName val="[성지공현.XLS][성지공현.XLS]_________52"/>
      <sheetName val="[성지공현.XLS][성지공현.XLS]_________51"/>
      <sheetName val="[성지공현.XLS][성지공현.XLS]_________25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[성지공현.XLS][성지공현.XLS]_________47"/>
      <sheetName val="[성지공현.XLS][성지공현.XLS]_________48"/>
      <sheetName val="[성지공현.XLS][성지공현.XLS]_________49"/>
      <sheetName val="[성지공현.XLS][성지공현.XLS]_________50"/>
      <sheetName val="[성지공현.XLS][성지공현.XLS]_________54"/>
      <sheetName val="[성지공현.XLS][성지공현.XLS]_________53"/>
      <sheetName val="[성지공현.XLS][성지공현.XLS]_________63"/>
      <sheetName val="[성지공현.XLS][성지공현.XLS]_________62"/>
      <sheetName val="[성지공현.XLS][성지공현.XLS]_________60"/>
      <sheetName val="[성지공현.XLS][성지공현.XLS]_________58"/>
      <sheetName val="기성내역총괄표"/>
      <sheetName val="[성지공현.XLS][성지공현.XLS]_________56"/>
      <sheetName val="[성지공현.XLS][성지공현.XLS]_________55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7"/>
      <sheetName val="[성지공현.XLS][성지공현.XLS]_________66"/>
      <sheetName val="[성지공현.XLS][성지공현.XLS]_________64"/>
      <sheetName val="[성지공현.XLS][성지공현.XLS]_________65"/>
      <sheetName val="[성지공현.XLS][성지공현.XLS]________200"/>
      <sheetName val="[성지공현.XLS][성지공현.XLS]________194"/>
      <sheetName val="[성지공현.XLS][성지공현.XLS]_________68"/>
      <sheetName val="CON'C"/>
      <sheetName val="정리"/>
      <sheetName val="수식"/>
      <sheetName val="대목"/>
      <sheetName val="급수 (LPM)"/>
      <sheetName val="預算表 (3)"/>
      <sheetName val="[성지공현.XLS][성지공현.XLS]_________69"/>
      <sheetName val="[성지공현.XLS][성지공현.XLS]_________70"/>
      <sheetName val="[성지공현.XLS][성지공현.XLS]_________71"/>
      <sheetName val="[성지공현.XLS][성지공현.XLS]_________73"/>
      <sheetName val="[성지공현.XLS][성지공현.XLS]_________72"/>
      <sheetName val="[성지공현.XLS][성지공현.XLS]_________75"/>
      <sheetName val="[성지공현.XLS][성지공현.XLS]_________74"/>
      <sheetName val="Cash Flow"/>
      <sheetName val="Yield"/>
      <sheetName val="[성지공현.XLS][성지공현.XLS]____류_기___2"/>
      <sheetName val="마산월령동골조물량변경"/>
      <sheetName val="[성지공현.XLS][성지공현.XLS]_________76"/>
      <sheetName val="[성지공현.XLS][성지공현.XLS]_________77"/>
      <sheetName val="[성지공현.XLS][성지공현.XLS]_________79"/>
      <sheetName val="[성지공현.XLS][성지공현.XLS]_________78"/>
      <sheetName val="[성지공현.XLS][성지공현.XLS]_________80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6"/>
      <sheetName val="[성지공현.XLS][성지공현.XLS]_________84"/>
      <sheetName val="[성지공현.XLS][성지공현.XLS]_________85"/>
      <sheetName val="[성지공현.XLS][성지공현.XLS]_________89"/>
      <sheetName val="[성지공현.XLS][성지공현.XLS]_________87"/>
      <sheetName val="[성지공현.XLS][성지공현.XLS]_________88"/>
      <sheetName val="[성지공현.XLS][성지공현.XLS]_________93"/>
      <sheetName val="[성지공현.XLS][성지공현.XLS]_________92"/>
      <sheetName val="[성지공현.XLS][성지공현.XLS]_________90"/>
      <sheetName val="[성지공현.XLS][성지공현.XLS]_________91"/>
      <sheetName val="유효성 목록"/>
      <sheetName val="Site Expenses"/>
      <sheetName val="ȱ?⠀恷??"/>
      <sheetName val="[성지공현.XLS]__Fileserver_A______2"/>
      <sheetName val="[성지공현.XLS][성지공현.XLS]______XLS_2"/>
      <sheetName val="[성지공현.XLS][성지공현.XLS]_________95"/>
      <sheetName val="[성지공현.XLS][성지공현.XLS]_________96"/>
      <sheetName val="[성지공현.XLS][성지공현.XLS]_________94"/>
      <sheetName val="[성지공현.XLS][성지공현.XLS]_________97"/>
      <sheetName val="[성지공현.XLS][성지공현.XLS]________107"/>
      <sheetName val="[성지공현.XLS][성지공현.XLS]________105"/>
      <sheetName val="[성지공현.XLS][성지공현.XLS]_________98"/>
      <sheetName val="[성지공현.XLS][성지공현.XLS]________100"/>
      <sheetName val="[성지공현.XLS][성지공현.XLS]_________99"/>
      <sheetName val="[성지공현.XLS][성지공현.XLS]________103"/>
      <sheetName val="[성지공현.XLS][성지공현.XLS]________101"/>
      <sheetName val="[성지공현.XLS][성지공현.XLS]________102"/>
      <sheetName val="[성지공현.XLS][성지공현.XLS]________104"/>
      <sheetName val="[성지공현.XLS][성지공현.XLS]________106"/>
      <sheetName val="[성지공현.XLS][성지공현.XLS]________118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8"/>
      <sheetName val="[성지공현.XLS][성지공현.XLS]________109"/>
      <sheetName val="[성지공현.XLS][성지공현.XLS]________110"/>
      <sheetName val="[성지공현.XLS][성지공현.XLS]________115"/>
      <sheetName val="[성지공현.XLS][성지공현.XLS]________113"/>
      <sheetName val="[성지공현.XLS][성지공현.XLS]________114"/>
      <sheetName val="[성지공현.XLS][성지공현.XLS]________116"/>
      <sheetName val="[성지공현.XLS][성지공현.XLS]________117"/>
      <sheetName val="[성지공현.XLS][성지공현.XLS]________127"/>
      <sheetName val="[성지공현.XLS][성지공현.XLS]________126"/>
      <sheetName val="[성지공현.XLS][성지공현.XLS]________122"/>
      <sheetName val="[성지공현.XLS][성지공현.XLS]________124"/>
      <sheetName val="[성지공현.XLS][성지공현.XLS]________119"/>
      <sheetName val="[성지공현.XLS][성지공현.XLS]________120"/>
      <sheetName val="[성지공현.XLS][성지공현.XLS]________121"/>
      <sheetName val="[성지공현.XLS][성지공현.XLS]________123"/>
      <sheetName val="[성지공현.XLS][성지공현.XLS]________125"/>
      <sheetName val="[성지공현.XLS][성지공현.XLS]________133"/>
      <sheetName val="[성지공현.XLS][성지공현.XLS]________132"/>
      <sheetName val="[성지공현.XLS][성지공현.XLS]________129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FOOTING단면력"/>
      <sheetName val="무시"/>
      <sheetName val="우수공"/>
      <sheetName val="001"/>
      <sheetName val="[성지공현.XLS][성지공현.XLS]________143"/>
      <sheetName val="[성지공현.XLS][성지공현.XLS]________141"/>
      <sheetName val="[성지공현.XLS][성지공현.XLS]________142"/>
      <sheetName val="[성지공현.XLS][성지공현.XLS]________144"/>
      <sheetName val="[성지공현.XLS][성지공현.XLS]________145"/>
      <sheetName val="[성지공현.XLS][성지공현.XLS]________147"/>
      <sheetName val="[성지공현.XLS][성지공현.XLS]________146"/>
      <sheetName val="[성지공현.XLS][성지공현.XLS]________148"/>
      <sheetName val="[성지공현.XLS][성지공현.XLS]________158"/>
      <sheetName val="[성지공현.XLS][성지공현.XLS]________159"/>
      <sheetName val="당사"/>
      <sheetName val="[성지공현.XLS][성지공현.XLS]_견__류_기___2"/>
      <sheetName val="[성지공현.XLS][성지공현.XLS]________149"/>
      <sheetName val="[성지공현.XLS][성지공현.XLS]________152"/>
      <sheetName val="[성지공현.XLS][성지공현.XLS]________155"/>
      <sheetName val="[성지공현.XLS][성지공현.XLS]________150"/>
      <sheetName val="[성지공현.XLS][성지공현.XLS]________151"/>
      <sheetName val="[성지공현.XLS][성지공현.XLS]________154"/>
      <sheetName val="[성지공현.XLS][성지공현.XLS]________153"/>
      <sheetName val="[성지공현.XLS][성지공현.XLS]________156"/>
      <sheetName val="[성지공현.XLS][성지공현.XLS]________157"/>
      <sheetName val="[성지공현.XLS][성지공현.XLS]________160"/>
      <sheetName val="[성지공현.XLS][성지공현.XLS]________161"/>
      <sheetName val="[성지공현.XLS][성지공현.XLS]________162"/>
      <sheetName val="[성지공현.XLS][성지공현.XLS]________164"/>
      <sheetName val="[성지공현.XLS][성지공현.XLS]________163"/>
      <sheetName val="[성지공현.XLS][성지공현.XLS]__적_______2"/>
      <sheetName val="[성지공현.XLS][성지공현.XLS]________168"/>
      <sheetName val="[성지공현.XLS][성지공현.XLS]________165"/>
      <sheetName val="[성지공현.XLS][성지공현.XLS]________167"/>
      <sheetName val="[성지공현.XLS][성지공현.XLS]________166"/>
      <sheetName val="[성지공현.XLS][성지공현.XLS]________169"/>
      <sheetName val="[성지공현.XLS][성지공현.XLS]________175"/>
      <sheetName val="[성지공현.XLS][성지공현.XLS]________171"/>
      <sheetName val="[성지공현.XLS][성지공현.XLS]________170"/>
      <sheetName val="[성지공현.XLS][성지공현.XLS]________174"/>
      <sheetName val="[성지공현.XLS][성지공현.XLS]________172"/>
      <sheetName val="[성지공현.XLS][성지공현.XLS]________173"/>
      <sheetName val="[성지공현.XLS][성지공현.XLS]________176"/>
      <sheetName val="[성지공현.XLS][성지공현.XLS]________178"/>
      <sheetName val="[성지공현.XLS][성지공현.XLS]________182"/>
      <sheetName val="[성지공현.XLS][성지공현.XLS]________177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4"/>
      <sheetName val="[성지공현.XLS][성지공현.XLS]________185"/>
      <sheetName val="[성지공현.XLS][성지공현.XLS]________183"/>
      <sheetName val="[성지공현.XLS][성지공현.XLS]________189"/>
      <sheetName val="[성지공현.XLS][성지공현.XLS]________188"/>
      <sheetName val="[성지공현.XLS][성지공현.XLS]________187"/>
      <sheetName val="[성지공현.XLS][성지공현.XLS]________186"/>
      <sheetName val="드롭다운"/>
      <sheetName val="[성지공현.XLS][성지공현.XLS]________190"/>
      <sheetName val="[성지공현.XLS][성지공현.XLS]________192"/>
      <sheetName val="[성지공현.XLS][성지공현.XLS]________191"/>
      <sheetName val="[성지공현.XLS][성지공현.XLS]________193"/>
      <sheetName val="[성지공현.XLS][성지공현.XLS]________199"/>
      <sheetName val="[성지공현.XLS][성지공현.XLS]________198"/>
      <sheetName val="[성지공현.XLS][성지공현.XLS]________195"/>
      <sheetName val="[성지공현.XLS][성지공현.XLS]________196"/>
      <sheetName val="[성지공현.XLS][성지공현.XLS]________197"/>
      <sheetName val="COA-17"/>
      <sheetName val="Formula"/>
      <sheetName val="공사금액 내역 (1)"/>
      <sheetName val="Sh_x0000__x0000__x0005__x0000_"/>
      <sheetName val="아파트 기성내역서"/>
      <sheetName val="예산_x0000_ᔰ_x0000_"/>
      <sheetName val="예산대비"/>
      <sheetName val="설산1.나"/>
      <sheetName val="본사S"/>
      <sheetName val="2F 회의실견적(5_14 일대)"/>
      <sheetName val="조선용암면"/>
      <sheetName val="합의경상"/>
      <sheetName val="철거산출근거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F4-F7"/>
      <sheetName val="[성지공현.XLS][성지공현.XLS]_____MECH_4"/>
      <sheetName val="[성지공현.XLS][성지공현.XLS]_____MECH_5"/>
      <sheetName val="[성지공현.XLS][성지공현.XLS]_____MECH_6"/>
      <sheetName val="조도"/>
      <sheetName val="18년 동계축제 조성 전기공사(변경계약).xlsx"/>
      <sheetName val="P-J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구주,중아,CIS"/>
      <sheetName val="전차선_x0000__x0000_Ԁ_x0000_怀"/>
      <sheetName val="전차선_x0000__x0000_Ԁ_x0000_ꀀ"/>
      <sheetName val="가설전기 설비공사临Ⴁ_x0000_退"/>
      <sheetName val="공사개요_(2)7"/>
      <sheetName val="아파트_7"/>
      <sheetName val="1차_내역서7"/>
      <sheetName val="TDI_ISBL7"/>
      <sheetName val="전_기7"/>
      <sheetName val="노원열병합__건축공사기성내역서7"/>
      <sheetName val="1_설계조건7"/>
      <sheetName val="2_하중산정7"/>
      <sheetName val="Customer_Databas7"/>
      <sheetName val="4_LINE7"/>
      <sheetName val="7_th7"/>
      <sheetName val="건축내역서_(경제상무실)7"/>
      <sheetName val="97_사업추정(WEKI)7"/>
      <sheetName val="입찰내역_발주처_양식7"/>
      <sheetName val="1__설계조건_2_단면가정_3__하중계산7"/>
      <sheetName val="DATA_입력란7"/>
      <sheetName val="2__주요공지（主要公告）7"/>
      <sheetName val="4__접지매립내역（接地工程清单）7"/>
      <sheetName val="할증_7"/>
      <sheetName val="6PILE__(돌출)7"/>
      <sheetName val="BSD_(2)7"/>
      <sheetName val="BASIC_(2)7"/>
      <sheetName val="현장관리비_산출내역7"/>
      <sheetName val="화재_탐지_설비7"/>
      <sheetName val="_냉각수펌프7"/>
      <sheetName val="2_대외공문7"/>
      <sheetName val="5_전사투자계획종함안7"/>
      <sheetName val="BEND_LOSS7"/>
      <sheetName val="실행예산대비_발주내역1차7"/>
      <sheetName val="건축공사_집계표7"/>
      <sheetName val="3_건축(현장안)7"/>
      <sheetName val="실행내역서_7"/>
      <sheetName val="3_공통공사대비7"/>
      <sheetName val="Table_3-EQ7"/>
      <sheetName val="조도계산서_(도서)7"/>
      <sheetName val="Sheet1_(2)6"/>
      <sheetName val="1062-X방향_6"/>
      <sheetName val="PAD_TR보호대기초6"/>
      <sheetName val="중기조종사_단위단가6"/>
      <sheetName val="기계설비공사_집계표6"/>
      <sheetName val="(참조)PH-2_12K_150406_제원6"/>
      <sheetName val="unit_46"/>
      <sheetName val="FRP_PIPING_일위대가6"/>
      <sheetName val="전선_및_전선관6"/>
      <sheetName val="A(Rev_3)6"/>
      <sheetName val="전체내역_(2)6"/>
      <sheetName val="220_(2)6"/>
      <sheetName val="1_가로등수량6"/>
      <sheetName val="코드_및_제품_목록6"/>
      <sheetName val="Gia_vat_tu6"/>
      <sheetName val="BA_6"/>
      <sheetName val="용접POINT산출_(2)6"/>
      <sheetName val="투자,기성_실적6"/>
      <sheetName val="신규_품목_합산자재6"/>
      <sheetName val="신규_품목_일위대가6"/>
      <sheetName val="계획대비_정산비용(합계)6"/>
      <sheetName val="시실누(모)_6"/>
      <sheetName val="제품_정보6"/>
      <sheetName val="16년_부문별6"/>
      <sheetName val="전체_수금5"/>
      <sheetName val="조건표_(2)6"/>
      <sheetName val="CP-E2_(품셈표)6"/>
      <sheetName val="1-4_익월예상투자대비5"/>
      <sheetName val="1-2_투입대비5"/>
      <sheetName val="2__주요공지6"/>
      <sheetName val="개선안_개요6"/>
      <sheetName val="견적_(2)5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단면_(2)5"/>
      <sheetName val="CABLE_SIZE-35"/>
      <sheetName val="수량산출서_갑지5"/>
      <sheetName val="00_PAYMENT_CERTI5"/>
      <sheetName val="06_내역서5"/>
      <sheetName val="FAB_1F5"/>
      <sheetName val="FAB_2F5"/>
      <sheetName val="FAB_3F5"/>
      <sheetName val="FAB_18_35F5"/>
      <sheetName val="유도등_5"/>
      <sheetName val="물량산출서(SCS_실측)5"/>
      <sheetName val="단양_00_아파트-세부내역5"/>
      <sheetName val="Main_Screen5"/>
      <sheetName val="Piping_Design_Data5"/>
      <sheetName val="동양제과_12월5"/>
      <sheetName val="롯데제과_12월5"/>
      <sheetName val="크라운제과_12월5"/>
      <sheetName val="해태제과_12월5"/>
      <sheetName val="도급,하도급_예정금액5"/>
      <sheetName val="PROJECT_BRIEF5"/>
      <sheetName val="59A_(현관)5"/>
      <sheetName val="3_도급비집계표5"/>
      <sheetName val="태화42_5"/>
      <sheetName val="1_설계기준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0_인사노무관리5"/>
      <sheetName val="S3-A공사계약내역서_일반배관공사_xlsx5"/>
      <sheetName val="tank_list5"/>
      <sheetName val="1_취수장5"/>
      <sheetName val="Materials_Categories5"/>
      <sheetName val="E_C_T_DATA(DON'T_TOUCH)5"/>
      <sheetName val="VENDOR_DATA5"/>
      <sheetName val="SITE_DATA5"/>
      <sheetName val="IMP_(REACTOR)5"/>
      <sheetName val="3련_BOX5"/>
      <sheetName val="장비당단가_(1)5"/>
      <sheetName val="7_경제성결과5"/>
      <sheetName val="총_원가계산5"/>
      <sheetName val="강관_및_부속5"/>
      <sheetName val="단가_및_재료비5"/>
      <sheetName val="입출재고현황_(2)5"/>
      <sheetName val="0__Level5"/>
      <sheetName val="간접비_총괄표5"/>
      <sheetName val="배수관접합및부설__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#1_인원(당초)5"/>
      <sheetName val="#6_해외출장비5"/>
      <sheetName val="#2,3,4_냉방비,가설건물,숙소5"/>
      <sheetName val="배관배선_단가조사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합산자재_(2)"/>
      <sheetName val="전력간선_설비공사电力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아파트_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화재_탐지_설비8"/>
      <sheetName val="_냉각수펌프8"/>
      <sheetName val="2_대외공문8"/>
      <sheetName val="5_전사투자계획종함안8"/>
      <sheetName val="BEND_LOSS8"/>
      <sheetName val="실행예산대비_발주내역1차8"/>
      <sheetName val="건축공사_집계표8"/>
      <sheetName val="3_건축(현장안)8"/>
      <sheetName val="실행내역서_8"/>
      <sheetName val="3_공통공사대비8"/>
      <sheetName val="Table_3-EQ8"/>
      <sheetName val="조도계산서_(도서)8"/>
      <sheetName val="Sheet1_(2)7"/>
      <sheetName val="1062-X방향_7"/>
      <sheetName val="PAD_TR보호대기초7"/>
      <sheetName val="중기조종사_단위단가7"/>
      <sheetName val="기계설비공사_집계표7"/>
      <sheetName val="(참조)PH-2_12K_150406_제원7"/>
      <sheetName val="unit_47"/>
      <sheetName val="FRP_PIPING_일위대가7"/>
      <sheetName val="전선_및_전선관7"/>
      <sheetName val="A(Rev_3)7"/>
      <sheetName val="전체내역_(2)7"/>
      <sheetName val="220_(2)7"/>
      <sheetName val="1_가로등수량7"/>
      <sheetName val="코드_및_제품_목록7"/>
      <sheetName val="Gia_vat_tu7"/>
      <sheetName val="BA_7"/>
      <sheetName val="용접POINT산출_(2)7"/>
      <sheetName val="투자,기성_실적7"/>
      <sheetName val="신규_품목_합산자재7"/>
      <sheetName val="신규_품목_일위대가7"/>
      <sheetName val="계획대비_정산비용(합계)7"/>
      <sheetName val="시실누(모)_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2__주요공지7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물량산출서(SCS_실측)6"/>
      <sheetName val="단양_00_아파트-세부내역6"/>
      <sheetName val="Main_Screen6"/>
      <sheetName val="Piping_Design_Data6"/>
      <sheetName val="동양제과_12월6"/>
      <sheetName val="롯데제과_12월6"/>
      <sheetName val="크라운제과_12월6"/>
      <sheetName val="해태제과_12월6"/>
      <sheetName val="도급,하도급_예정금액6"/>
      <sheetName val="PROJECT_BRIEF6"/>
      <sheetName val="59A_(현관)6"/>
      <sheetName val="3_도급비집계표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0_인사노무관리6"/>
      <sheetName val="S3-A공사계약내역서_일반배관공사_xlsx6"/>
      <sheetName val="tank_list6"/>
      <sheetName val="1_취수장6"/>
      <sheetName val="Materials_Categories6"/>
      <sheetName val="E_C_T_DATA(DON'T_TOUCH)6"/>
      <sheetName val="VENDOR_DATA6"/>
      <sheetName val="SITE_DATA6"/>
      <sheetName val="IMP_(REACTOR)6"/>
      <sheetName val="3련_BOX6"/>
      <sheetName val="장비당단가_(1)6"/>
      <sheetName val="7_경제성결과6"/>
      <sheetName val="총_원가계산6"/>
      <sheetName val="강관_및_부속6"/>
      <sheetName val="단가_및_재료비6"/>
      <sheetName val="입출재고현황_(2)6"/>
      <sheetName val="0__Level6"/>
      <sheetName val="간접비_총괄표6"/>
      <sheetName val="배수관접합및부설__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#1_인원(당초)6"/>
      <sheetName val="#6_해외출장비6"/>
      <sheetName val="#2,3,4_냉방비,가설건물,숙소6"/>
      <sheetName val="배관배선_단가조사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_비계_설치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VC2_8_98"/>
      <sheetName val="IMP_(RE閰貌"/>
      <sheetName val="IMP_(REධ臹"/>
      <sheetName val="IMP_(RE"/>
      <sheetName val="G_R300경비1"/>
      <sheetName val="단가표_(2)"/>
      <sheetName val="HRG_BAHAN_&amp;_UPAH_okk"/>
      <sheetName val="Analis_Kusen_okk"/>
      <sheetName val="Bhn_Pmsrn"/>
      <sheetName val="종합장(22년4월)"/>
      <sheetName val="가설전기 설비공◸̑聵ៜꠃ"/>
      <sheetName val="가설전기 설비공◸̑쿆»꾘"/>
      <sheetName val="토공사"/>
      <sheetName val="Tank design"/>
      <sheetName val="분양금할인"/>
      <sheetName val="검토용"/>
      <sheetName val="2000년 공정표"/>
      <sheetName val="98비정기소모"/>
      <sheetName val="JER3"/>
      <sheetName val="실행예산서"/>
      <sheetName val="실행집계표"/>
      <sheetName val="실행내역서"/>
      <sheetName val="공사설정"/>
      <sheetName val="전기관리비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VC2_8_981"/>
      <sheetName val="실수량대입_(2)"/>
      <sheetName val="G_R300경비2"/>
      <sheetName val="식재೚退嚢"/>
      <sheetName val="HRG_BAHAN_&amp;_UPAH_okk1"/>
      <sheetName val="Analis_Kusen_okk1"/>
      <sheetName val="Bhn_Pmsrn1"/>
      <sheetName val="단가표_(2)1"/>
      <sheetName val="3BL공동구_수량"/>
      <sheetName val="_견적서"/>
      <sheetName val="Eq__Mobilization"/>
      <sheetName val="IMP_(RE1"/>
      <sheetName val="공사금액_내역_(1)"/>
      <sheetName val="VS_P-Q"/>
      <sheetName val="현장운영비_산출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Sh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PIPE"/>
      <sheetName val="FLANGE"/>
      <sheetName val="VALVE"/>
      <sheetName val="IBASE"/>
      <sheetName val="Cashflow Analysis"/>
      <sheetName val="유효성검사"/>
      <sheetName val="電?設備表"/>
      <sheetName val="[성지공현.XLS][성지공현.XLS]_____MEC_38"/>
      <sheetName val="[성지공현.XLS][성지공현.XLS]_____MEC_35"/>
      <sheetName val="[성지공현.XLS][성지공현.XLS]_____MEC_36"/>
      <sheetName val="[성지공현.XLS][성지공현.XLS]_____MEC_37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[성지공현.XLS][성지공현.XLS]_____ME_142"/>
      <sheetName val="[성지공현.XLS][성지공현.XLS]_____MEC_39"/>
      <sheetName val="[성지공현.XLS][성지공현.XLS]_____MEC_50"/>
      <sheetName val="[성지공현.XLS][성지공현.XLS]_____MEC_40"/>
      <sheetName val="[성지공현.XLS][성지공현.XLS]_____MEC_41"/>
      <sheetName val="[성지공현.XLS][성지공현.XLS]_____MEC_42"/>
      <sheetName val="[성지공현.XLS][성지공현.XLS]_____MEC_43"/>
      <sheetName val="[성지공현.XLS][성지공현.XLS]_____MEC_44"/>
      <sheetName val="[성지공현.XLS][성지공현.XLS]_____MEC_46"/>
      <sheetName val="[성지공현.XLS][성지공현.XLS]_____MEC_45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4"/>
      <sheetName val="[성지공현.XLS][성지공현.XLS]_____MEC_51"/>
      <sheetName val="[성지공현.XLS][성지공현.XLS]_____MEC_52"/>
      <sheetName val="[성지공현.XLS][성지공현.XLS]_____MEC_53"/>
      <sheetName val="[성지공현.XLS][성지공현.XLS]_____MEC_55"/>
      <sheetName val="[성지공현.XLS][성지공현.XLS]_____MEC_58"/>
      <sheetName val="[성지공현.XLS][성지공현.XLS]_____MEC_57"/>
      <sheetName val="[성지공현.XLS][성지공현.XLS]_____MEC_56"/>
      <sheetName val="[성지공현.XLS][성지공현.XLS]_____MEC_59"/>
      <sheetName val="[성지공현.XLS][성지공현.XLS]_____MEC_60"/>
      <sheetName val="[성지공현.XLS][성지공현.XLS]_____MEC_62"/>
      <sheetName val="[성지공현.XLS][성지공현.XLS]_____MEC_61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66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2"/>
      <sheetName val="[성지공현.XLS][성지공현.XLS]_____MEC_70"/>
      <sheetName val="[성지공현.XLS][성지공현.XLS]_____MEC_71"/>
      <sheetName val="[성지공현.XLS][성지공현.XLS]_____MEC_74"/>
      <sheetName val="[성지공현.XLS][성지공현.XLS]_____MEC_73"/>
      <sheetName val="[성지공현.XLS][성지공현.XLS]_____MEC_75"/>
      <sheetName val="[성지공현.XLS][성지공현.XLS]_____MEC_77"/>
      <sheetName val="[성지공현.XLS][성지공현.XLS]_____MEC_76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92"/>
      <sheetName val="[성지공현.XLS][성지공현.XLS]_____MEC_84"/>
      <sheetName val="[성지공현.XLS][성지공현.XLS]_____MEC_82"/>
      <sheetName val="[성지공현.XLS][성지공현.XLS]_____MEC_83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C_96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아파트_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단양_00_아파트-세부내역7"/>
      <sheetName val="Main_Screen7"/>
      <sheetName val="Piping_Design_Data7"/>
      <sheetName val="동양제과_12월7"/>
      <sheetName val="롯데제과_12월7"/>
      <sheetName val="크라운제과_12월7"/>
      <sheetName val="해태제과_12월7"/>
      <sheetName val="도급,하도급_예정금액7"/>
      <sheetName val="PROJECT_BRIEF7"/>
      <sheetName val="59A_(현관)7"/>
      <sheetName val="3_도급비집계표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0_인사노무관리7"/>
      <sheetName val="S3-A공사계약내역서_일반배관공사_xlsx7"/>
      <sheetName val="tank_list7"/>
      <sheetName val="1_취수장7"/>
      <sheetName val="Materials_Categories7"/>
      <sheetName val="E_C_T_DATA(DON'T_TOUCH)7"/>
      <sheetName val="VENDOR_DATA7"/>
      <sheetName val="SITE_DATA7"/>
      <sheetName val="IMP_(REACTOR)7"/>
      <sheetName val="3련_BOX7"/>
      <sheetName val="장비당단가_(1)7"/>
      <sheetName val="7_경제성결과7"/>
      <sheetName val="총_원가계산7"/>
      <sheetName val="강관_및_부속7"/>
      <sheetName val="단가_및_재료비7"/>
      <sheetName val="입출재고현황_(2)7"/>
      <sheetName val="0__Level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토목내역서_(도급단가)_(2)2"/>
      <sheetName val="FLAT_1_02"/>
      <sheetName val="플랜트_설치2"/>
      <sheetName val="2중_유효성검사_방법2"/>
      <sheetName val="Financ__Overview2"/>
      <sheetName val="_비계_설치2"/>
      <sheetName val="T형(_파일기초)_공현1교2"/>
      <sheetName val="수지표_기본틀2"/>
      <sheetName val="DESIGN_CRITERIA2"/>
      <sheetName val="2003_4_1_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전력간선_설비공사电力2"/>
      <sheetName val="견적의뢰"/>
      <sheetName val="Register"/>
      <sheetName val="변경내역대비표(2)"/>
      <sheetName val="신공항A-9(원가수정)"/>
      <sheetName val="전화, LAN 설비砀烩㌁Ḍح"/>
      <sheetName val="[성지공현.XLS][성지공현.XLS]_____ME_156"/>
      <sheetName val="[성지공현.XLS][성지공현.XLS]_____ME_155"/>
      <sheetName val="[성지공현.XLS][성지공현.XLS]_____ME_143"/>
      <sheetName val="[성지공현.XLS][성지공현.XLS]_____ME_149"/>
      <sheetName val="[성지공현.XLS][성지공현.XLS]_____ME_147"/>
      <sheetName val="[성지공현.XLS][성지공현.XLS]_____ME_146"/>
      <sheetName val="[성지공현.XLS][성지공현.XLS]_____ME_144"/>
      <sheetName val="[성지공현.XLS][성지공현.XLS]_____ME_145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2"/>
      <sheetName val="[성지공현.XLS][성지공현.XLS]_____ME_153"/>
      <sheetName val="[성지공현.XLS][성지공현.XLS]_____ME_154"/>
      <sheetName val="[성지공현.XLS][성지공현.XLS]_____ME_162"/>
      <sheetName val="[성지공현.XLS][성지공현.XLS]_____ME_159"/>
      <sheetName val="[성지공현.XLS][성지공현.XLS]_____ME_158"/>
      <sheetName val="[성지공현.XLS][성지공현.XLS]_____ME_157"/>
      <sheetName val="[성지공현.XLS][성지공현.XLS]_____ME_160"/>
      <sheetName val="[성지공현.XLS][성지공현.XLS]_____ME_161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67"/>
      <sheetName val="[성지공현.XLS][성지공현.XLS]_____ME_170"/>
      <sheetName val="[성지공현.XLS][성지공현.XLS]_____ME_168"/>
      <sheetName val="[성지공현.XLS][성지공현.XLS]_____ME_169"/>
      <sheetName val="[성지공현.XLS][성지공현.XLS]_____ME_185"/>
      <sheetName val="[성지공현.XLS][성지공현.XLS]_____ME_171"/>
      <sheetName val="[성지공현.XLS][성지공현.XLS]_____ME_172"/>
      <sheetName val="[성지공현.XLS][성지공현.XLS]_____ME_173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1"/>
      <sheetName val="[성지공현.XLS][성지공현.XLS]_____ME_182"/>
      <sheetName val="[성지공현.XLS][성지공현.XLS]_____ME_183"/>
      <sheetName val="[성지공현.XLS][성지공현.XLS]_____ME_184"/>
      <sheetName val="[성지공현.XLS][성지공현.XLS]_____ME_186"/>
      <sheetName val="Materials Categ堀_x0018__x0000__x0000_"/>
      <sheetName val="입찰내역서"/>
      <sheetName val="카"/>
      <sheetName val="inter"/>
      <sheetName val="노무,재료"/>
      <sheetName val="노임근거"/>
      <sheetName val="23.10.16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[성지공현.XLS]_____ME_314"/>
      <sheetName val="수지예산"/>
      <sheetName val="토량1-1"/>
      <sheetName val="스케즐"/>
      <sheetName val="운반"/>
      <sheetName val="Quantity"/>
      <sheetName val="[성지공현.XLS][성지공현.XLS]_____ME_232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29"/>
      <sheetName val="[성지공현.XLS][성지공현.XLS]_____ME_230"/>
      <sheetName val="[성지공현.XLS][성지공현.XLS]_____ME_231"/>
      <sheetName val="[성지공현.XLS][성지공현.XLS]__적서___초서_2"/>
      <sheetName val="[성지공현.XLS][성지공현.XLS]________229"/>
      <sheetName val="조도계산닑⿤_x0005__x0000__x0000_"/>
      <sheetName val="사업수지"/>
      <sheetName val="단위목록"/>
      <sheetName val="자재운반단가일람표"/>
      <sheetName val="기계경비목록1"/>
      <sheetName val="4.장비손료"/>
      <sheetName val="list"/>
      <sheetName val="[성지공현.XLS][성지공현.XLS]__적서류_기_서_3"/>
      <sheetName val="[성지공현.XLS][성지공현.XLS]__적서류_기_서_2"/>
      <sheetName val="[성지공현.XLS][성지공현.XLS]__적서__기초서_2"/>
      <sheetName val="[성지공현.XLS][성지공현.XLS]__적서__기초서_3"/>
      <sheetName val="[성지공현.XLS][성지공현.XLS]________230"/>
      <sheetName val="[성지공현.XLS][성지공현.XLS]_견________2"/>
      <sheetName val="[성지공현.XLS][성지공현.XLS]_견________3"/>
      <sheetName val="[성지공현.XLS][성지공현.XLS]________226"/>
      <sheetName val="[성지공현.XLS][성지공현.XLS]________227"/>
      <sheetName val="[성지공현.XLS][성지공현.XLS]_견적서___초서_8"/>
      <sheetName val="설계명세서(_x0000_∀ò"/>
      <sheetName val="노무비청구서"/>
      <sheetName val="[성지공현.XLS][성지공현.XLS]__적서__기초서_4"/>
      <sheetName val="[성지공현.XLS][성지공현.XLS]__적서__기초서_6"/>
      <sheetName val="[성지공현.XLS][성지공현.XLS]__적서__기초서_5"/>
      <sheetName val="기본일위"/>
      <sheetName val="해운대V-B"/>
      <sheetName val="[성지공현.XLS][성지공현.XLS]__적서___초서_3"/>
      <sheetName val="[성지공현.XLS][성지공현.XLS]__적서___초서_4"/>
      <sheetName val="[성지공현.XLS][성지공현.XLS]__적서___초서_5"/>
      <sheetName val="[성지공현.XLS][성지공현.XLS]__적서___초서_6"/>
      <sheetName val="[성지공현.XLS][성지공현.XLS]__적서___초서_7"/>
      <sheetName val="[성지공현.XLS][성지공현.XLS]__적서___초서_8"/>
      <sheetName val="[성지공현.XLS][성지공현.XLS]__적서___초서_9"/>
      <sheetName val="[성지공현.XLS][성지공현.XLS]__적서___초_10"/>
      <sheetName val="부_x0000__x0000__x0005_"/>
      <sheetName val="[성지공현.XLS][성지공현.XLS]_견적서류_기초_13"/>
      <sheetName val="[성지공현.XLS][성지공현.XLS]_견적서류_기초_12"/>
      <sheetName val="[성지공현.XLS][성지공현.XLS]_견적서류_기초서_3"/>
      <sheetName val="[성지공현.XLS][성지공현.XLS]_견적서류_기초서_2"/>
      <sheetName val="[성지공현.XLS][성지공현.XLS]_견적서류_기초서_4"/>
      <sheetName val="[성지공현.XLS][성지공현.XLS]_견적서류_기초서_5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인원계획-미화"/>
      <sheetName val="[성지공현.XLS][성지공현.XLS]__적____초__2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___류_기___3"/>
      <sheetName val="[성지공현.XLS][성지공현.XLS]__적___기___2"/>
      <sheetName val="[성지공현.XLS]__Fileserver_A______3"/>
      <sheetName val="[성지공현.XLS][성지공현.XLS]______XLS_3"/>
      <sheetName val="요약IS"/>
      <sheetName val="O실보"/>
      <sheetName val="[성지공현.XLS][성지공현.XLS]______기초__2"/>
      <sheetName val="[성지공현.XLS][성지공현.XLS]__적서류__초서_2"/>
      <sheetName val="조도계산닑⿤_x0005_"/>
      <sheetName val="[성지공현.XLS][성지공현.XLS]________201"/>
      <sheetName val="[성지공현.XLS][성지공현.XLS]________203"/>
      <sheetName val="[성지공현.XLS][성지공현.XLS]________204"/>
      <sheetName val="[성지공현.XLS][성지공현.XLS]________202"/>
      <sheetName val="[성지공현.XLS][성지공현.XLS]________205"/>
      <sheetName val="[성지공현.XLS][성지공현.XLS]________215"/>
      <sheetName val="[성지공현.XLS][성지공현.XLS]________216"/>
      <sheetName val="[성지공현.XLS][성지공현.XLS]________207"/>
      <sheetName val="[성지공현.XLS][성지공현.XLS]________208"/>
      <sheetName val="[성지공현.XLS][성지공현.XLS]________206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기초__3"/>
      <sheetName val="재집"/>
      <sheetName val="토목2"/>
      <sheetName val="하수급견적대비"/>
      <sheetName val="5.Material"/>
      <sheetName val="[성지공현.XLS][성지공현.XLS]_견____기초__2"/>
      <sheetName val="[성지공현.XLS][성지공현.XLS]_견____기초__3"/>
      <sheetName val="설계명세서(栀屫"/>
      <sheetName val="AHU-2"/>
      <sheetName val="B053 (990701)공정실적PP%계산"/>
      <sheetName val="교육계획"/>
      <sheetName val="[성지공현.XLS][성지공현.XLS]A_________2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[성지공현.XLS][성지공현.XLS]__적_______3"/>
      <sheetName val="설계명세서(_x0000__x0000_Ԁ"/>
      <sheetName val="[성지공현.XLS][성지공현.XLS]________221"/>
      <sheetName val="[성지공현.XLS][성지공현.XLS]________222"/>
      <sheetName val="[성지공현.XLS][성지공현.XLS]________217"/>
      <sheetName val="[성지공현.XLS][성지공현.XLS]________218"/>
      <sheetName val="[성지공현.XLS][성지공현.XLS]________219"/>
      <sheetName val="[성지공현.XLS][성지공현.XLS]________220"/>
      <sheetName val="[성지공현.XLS][성지공현.XLS]________223"/>
      <sheetName val="[성지공현.XLS][성지공현.XLS]________224"/>
      <sheetName val="2월"/>
      <sheetName val="[성지공현.XLS][성지공현.XLS]________225"/>
      <sheetName val="[성지공현.XLS][성지공현.XLS]________228"/>
      <sheetName val="[성지공현.XLS][성지공현.XLS]________231"/>
      <sheetName val="[성지공현.XLS][성지공현.XLS]________232"/>
      <sheetName val="[성지공현.XLS][성지공현.XLS]________233"/>
      <sheetName val="[성지공현.XLS][성지공현.XLS]________235"/>
      <sheetName val="[성지공현.XLS][성지공현.XLS]________234"/>
      <sheetName val="[성지공현.XLS][성지공현.XLS]________236"/>
      <sheetName val="[성지공현.XLS][성지공현.XLS]________237"/>
      <sheetName val="[성지공현.XLS][성지공현.XLS]________350"/>
      <sheetName val="[성지공현.XLS][성지공현.XLS]________354"/>
      <sheetName val="[성지공현.XLS][성지공현.XLS]________238"/>
      <sheetName val="[성지공현.XLS][성지공현.XLS]________239"/>
      <sheetName val="적용기준"/>
      <sheetName val="[성지공현.XLS][성지공현.XLS]________248"/>
      <sheetName val="[성지공현.XLS][성지공현.XLS]________247"/>
      <sheetName val="[성지공현.XLS][성지공현.XLS]________241"/>
      <sheetName val="[성지공현.XLS][성지공현.XLS]________242"/>
      <sheetName val="[성지공현.XLS][성지공현.XLS]________240"/>
      <sheetName val="[성지공현.XLS][성지공현.XLS]________245"/>
      <sheetName val="[성지공현.XLS][성지공현.XLS]________243"/>
      <sheetName val="[성지공현.XLS][성지공현.XLS]________244"/>
      <sheetName val="[성지공현.XLS][성지공현.XLS]________246"/>
      <sheetName val="실행비교"/>
      <sheetName val="매입세율"/>
      <sheetName val="[성지공현.XLS][성지공현.XLS]____류_기___4"/>
      <sheetName val="[성지공현.XLS][성지공현.XLS]____류_기___5"/>
      <sheetName val="[성지공현.XLS][성지공현.XLS]________251"/>
      <sheetName val="[성지공현.XLS][성지공현.XLS]________249"/>
      <sheetName val="[성지공현.XLS][성지공현.XLS]________250"/>
      <sheetName val="[성지공현.XLS][성지공현.XLS]________254"/>
      <sheetName val="[성지공현.XLS][성지공현.XLS]________252"/>
      <sheetName val="[성지공현.XLS][성지공현.XLS]________253"/>
      <sheetName val="[성지공현.XLS][성지공현.XLS]________255"/>
      <sheetName val="[성지공현.XLS][성지공현.XLS]________256"/>
      <sheetName val="[성지공현.XLS][성지공현.XLS]________257"/>
      <sheetName val="[성지공현.XLS][성지공현.XLS]________258"/>
      <sheetName val="[성지공현.XLS][성지공현.XLS]________344"/>
      <sheetName val="[성지공현.XLS][성지공현.XLS]________343"/>
      <sheetName val="[성지공현.XLS][성지공현.XLS]________317"/>
      <sheetName val="[성지공현.XLS][성지공현.XLS]________265"/>
      <sheetName val="[성지공현.XLS][성지공현.XLS]________264"/>
      <sheetName val="[성지공현.XLS][성지공현.XLS]________260"/>
      <sheetName val="[성지공현.XLS][성지공현.XLS]________259"/>
      <sheetName val="[성지공현.XLS][성지공현.XLS]________262"/>
      <sheetName val="[성지공현.XLS][성지공현.XLS]________261"/>
      <sheetName val="[성지공현.XLS][성지공현.XLS]________263"/>
      <sheetName val="[성지공현.XLS][성지공현.XLS]________296"/>
      <sheetName val="[성지공현.XLS][성지공현.XLS]________294"/>
      <sheetName val="[성지공현.XLS][성지공현.XLS]________272"/>
      <sheetName val="[성지공현.XLS][성지공현.XLS]________267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0"/>
      <sheetName val="[성지공현.XLS][성지공현.XLS]________271"/>
      <sheetName val="[성지공현.XLS][성지공현.XLS]________273"/>
      <sheetName val="[성지공현.XLS][성지공현.XLS]________274"/>
      <sheetName val="[성지공현.XLS][성지공현.XLS]________275"/>
      <sheetName val="[성지공현.XLS][성지공현.XLS]________276"/>
      <sheetName val="[성지공현.XLS][성지공현.XLS]________277"/>
      <sheetName val="[성지공현.XLS][성지공현.XLS]________278"/>
      <sheetName val="[성지공현.XLS][성지공현.XLS]________279"/>
      <sheetName val="[성지공현.XLS][성지공현.XLS]________280"/>
      <sheetName val="[성지공현.XLS][성지공현.XLS]________281"/>
      <sheetName val="[성지공현.XLS][성지공현.XLS]________282"/>
      <sheetName val="[성지공현.XLS][성지공현.XLS]________283"/>
      <sheetName val="[성지공현.XLS][성지공현.XLS]________284"/>
      <sheetName val="[성지공현.XLS][성지공현.XLS]________285"/>
      <sheetName val="[성지공현.XLS][성지공현.XLS]________286"/>
      <sheetName val="[성지공현.XLS][성지공현.XLS]________287"/>
      <sheetName val="[성지공현.XLS][성지공현.XLS]________288"/>
      <sheetName val="[성지공현.XLS][성지공현.XLS]________289"/>
      <sheetName val="[성지공현.XLS][성지공현.XLS]________290"/>
      <sheetName val="[성지공현.XLS][성지공현.XLS]________291"/>
      <sheetName val="[성지공현.XLS][성지공현.XLS]________293"/>
      <sheetName val="[성지공현.XLS][성지공현.XLS]________292"/>
      <sheetName val="[성지공현.XLS][성지공현.XLS]________295"/>
      <sheetName val="[성지공현.XLS][성지공현.XLS]________298"/>
      <sheetName val="[성지공현.XLS][성지공현.XLS]________297"/>
      <sheetName val="[성지공현.XLS][성지공현.XLS]________313"/>
      <sheetName val="[성지공현.XLS][성지공현.XLS]________299"/>
      <sheetName val="[성지공현.XLS][성지공현.XLS]________300"/>
      <sheetName val="[성지공현.XLS][성지공현.XLS]________301"/>
      <sheetName val="[성지공현.XLS][성지공현.XLS]________302"/>
      <sheetName val="[성지공현.XLS][성지공현.XLS]________303"/>
      <sheetName val="[성지공현.XLS][성지공현.XLS]________304"/>
      <sheetName val="[성지공현.XLS][성지공현.XLS]________305"/>
      <sheetName val="[성지공현.XLS][성지공현.XLS]________306"/>
      <sheetName val="[성지공현.XLS][성지공현.XLS]________307"/>
      <sheetName val="[성지공현.XLS][성지공현.XLS]________308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5"/>
      <sheetName val="[성지공현.XLS][성지공현.XLS]________314"/>
      <sheetName val="[성지공현.XLS][성지공현.XLS]________316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연구2팀_운영방안_170110_xlsx2"/>
      <sheetName val="Common_Wheat2"/>
      <sheetName val="Sch7a_(토요일)2"/>
      <sheetName val="[성지공현_XLS][성지공현_XLS]__________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39"/>
      <sheetName val="[성지공현.XLS][성지공현.XLS]________338"/>
      <sheetName val="[성지공현.XLS][성지공현.XLS]________331"/>
      <sheetName val="[성지공현.XLS][성지공현.XLS]________330"/>
      <sheetName val="[성지공현.XLS][성지공현.XLS]________325"/>
      <sheetName val="[성지공현.XLS][성지공현.XLS]________323"/>
      <sheetName val="[성지공현.XLS][성지공현.XLS]________321"/>
      <sheetName val="[성지공현.XLS][성지공현.XLS]________318"/>
      <sheetName val="[성지공현.XLS][성지공현.XLS]________319"/>
      <sheetName val="[성지공현.XLS][성지공현.XLS]________320"/>
      <sheetName val="[성지공현.XLS][성지공현.XLS]________322"/>
      <sheetName val="[성지공현.XLS][성지공현.XLS]________327"/>
      <sheetName val="[성지공현.XLS][성지공현.XLS]________324"/>
      <sheetName val="[성지공현.XLS][성지공현.XLS]________326"/>
      <sheetName val="[성지공현.XLS][성지공현.XLS]________328"/>
      <sheetName val="[성지공현.XLS][성지공현.XLS]________329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5"/>
      <sheetName val="[성지공현.XLS][성지공현.XLS]________336"/>
      <sheetName val="[성지공현.XLS][성지공현.XLS]________337"/>
      <sheetName val="[성지공현.XLS][성지공현.XLS]________341"/>
      <sheetName val="[성지공현.XLS][성지공현.XLS]________340"/>
      <sheetName val="[성지공현.XLS][성지공현.XLS]________342"/>
      <sheetName val="[성지공현.XLS][성지공현.XLS]________346"/>
      <sheetName val="[성지공현.XLS][성지공현.XLS]________347"/>
      <sheetName val="[성지공현.XLS][성지공현.XLS]________345"/>
      <sheetName val="[성지공현.XLS][성지공현.XLS]________348"/>
      <sheetName val="[성지공현.XLS][성지공현.XLS]________349"/>
      <sheetName val="2동전기"/>
      <sheetName val="[성지공현.XLS][성지공현.XLS]_견_서류___서_2"/>
      <sheetName val="[성지공현.XLS][성지공현.XLS]_견_서류___서_3"/>
      <sheetName val="[성지공현.XLS][성지공현.XLS]__적서__기초_10"/>
      <sheetName val="본사인상전"/>
      <sheetName val="Pipe &amp; Nozzle Q'ty"/>
      <sheetName val="아울렛박스"/>
      <sheetName val="[성지공현.XLS][성지공현.XLS]_견적서___초서_9"/>
      <sheetName val="[성지공현.XLS][성지공현.XLS]_견적_______2"/>
      <sheetName val="[성지공현.XLS][성지공현.XLS]_견적_______3"/>
      <sheetName val="[성지공현.XLS][성지공현.XLS]_견적_______4"/>
      <sheetName val="[성지공현.XLS][성지공현.XLS]_견적_______5"/>
      <sheetName val="증감내역서"/>
      <sheetName val="발파유용(3)"/>
      <sheetName val="건축내역서"/>
      <sheetName val="설비내역서"/>
      <sheetName val="전기내역서"/>
      <sheetName val="조직표"/>
      <sheetName val="교각1"/>
      <sheetName val="고창방향"/>
      <sheetName val="지층"/>
      <sheetName val="표지 (2)"/>
      <sheetName val="기계"/>
      <sheetName val="정화조"/>
      <sheetName val="산수배수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계약내역서"/>
      <sheetName val="[성지공현.XLS][성지공현.XLS]________352"/>
      <sheetName val="[성지공현.XLS][성지공현.XLS]________351"/>
      <sheetName val="[성지공현.XLS][성지공현.XLS]________353"/>
      <sheetName val="sal"/>
      <sheetName val="[성지공현.XLS][성지공현.XLS]_____ME_236"/>
      <sheetName val="[성지공현.XLS][성지공현.XLS]_____ME_235"/>
      <sheetName val="[성지공현.XLS][성지공현.XLS]_____ME_233"/>
      <sheetName val="[성지공현.XLS][성지공현.XLS]_____ME_234"/>
      <sheetName val="[성지공현.XLS][성지공현.XLS]___학_MECH_2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표준내역(토목)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부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품의양식"/>
      <sheetName val="Konfirm"/>
      <sheetName val="2. BQ"/>
      <sheetName val="[성지공현.XLS][성지공현.XLS]________358"/>
      <sheetName val="付款进度表"/>
      <sheetName val="科目列表"/>
      <sheetName val="   合同台账  "/>
      <sheetName val="无合同工程及销费"/>
      <sheetName val="[성지공현.XLS][성지공현.XLS]________355"/>
      <sheetName val="Pipe ID"/>
      <sheetName val="[성지공현.XLS][성지공현.XLS]__이학_MECH_3"/>
      <sheetName val="[성지공현.XLS][성지공현.XLS]__이학_MECH_2"/>
      <sheetName val="[성지공현.XLS][성지공현.XLS]________356"/>
      <sheetName val="[성지공현.XLS][성지공현.XLS]________357"/>
      <sheetName val="[성지공현.XLS][성지공현.XLS]________437"/>
      <sheetName val="[성지공현.XLS][성지공현.XLS]________360"/>
      <sheetName val="[성지공현.XLS][성지공현.XLS]________359"/>
      <sheetName val="[성지공현.XLS][성지공현.XLS]________438"/>
      <sheetName val="[성지공현.XLS][성지공현.XLS]_____ME_237"/>
      <sheetName val="[성지공현.XLS][성지공현.XLS]________363"/>
      <sheetName val="[성지공현.XLS][성지공현.XLS]________361"/>
      <sheetName val="[성지공현.XLS][성지공현.XLS]________362"/>
      <sheetName val="[성지공현.XLS][성지공현.XLS]_____ME_238"/>
      <sheetName val="[성지공현.XLS][성지공현.XLS]________364"/>
      <sheetName val="[성지공현.XLS][성지공현.XLS]_____ME_239"/>
      <sheetName val="[성지공현.XLS][성지공현.XLS]________365"/>
      <sheetName val="[성지공현.XLS][성지공현.XLS]________366"/>
      <sheetName val="일위대가-호표(목록)"/>
      <sheetName val="[성지공현.XLS][성지공현.XLS]________367"/>
      <sheetName val="[성지공현.XLS][성지공현.XLS]________428"/>
      <sheetName val="[성지공현.XLS][성지공현.XLS]_견적서___초_10"/>
      <sheetName val="[성지공현.XLS][성지공현.XLS]___서___초서_2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woo(mac)"/>
      <sheetName val="Equipment"/>
      <sheetName val="Piping"/>
      <sheetName val="콤보"/>
      <sheetName val="Estimate"/>
      <sheetName val="IN OUT"/>
      <sheetName val="AnalisaSIPIL RIIL"/>
      <sheetName val="Cash Out-Plan"/>
      <sheetName val="[성지공현.XLS][성지공현.XLS]________412"/>
      <sheetName val="[성지공현.XLS][성지공현.XLS]________413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1"/>
      <sheetName val="[성지공현.XLS][성지공현.XLS]________372"/>
      <sheetName val="[성지공현.XLS][성지공현.XLS]________381"/>
      <sheetName val="[성지공현.XLS][성지공현.XLS]________374"/>
      <sheetName val="[성지공현.XLS][성지공현.XLS]________373"/>
      <sheetName val="[성지공현.XLS][성지공현.XLS]________375"/>
      <sheetName val="[성지공현.XLS][성지공현.XLS]________378"/>
      <sheetName val="[성지공현.XLS][성지공현.XLS]________376"/>
      <sheetName val="[성지공현.XLS][성지공현.XLS]________377"/>
      <sheetName val="[성지공현.XLS][성지공현.XLS]________382"/>
      <sheetName val="[성지공현.XLS][성지공현.XLS]________380"/>
      <sheetName val="[성지공현.XLS][성지공현.XLS]________379"/>
      <sheetName val="[성지공현.XLS][성지공현.XLS]________383"/>
      <sheetName val="[성지공현.XLS][성지공현.XLS]________384"/>
      <sheetName val="[성지공현.XLS][성지공현.XLS]________394"/>
      <sheetName val="[성지공현.XLS][성지공현.XLS]________386"/>
      <sheetName val="[성지공현.XLS][성지공현.XLS]________385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0"/>
      <sheetName val="[성지공현.XLS][성지공현.XLS]________392"/>
      <sheetName val="[성지공현.XLS][성지공현.XLS]________393"/>
      <sheetName val="[성지공현.XLS][성지공현.XLS]________399"/>
      <sheetName val="[성지공현.XLS][성지공현.XLS]________397"/>
      <sheetName val="[성지공현.XLS][성지공현.XLS]________395"/>
      <sheetName val="[성지공현.XLS][성지공현.XLS]________396"/>
      <sheetName val="[성지공현.XLS][성지공현.XLS]________398"/>
      <sheetName val="[성지공현.XLS][성지공현.XLS]________400"/>
      <sheetName val="[성지공현.XLS][성지공현.XLS]________403"/>
      <sheetName val="[성지공현.XLS][성지공현.XLS]________401"/>
      <sheetName val="[성지공현.XLS][성지공현.XLS]________402"/>
      <sheetName val="[성지공현.XLS][성지공현.XLS]________405"/>
      <sheetName val="[성지공현.XLS][성지공현.XLS]________404"/>
      <sheetName val="[성지공현.XLS][성지공현.XLS]________406"/>
      <sheetName val="[성지공현.XLS][성지공현.XLS]________407"/>
      <sheetName val="[성지공현.XLS][성지공현.XLS]________408"/>
      <sheetName val="[성지공현.XLS][성지공현.XLS]________409"/>
      <sheetName val="[성지공현.XLS][성지공현.XLS]________410"/>
      <sheetName val="[성지공현.XLS][성지공현.XLS]________411"/>
      <sheetName val="[성지공현.XLS][성지공현.XLS]________416"/>
      <sheetName val="[성지공현.XLS][성지공현.XLS]________415"/>
      <sheetName val="[성지공현.XLS][성지공현.XLS]________414"/>
      <sheetName val="[성지공현.XLS][성지공현.XLS]________417"/>
      <sheetName val="[성지공현.XLS][성지공현.XLS]________418"/>
      <sheetName val="[성지공현.XLS][성지공현.XLS]________419"/>
      <sheetName val="[성지공현.XLS][성지공현.XLS]________420"/>
      <sheetName val="[성지공현.XLS][성지공현.XLS]________424"/>
      <sheetName val="[성지공현.XLS][성지공현.XLS]________425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7"/>
      <sheetName val="[성지공현.XLS][성지공현.XLS]________429"/>
      <sheetName val="[성지공현.XLS][성지공현.XLS]________430"/>
      <sheetName val="ȱ_x0000_⠀恷_x0"/>
      <sheetName val="ȱ_x005f"/>
      <sheetName val="so-021"/>
      <sheetName val="호봉피치"/>
      <sheetName val="년판01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내역(가로)"/>
      <sheetName val="[성지공현.XLS][성지공현.XLS]_____ME_240"/>
      <sheetName val="[성지공현.XLS][성지공현.XLS]_____ME_241"/>
      <sheetName val="[성지공현.XLS][성지공현.XLS]________431"/>
      <sheetName val="[성지공현.XLS][성지공현.XLS]________432"/>
      <sheetName val="[성지공현.XLS][성지공현.XLS]_____ME_242"/>
      <sheetName val="[성지공현.XLS][성지공현.XLS]________433"/>
      <sheetName val="일위(PN)"/>
      <sheetName val="RAB AR&amp;STR"/>
      <sheetName val="Takeoff"/>
      <sheetName val="网络平台"/>
      <sheetName val="vlieu"/>
      <sheetName val="RAB_AR&amp;STR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토목내역서_(도급단가)_(2)3"/>
      <sheetName val="FLAT_1_03"/>
      <sheetName val="플랜트_설치3"/>
      <sheetName val="2중_유효성검사_방법3"/>
      <sheetName val="Financ__Overview3"/>
      <sheetName val="_비계_설치3"/>
      <sheetName val="T형(_파일기초)_공현1교3"/>
      <sheetName val="수지표_기본틀3"/>
      <sheetName val="DESIGN_CRITERIA3"/>
      <sheetName val="2003_4_1_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전차선"/>
      <sheetName val="조건"/>
      <sheetName val="CODES"/>
      <sheetName val="신표지1"/>
      <sheetName val="예산_x0000_꟣ʂ"/>
      <sheetName val="[성지공현.XLS][성지공현.XLS]__이__MECH_2"/>
      <sheetName val="5월"/>
      <sheetName val="[성지공현.XLS][성지공현.XLS]_____ME_311"/>
      <sheetName val="[성지공현.XLS][성지공현.XLS]_____ME_246"/>
      <sheetName val="[성지공현.XLS][성지공현.XLS]_____ME_243"/>
      <sheetName val="[성지공현.XLS][성지공현.XLS]_____ME_244"/>
      <sheetName val="[성지공현.XLS][성지공현.XLS]_____ME_245"/>
      <sheetName val="[성지공현.XLS][성지공현.XLS]_____ME_247"/>
      <sheetName val="[성지공현.XLS][성지공현.XLS]_____ME_248"/>
      <sheetName val="[성지공현.XLS][성지공현.XLS]_____ME_249"/>
      <sheetName val="[성지공현.XLS][성지공현.XLS]_____ME_298"/>
      <sheetName val="[성지공현.XLS][성지공현.XLS]_____ME_295"/>
      <sheetName val="[성지공현.XLS][성지공현.XLS]_____ME_293"/>
      <sheetName val="[성지공현.XLS][성지공현.XLS]_____ME_289"/>
      <sheetName val="[성지공현.XLS][성지공현.XLS]_____ME_288"/>
      <sheetName val="[성지공현.XLS][성지공현.XLS]_____ME_282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3"/>
      <sheetName val="[성지공현.XLS][성지공현.XLS]_____ME_254"/>
      <sheetName val="[성지공현.XLS][성지공현.XLS]_____ME_256"/>
      <sheetName val="[성지공현.XLS][성지공현.XLS]_____ME_255"/>
      <sheetName val="[성지공현.XLS][성지공현.XLS]_____ME_257"/>
      <sheetName val="[성지공현.XLS][성지공현.XLS]_____ME_258"/>
      <sheetName val="[성지공현.XLS][성지공현.XLS]_____ME_259"/>
      <sheetName val="[성지공현.XLS][성지공현.XLS]_____ME_260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4"/>
      <sheetName val="[성지공현.XLS][성지공현.XLS]_____ME_283"/>
      <sheetName val="[성지공현.XLS][성지공현.XLS]_____ME_285"/>
      <sheetName val="[성지공현.XLS][성지공현.XLS]_____ME_286"/>
      <sheetName val="[성지공현.XLS][성지공현.XLS]_____ME_287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[성지공현.XLS]_____ME_296"/>
      <sheetName val="[성지공현.XLS][성지공현.XLS]_____ME_297"/>
      <sheetName val="[성지공현.XLS][성지공현.XLS]_____ME_310"/>
      <sheetName val="[성지공현.XLS][성지공현.XLS]_____ME_303"/>
      <sheetName val="[성지공현.XLS][성지공현.XLS]_____ME_299"/>
      <sheetName val="[성지공현.XLS][성지공현.XLS]_____ME_302"/>
      <sheetName val="[성지공현.XLS][성지공현.XLS]_____ME_300"/>
      <sheetName val="[성지공현.XLS][성지공현.XLS]_____ME_301"/>
      <sheetName val="[성지공현.XLS][성지공현.XLS]_____ME_304"/>
      <sheetName val="[성지공현.XLS][성지공현.XLS]_____ME_306"/>
      <sheetName val="[성지공현.XLS][성지공현.XLS]_____ME_305"/>
      <sheetName val="[성지공현.XLS][성지공현.XLS]_____ME_309"/>
      <sheetName val="[성지공현.XLS][성지공현.XLS]_____ME_307"/>
      <sheetName val="[성지공현.XLS][성지공현.XLS]_____ME_308"/>
      <sheetName val="가도공"/>
      <sheetName val="갑근세납세필증명원"/>
      <sheetName val="인조대리석설치공사(롯데)_옵션"/>
      <sheetName val="인조대리석설치공사(롯데)_기본"/>
      <sheetName val="인조대리석설치공사(롯데)_확장"/>
      <sheetName val="리스트"/>
      <sheetName val="점수계산1-2"/>
      <sheetName val="갑지(P4 Ph1 154kV동)"/>
      <sheetName val="[성지공현.XLS][성지공현.XLS]_____ME_312"/>
      <sheetName val="[성지공현.XLS][성지공현.XLS]________434"/>
      <sheetName val="[성지공현.XLS][성지공현.XLS]________435"/>
      <sheetName val="[성지공현.XLS][성지공현.XLS]_____ME_313"/>
      <sheetName val="[성지공현.XLS][성지공현.XLS]________4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 refreshError="1"/>
      <sheetData sheetId="1107"/>
      <sheetData sheetId="1108" refreshError="1"/>
      <sheetData sheetId="1109" refreshError="1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/>
      <sheetData sheetId="2337"/>
      <sheetData sheetId="2338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/>
      <sheetData sheetId="2346"/>
      <sheetData sheetId="2347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/>
      <sheetData sheetId="2681"/>
      <sheetData sheetId="2682"/>
      <sheetData sheetId="2683" refreshError="1"/>
      <sheetData sheetId="2684" refreshError="1"/>
      <sheetData sheetId="2685" refreshError="1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 refreshError="1"/>
      <sheetData sheetId="2937" refreshError="1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/>
      <sheetData sheetId="3178"/>
      <sheetData sheetId="3179" refreshError="1"/>
      <sheetData sheetId="3180" refreshError="1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/>
      <sheetData sheetId="3247"/>
      <sheetData sheetId="3248"/>
      <sheetData sheetId="3249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 refreshError="1"/>
      <sheetData sheetId="3699"/>
      <sheetData sheetId="3700"/>
      <sheetData sheetId="3701" refreshError="1"/>
      <sheetData sheetId="3702" refreshError="1"/>
      <sheetData sheetId="3703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 refreshError="1"/>
      <sheetData sheetId="3737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 refreshError="1"/>
      <sheetData sheetId="3748" refreshError="1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 refreshError="1"/>
      <sheetData sheetId="3776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/>
      <sheetData sheetId="3783" refreshError="1"/>
      <sheetData sheetId="3784" refreshError="1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/>
      <sheetData sheetId="4084"/>
      <sheetData sheetId="4085"/>
      <sheetData sheetId="4086"/>
      <sheetData sheetId="4087" refreshError="1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 refreshError="1"/>
      <sheetData sheetId="415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/>
      <sheetData sheetId="4161" refreshError="1"/>
      <sheetData sheetId="4162" refreshError="1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 refreshError="1"/>
      <sheetData sheetId="4190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/>
      <sheetData sheetId="4197" refreshError="1"/>
      <sheetData sheetId="4198" refreshError="1"/>
      <sheetData sheetId="4199"/>
      <sheetData sheetId="4200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 refreshError="1"/>
      <sheetData sheetId="4544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/>
      <sheetData sheetId="4575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/>
      <sheetData sheetId="4635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/>
      <sheetData sheetId="4654"/>
      <sheetData sheetId="4655" refreshError="1"/>
      <sheetData sheetId="4656"/>
      <sheetData sheetId="4657"/>
      <sheetData sheetId="4658"/>
      <sheetData sheetId="4659"/>
      <sheetData sheetId="4660" refreshError="1"/>
      <sheetData sheetId="4661" refreshError="1"/>
      <sheetData sheetId="4662" refreshError="1"/>
      <sheetData sheetId="4663" refreshError="1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 refreshError="1"/>
      <sheetData sheetId="4914"/>
      <sheetData sheetId="4915"/>
      <sheetData sheetId="4916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/>
      <sheetData sheetId="4976"/>
      <sheetData sheetId="4977"/>
      <sheetData sheetId="4978"/>
      <sheetData sheetId="497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투입"/>
      <sheetName val="조직표"/>
      <sheetName val="경비"/>
      <sheetName val="현경"/>
      <sheetName val="롯데안"/>
      <sheetName val="분할"/>
      <sheetName val="설명자료"/>
      <sheetName val="공개"/>
      <sheetName val="★"/>
      <sheetName val="목표 (2)"/>
      <sheetName val="품의"/>
      <sheetName val="총괄"/>
      <sheetName val="대비"/>
      <sheetName val="작기"/>
      <sheetName val="☜품⊥산☞"/>
      <sheetName val="표지"/>
      <sheetName val="집계"/>
      <sheetName val="급여96"/>
      <sheetName val="동의"/>
      <sheetName val="조명시설"/>
      <sheetName val="말뚝지지력산정"/>
      <sheetName val="#REF"/>
      <sheetName val="Sheet2"/>
      <sheetName val="카렌스센터계량기설치공사"/>
      <sheetName val="업무분장"/>
      <sheetName val="TOT"/>
      <sheetName val="교각1"/>
      <sheetName val="COPING"/>
      <sheetName val="1.설계조건"/>
      <sheetName val="데이타"/>
      <sheetName val="식재인부"/>
      <sheetName val="입찰안"/>
      <sheetName val="자판실행"/>
      <sheetName val="단가"/>
      <sheetName val="Sheet3"/>
      <sheetName val="물량표S"/>
      <sheetName val="삼척갑"/>
      <sheetName val="소상 &quot;1&quot;"/>
      <sheetName val="전체내역 (2)"/>
      <sheetName val="B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내역서"/>
      <sheetName val="집계표"/>
      <sheetName val="입찰안"/>
      <sheetName val="내역"/>
      <sheetName val="#REF"/>
      <sheetName val="Macro3"/>
      <sheetName val="Book3"/>
      <sheetName val="잔여공사실행"/>
      <sheetName val="비목별기성"/>
      <sheetName val="조명시설"/>
      <sheetName val="선정요령"/>
      <sheetName val="plan&amp;section of foundation"/>
      <sheetName val="TOT"/>
      <sheetName val="1.설계조건"/>
      <sheetName val="업무분장"/>
      <sheetName val="COPING"/>
      <sheetName val="말뚝지지력산정"/>
      <sheetName val="Total"/>
      <sheetName val="내역(자100%,노100%)기아화성UD동"/>
      <sheetName val="협조전"/>
      <sheetName val="단가"/>
      <sheetName val="지사"/>
      <sheetName val="-15.0"/>
      <sheetName val="지역-가마감"/>
      <sheetName val="APT내역"/>
      <sheetName val="Supply info"/>
      <sheetName val="일위대가"/>
      <sheetName val="BID"/>
      <sheetName val="견적990322"/>
      <sheetName val="노임"/>
      <sheetName val="2.대외공문"/>
      <sheetName val="노임이"/>
      <sheetName val="총괄표"/>
      <sheetName val="sw1"/>
      <sheetName val="2002년12월"/>
      <sheetName val="DESCRIPTION"/>
      <sheetName val="BM DATA SHEET"/>
      <sheetName val="정보매체A동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기둥(원형)"/>
      <sheetName val="터파기및재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영업.일1"/>
      <sheetName val="데이타"/>
      <sheetName val="DATA"/>
      <sheetName val="부대대비"/>
      <sheetName val="냉연집계"/>
      <sheetName val="Sheet3"/>
      <sheetName val="기초공"/>
      <sheetName val="기둥(원형)"/>
      <sheetName val="TEL"/>
      <sheetName val="항목(1)"/>
      <sheetName val="BOOK4"/>
      <sheetName val="SUMMARY"/>
      <sheetName val="PAINT"/>
      <sheetName val="11"/>
      <sheetName val="노무비"/>
      <sheetName val="경비2내역"/>
      <sheetName val="협조전"/>
      <sheetName val="type-F"/>
      <sheetName val="Sheet2"/>
      <sheetName val="물량표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내역서"/>
      <sheetName val="집계표"/>
      <sheetName val="입찰안"/>
      <sheetName val="내역"/>
      <sheetName val="#REF"/>
      <sheetName val="Macro3"/>
      <sheetName val="Book3"/>
      <sheetName val="잔여공사실행"/>
      <sheetName val="비목별기성"/>
      <sheetName val="ML"/>
      <sheetName val="wall"/>
      <sheetName val="BID"/>
      <sheetName val="3BL공동구 수량"/>
      <sheetName val="N賃率-職"/>
      <sheetName val="부대대비"/>
      <sheetName val="냉연집계"/>
      <sheetName val="준검 내역서"/>
      <sheetName val="차액보증"/>
      <sheetName val="지역-가마감"/>
      <sheetName val="TCA"/>
      <sheetName val="관람석제출"/>
      <sheetName val="남양시작동자105노65기1.3화1.2"/>
      <sheetName val="물량표"/>
      <sheetName val="갑지"/>
      <sheetName val="변화치수"/>
      <sheetName val="full (2)"/>
      <sheetName val="96수출"/>
      <sheetName val="TEL"/>
      <sheetName val="소상 &quot;1&quot;"/>
      <sheetName val="업무분장"/>
      <sheetName val="데이타"/>
      <sheetName val="DATA"/>
      <sheetName val="조명시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설계조건"/>
      <sheetName val="계정"/>
      <sheetName val="총괄내역서"/>
      <sheetName val="조명시설"/>
      <sheetName val="남양시작동자105노65기1.3화1.2"/>
      <sheetName val="관람석제출"/>
      <sheetName val="토목주소"/>
      <sheetName val="프랜트면허"/>
      <sheetName val="총괄표"/>
      <sheetName val="-15.0"/>
      <sheetName val="2.대외공문"/>
      <sheetName val="MOTOR"/>
      <sheetName val="내역1"/>
      <sheetName val="200PN"/>
      <sheetName val="COVER-P"/>
      <sheetName val="3련 BOX"/>
      <sheetName val="업무분장"/>
      <sheetName val="대공종"/>
      <sheetName val="수리결과"/>
      <sheetName val="입사시직위"/>
      <sheetName val="96수출"/>
      <sheetName val="ITEM"/>
      <sheetName val="DATA"/>
      <sheetName val="포장복구집계"/>
      <sheetName val="인사자료총집계"/>
      <sheetName val="세목별"/>
      <sheetName val="신규DEP"/>
      <sheetName val="ML"/>
      <sheetName val="TCA"/>
      <sheetName val="플랜트 설치"/>
      <sheetName val="월별수입"/>
      <sheetName val="COVER"/>
      <sheetName val="실행철강하도"/>
      <sheetName val="정부노임단가"/>
      <sheetName val="BID"/>
      <sheetName val="Sheet2"/>
      <sheetName val="001"/>
      <sheetName val="갑지(추정)"/>
      <sheetName val="예산계획"/>
      <sheetName val="Sheet4"/>
      <sheetName val="차액보증"/>
      <sheetName val="준검 내역서"/>
      <sheetName val="설계명세서"/>
      <sheetName val="#REF"/>
      <sheetName val="부대대비"/>
      <sheetName val="냉연집계"/>
      <sheetName val="Construction"/>
      <sheetName val="WORK-VOL"/>
      <sheetName val="대비"/>
      <sheetName val="일위(PN)"/>
      <sheetName val="Sheet3"/>
      <sheetName val="날개벽수량표"/>
      <sheetName val="협조전"/>
      <sheetName val="Sheet1 (2)"/>
      <sheetName val="bearing"/>
      <sheetName val="데이타"/>
      <sheetName val="식재인부"/>
      <sheetName val="TOT"/>
      <sheetName val="1.설계조건"/>
      <sheetName val="물량표"/>
      <sheetName val="작성방법"/>
      <sheetName val="중량표"/>
      <sheetName val="전체내역 (2)"/>
      <sheetName val="T13(P68~72,78)"/>
      <sheetName val="내역서을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내역 (2)"/>
      <sheetName val="전체내역 _2_"/>
      <sheetName val="CONCRETE"/>
      <sheetName val="노임"/>
      <sheetName val="수리결과"/>
      <sheetName val="관람석제출"/>
      <sheetName val="총괄표"/>
      <sheetName val="5사남"/>
      <sheetName val="LIST"/>
      <sheetName val="연도별"/>
      <sheetName val="소상 &quot;1&quot;"/>
      <sheetName val="Total"/>
      <sheetName val="입찰안"/>
      <sheetName val="원형1호맨홀토공수량"/>
      <sheetName val="VALVE"/>
      <sheetName val="인사자료총집계"/>
      <sheetName val="plan&amp;section of foundation"/>
      <sheetName val="design load"/>
      <sheetName val="working load at the btm ft."/>
      <sheetName val="stability check"/>
      <sheetName val="design criteria"/>
      <sheetName val="업무분장"/>
      <sheetName val="Sheet4"/>
      <sheetName val="전체내역_(2)"/>
      <sheetName val="전체내역__2_"/>
      <sheetName val="정부노임단가"/>
      <sheetName val="96수출"/>
      <sheetName val="new급여T(4을-운전)"/>
      <sheetName val="터널조도"/>
      <sheetName val="배수내역 (2)"/>
      <sheetName val="갑지(추정)"/>
      <sheetName val="우각부보강"/>
      <sheetName val="인원01"/>
      <sheetName val="경비공통"/>
      <sheetName val="조건"/>
      <sheetName val="수입"/>
      <sheetName val="차수"/>
      <sheetName val="전산품의"/>
      <sheetName val="Sheet2"/>
      <sheetName val="Sheet1"/>
      <sheetName val="MOTOR"/>
      <sheetName val="토목주소"/>
      <sheetName val="프랜트면허"/>
      <sheetName val="BID"/>
      <sheetName val="일위대가"/>
      <sheetName val="Rate"/>
      <sheetName val="실행철강하도"/>
      <sheetName val="1공구(을)"/>
      <sheetName val="울산시산표"/>
      <sheetName val="COPING"/>
      <sheetName val="계정"/>
      <sheetName val="95하U$가격"/>
      <sheetName val="차종별"/>
      <sheetName val="선급비용"/>
      <sheetName val="대공종"/>
      <sheetName val="설비"/>
      <sheetName val="2.대외공문"/>
      <sheetName val="차액보증"/>
      <sheetName val="COVER-P"/>
      <sheetName val="선정요령"/>
      <sheetName val="unit cost Bauteil 1"/>
      <sheetName val="unit cost Bauteil 2"/>
      <sheetName val="unit cost Bauteil 3"/>
      <sheetName val="unit cost Bauteil 4"/>
      <sheetName val="unit cost Bauteil 5"/>
      <sheetName val="BUS제원1"/>
      <sheetName val="삭제금지단가"/>
      <sheetName val="98지급계획"/>
      <sheetName val="95년12월말"/>
      <sheetName val="영동(D)"/>
      <sheetName val="단면치수"/>
      <sheetName val="항목(1)"/>
      <sheetName val="협조전"/>
      <sheetName val="TABLE DB"/>
      <sheetName val="쌍용 data base"/>
      <sheetName val="DATE"/>
      <sheetName val="내역서"/>
      <sheetName val="특별교실"/>
      <sheetName val="자압"/>
      <sheetName val="ABUT수량-A1"/>
      <sheetName val="1.설계조건"/>
      <sheetName val="할증 "/>
      <sheetName val="건축공사"/>
      <sheetName val="상반기손익차2총괄"/>
      <sheetName val="경비2내역"/>
      <sheetName val="COVER"/>
      <sheetName val="#REF"/>
      <sheetName val="산출내역서"/>
      <sheetName val="설정"/>
      <sheetName val="경비"/>
      <sheetName val="산근"/>
      <sheetName val="CTEMCOST"/>
      <sheetName val="BEQ내역"/>
      <sheetName val="DATA"/>
      <sheetName val="OECD Raw"/>
      <sheetName val="Cost bd-&quot;A&quot;"/>
      <sheetName val="Graph (LGEN)"/>
      <sheetName val="out_prog"/>
      <sheetName val="선적schedule (2)"/>
      <sheetName val="조건 (A)"/>
      <sheetName val="갑지1"/>
      <sheetName val="금융비용"/>
      <sheetName val="을-ATYPE"/>
      <sheetName val="수안보-MBR1"/>
      <sheetName val="시험장S자로가로등공사"/>
      <sheetName val="남양시작동자105노65기1.3화1.2"/>
      <sheetName val="TEL"/>
      <sheetName val="장비 (2)"/>
      <sheetName val="JUCK"/>
      <sheetName val="Sheet3"/>
      <sheetName val="자재"/>
      <sheetName val="토공"/>
      <sheetName val="Eq. Mobilization"/>
      <sheetName val="유림골조"/>
      <sheetName val="이자율"/>
      <sheetName val="부대대비"/>
      <sheetName val="냉연집계"/>
      <sheetName val="YES"/>
      <sheetName val="공통가설"/>
      <sheetName val="준검 내역서"/>
      <sheetName val="업체별 물량배정요청"/>
      <sheetName val="차량별점검"/>
      <sheetName val="공사개요"/>
      <sheetName val="미수채권1 사업관리 (3)"/>
      <sheetName val="날개벽수량표"/>
      <sheetName val="물량산출(금속설계)"/>
      <sheetName val="영업소실적"/>
      <sheetName val="조명시설"/>
      <sheetName val="예산M11A"/>
      <sheetName val="중량표"/>
      <sheetName val="노동부"/>
      <sheetName val="PROCESS"/>
      <sheetName val="WORK-VOL"/>
      <sheetName val="골조"/>
      <sheetName val="Table"/>
      <sheetName val="광혁기성"/>
      <sheetName val="계산내역"/>
      <sheetName val="Pengalaman Per"/>
      <sheetName val="ITB COST"/>
      <sheetName val="교각1"/>
      <sheetName val="손익분석"/>
      <sheetName val="남양시작동010313100%"/>
      <sheetName val="경상직원"/>
      <sheetName val="부속동"/>
      <sheetName val="내역"/>
      <sheetName val="단가"/>
      <sheetName val="???? (2)"/>
      <sheetName val="97 사업추정(WEKI)"/>
      <sheetName val="공수계획"/>
      <sheetName val="SG"/>
      <sheetName val="-15.0"/>
      <sheetName val="bearing"/>
      <sheetName val="표지"/>
      <sheetName val="인건비"/>
      <sheetName val="nn(신입_일반)"/>
      <sheetName val="sn(삼성_일반)"/>
      <sheetName val="____ (2)"/>
      <sheetName val="수량산출"/>
      <sheetName val="FORM-0"/>
      <sheetName val="Sheet3 (2)"/>
      <sheetName val="요율"/>
      <sheetName val="자재대"/>
      <sheetName val="KS-301_WBS"/>
      <sheetName val="anaysis_she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  <sheetName val="공량산출서"/>
      <sheetName val="2.대외공문"/>
      <sheetName val="소상 &quot;1&quot;"/>
      <sheetName val="인원01"/>
      <sheetName val="OUT"/>
      <sheetName val="계정"/>
      <sheetName val="개략"/>
      <sheetName val="대공종"/>
      <sheetName val="수압집계"/>
      <sheetName val="세부추진"/>
      <sheetName val="상용보강"/>
      <sheetName val="Sheet1 (2)"/>
      <sheetName val="전체내역 (2)"/>
      <sheetName val="공정별계획(생산,발송)"/>
      <sheetName val="시공계획"/>
      <sheetName val="UNIT"/>
      <sheetName val="VALVE"/>
      <sheetName val="업무분장"/>
      <sheetName val="결산905"/>
      <sheetName val="수리결과"/>
      <sheetName val="구동"/>
      <sheetName val="시험장S자로가로등공사"/>
      <sheetName val="세목별"/>
      <sheetName val="인사자료총집계"/>
      <sheetName val="협조전"/>
      <sheetName val="Total"/>
      <sheetName val="실행철강하도"/>
      <sheetName val="입찰안"/>
      <sheetName val="부대내역"/>
      <sheetName val="DATE"/>
      <sheetName val="노임"/>
      <sheetName val="관람석제출"/>
      <sheetName val="견적 업체 LIST"/>
      <sheetName val="일위대가표"/>
      <sheetName val="Macro(차단기)"/>
      <sheetName val="JUCKEYK"/>
      <sheetName val="Hyundai.Unit.cost.xls"/>
      <sheetName val="남양시작동010313100%"/>
      <sheetName val="unit cost Bauteil 1"/>
      <sheetName val="unit cost Bauteil 2"/>
      <sheetName val="unit cost Bauteil 3"/>
      <sheetName val="unit cost Bauteil 4"/>
      <sheetName val="unit cost Bauteil 5"/>
      <sheetName val="차액보증"/>
      <sheetName val="조건"/>
      <sheetName val="Gian"/>
      <sheetName val="3.바닥판설계"/>
      <sheetName val="을"/>
      <sheetName val="원가계산서"/>
      <sheetName val="Sheet2"/>
      <sheetName val="남양시작동자105노65기1.3화1.2"/>
      <sheetName val="Sheet1"/>
      <sheetName val="BID"/>
      <sheetName val="표지"/>
      <sheetName val="내역"/>
      <sheetName val="5사남"/>
      <sheetName val="설비"/>
      <sheetName val="자재"/>
      <sheetName val="내역서"/>
      <sheetName val="플랜트 설치"/>
      <sheetName val="산출내역서"/>
      <sheetName val="코드표"/>
      <sheetName val="차량별점검"/>
      <sheetName val="카렌스센터계량기설치공사"/>
      <sheetName val="RE9604"/>
      <sheetName val="수입"/>
      <sheetName val="시화점실행"/>
      <sheetName val="전체내역_(2)"/>
      <sheetName val="유기공정"/>
      <sheetName val="C1ㅇ"/>
      <sheetName val="항목(1)"/>
      <sheetName val="0001new"/>
      <sheetName val="충주"/>
      <sheetName val="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설(공내역)"/>
      <sheetName val="공사현황"/>
      <sheetName val="일반시방서"/>
      <sheetName val="현장설명"/>
      <sheetName val="갑지"/>
      <sheetName val="Sheet2"/>
      <sheetName val="Sheet3"/>
      <sheetName val="조명시설"/>
      <sheetName val="BID"/>
      <sheetName val="울산시산표"/>
      <sheetName val="전체내역 (2)"/>
      <sheetName val="5사남"/>
      <sheetName val="정공공사"/>
      <sheetName val="전기"/>
      <sheetName val="계정"/>
      <sheetName val="Total"/>
      <sheetName val="데이타"/>
      <sheetName val="식재인부"/>
      <sheetName val="2.대외공문"/>
      <sheetName val=" 상부공통집계(총괄)"/>
      <sheetName val="현설자료(부대입찰용,영월정양)"/>
      <sheetName val="견적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분석"/>
      <sheetName val="조달분석"/>
      <sheetName val="조달청"/>
      <sheetName val="예산내역서"/>
      <sheetName val="일위대가목록표"/>
      <sheetName val="일위대가표"/>
      <sheetName val="단가산출"/>
      <sheetName val="중기사용료"/>
      <sheetName val="기계단가"/>
      <sheetName val="단가비교표"/>
      <sheetName val="노임단가"/>
      <sheetName val="한자"/>
      <sheetName val="원가계산서"/>
      <sheetName val="조달청 (2)"/>
      <sheetName val="건축내역서"/>
      <sheetName val="기계내역서"/>
      <sheetName val="조명시설"/>
      <sheetName val="계정"/>
      <sheetName val="CTEMCOST"/>
      <sheetName val="토목"/>
      <sheetName val="data"/>
      <sheetName val="직접경비"/>
      <sheetName val="직접인건비"/>
      <sheetName val="자  재"/>
      <sheetName val="건축외주"/>
      <sheetName val="설계내역서"/>
      <sheetName val="울산시산표"/>
      <sheetName val="대공종"/>
      <sheetName val="2.대외공문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노임단가"/>
      <sheetName val="단가조사"/>
      <sheetName val="도급견적가"/>
      <sheetName val="Total"/>
      <sheetName val="시험장S자로가로등공사"/>
      <sheetName val="N賃率-職"/>
      <sheetName val="내역"/>
      <sheetName val="COVER-P"/>
      <sheetName val="단위중량"/>
      <sheetName val="노임"/>
      <sheetName val="Code"/>
      <sheetName val="토공집계"/>
      <sheetName val="단가산출서 (연암)"/>
      <sheetName val="내역대비표(코크스)"/>
      <sheetName val="BEND LOSS"/>
      <sheetName val="업무분장"/>
      <sheetName val="승진대상"/>
      <sheetName val="프랜트면허"/>
      <sheetName val="토목주소"/>
      <sheetName val="단가(1)"/>
      <sheetName val="2.대외공문"/>
      <sheetName val="일위대가(출입)"/>
      <sheetName val="#REF"/>
      <sheetName val="Sheet2"/>
      <sheetName val="현장관리비"/>
      <sheetName val="해외"/>
      <sheetName val="전체내역 (2)"/>
      <sheetName val="우수받이"/>
      <sheetName val="N101-lead"/>
      <sheetName val="수입"/>
      <sheetName val="영업.일1"/>
      <sheetName val="차수"/>
      <sheetName val="울산시산표"/>
      <sheetName val="고정자산"/>
      <sheetName val="매출원가추정"/>
      <sheetName val="매출추정"/>
      <sheetName val="dia chi"/>
      <sheetName val="bai1-ke"/>
      <sheetName val="TOT"/>
      <sheetName val="월별수입"/>
      <sheetName val="설계"/>
      <sheetName val="부재리스트"/>
      <sheetName val="CTEMCOST"/>
      <sheetName val="토목"/>
      <sheetName val="JUCKEYK"/>
      <sheetName val="1차 내역서"/>
      <sheetName val="견적서"/>
      <sheetName val="항목(1)"/>
      <sheetName val="수리결과"/>
      <sheetName val="DATA"/>
      <sheetName val="계정"/>
      <sheetName val="조명시설"/>
      <sheetName val="그룹사_97년승진률"/>
      <sheetName val="년도별승진인원_(2)"/>
      <sheetName val="년도별승진인원_(3)"/>
      <sheetName val="TO운영안변경_(2)"/>
      <sheetName val="을"/>
      <sheetName val="지급자재"/>
      <sheetName val="개요"/>
      <sheetName val="회사99"/>
      <sheetName val="입찰안"/>
      <sheetName val="설계내역서"/>
      <sheetName val="Hyundai.Unit.cost.xls"/>
      <sheetName val="남양구조시험동"/>
      <sheetName val="대비"/>
      <sheetName val="R&amp;D"/>
      <sheetName val="토공사(흙막이)"/>
      <sheetName val="집계표"/>
      <sheetName val="소각장스케줄"/>
      <sheetName val="인원01"/>
      <sheetName val="전문품의"/>
      <sheetName val="List2"/>
      <sheetName val="List3"/>
      <sheetName val="예산계획"/>
      <sheetName val="소상 &quot;1&quot;"/>
      <sheetName val="PAINT"/>
      <sheetName val="SUMMARY"/>
      <sheetName val="물량표"/>
      <sheetName val="가정"/>
      <sheetName val="내역서을지"/>
      <sheetName val="020114"/>
      <sheetName val="전체"/>
      <sheetName val="국내총괄"/>
      <sheetName val="물량표(신)"/>
      <sheetName val="Gia vat tu"/>
      <sheetName val="MARCH 25"/>
      <sheetName val="명단"/>
      <sheetName val="자체실적1Q"/>
      <sheetName val="단중표"/>
      <sheetName val="공통가설"/>
      <sheetName val="STAND98"/>
      <sheetName val="VAT duoc khau tru"/>
      <sheetName val="H-PILE수량집계"/>
      <sheetName val="공문"/>
      <sheetName val="노임이"/>
      <sheetName val="견"/>
      <sheetName val="ABUT수량-A1"/>
      <sheetName val="설계예시"/>
      <sheetName val="Sheet3"/>
      <sheetName val="건축공사 집계표"/>
      <sheetName val="골조"/>
      <sheetName val="기준"/>
      <sheetName val="건축내역서"/>
      <sheetName val="설비내역서"/>
      <sheetName val="전기내역서"/>
      <sheetName val="WI"/>
      <sheetName val="내역서"/>
      <sheetName val="현장관리비세부내역 "/>
      <sheetName val="구조물공1"/>
      <sheetName val="배수및구조물공1"/>
      <sheetName val="수배전반"/>
      <sheetName val="CAL."/>
      <sheetName val="대공종"/>
      <sheetName val="기계"/>
      <sheetName val="일위(설)"/>
      <sheetName val="매출현황"/>
      <sheetName val="등록자료"/>
      <sheetName val="입력정보"/>
      <sheetName val="대목"/>
      <sheetName val="인사자료총집계"/>
      <sheetName val="플랜트 설치"/>
      <sheetName val="원가계산서"/>
      <sheetName val="골조시행"/>
      <sheetName val="전선 및 전선관"/>
      <sheetName val="Sheet1"/>
      <sheetName val="파이프류"/>
      <sheetName val="돈암사업"/>
      <sheetName val="2016년 수금 사업계획"/>
      <sheetName val="도"/>
      <sheetName val="부대내역"/>
      <sheetName val="물량내역"/>
      <sheetName val="코드"/>
      <sheetName val="정공공사"/>
      <sheetName val="사업부배부A"/>
      <sheetName val="코드표"/>
      <sheetName val="DAN"/>
      <sheetName val="백호우계수"/>
      <sheetName val="도로구조공사비"/>
      <sheetName val="도로토공공사비"/>
      <sheetName val="여수토공사비"/>
      <sheetName val="공통비"/>
      <sheetName val="관제점"/>
      <sheetName val="산출근거"/>
      <sheetName val="판넬코드표"/>
      <sheetName val="6공구(당초)"/>
      <sheetName val="공종별내역서"/>
      <sheetName val="원가계산서(남측)"/>
      <sheetName val="카렌스센터계량기설치공사"/>
      <sheetName val="협조전"/>
      <sheetName val="월별(급여)"/>
      <sheetName val="하자보증보험료"/>
      <sheetName val="Sheet4"/>
      <sheetName val="매각(6)"/>
      <sheetName val="II손익관리"/>
      <sheetName val="터파기및재료"/>
      <sheetName val="구리토평1전기"/>
      <sheetName val="경산"/>
      <sheetName val="목록"/>
      <sheetName val="자  재"/>
      <sheetName val="건축외주"/>
      <sheetName val="数据"/>
      <sheetName val="ORIGN"/>
      <sheetName val="2공구산출내역"/>
      <sheetName val="단가"/>
      <sheetName val="자판실행"/>
      <sheetName val="산근"/>
      <sheetName val="수주추정"/>
      <sheetName val="BID"/>
      <sheetName val="Sheet5"/>
      <sheetName val="판넬"/>
      <sheetName val="철골"/>
      <sheetName val="마감산출"/>
      <sheetName val="토공"/>
      <sheetName val="자재표"/>
      <sheetName val="투찰금액"/>
      <sheetName val="JUCK"/>
      <sheetName val="MOTOR"/>
      <sheetName val="기본단가"/>
      <sheetName val="인건비단가"/>
      <sheetName val="실행철강하도"/>
      <sheetName val="금액내역서"/>
      <sheetName val="내역서2안"/>
      <sheetName val="고자현황"/>
      <sheetName val="공사손익"/>
      <sheetName val="세부추진"/>
      <sheetName val="상용보강"/>
      <sheetName val="영지실적"/>
      <sheetName val="갑지(추정)"/>
      <sheetName val="부대공"/>
      <sheetName val="포장공"/>
      <sheetName val="Eq. Mobilization"/>
      <sheetName val="유림골조"/>
      <sheetName val="단가대비"/>
      <sheetName val="일위_파일"/>
      <sheetName val="변경내역"/>
      <sheetName val="종단계산"/>
      <sheetName val="(C)원내역"/>
      <sheetName val="정렬"/>
      <sheetName val="갑지"/>
      <sheetName val="A3.공사비 검토"/>
      <sheetName val="토공사"/>
      <sheetName val="의뢰서(입력)"/>
      <sheetName val="남양시작동자105노65기1.3화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5사남"/>
      <sheetName val="#REF"/>
      <sheetName val="Sheet2"/>
      <sheetName val="단가"/>
      <sheetName val="Baby일위대가"/>
      <sheetName val="내역서"/>
      <sheetName val="대차대조표"/>
      <sheetName val="일위대가"/>
      <sheetName val="내역대비표(코크스)"/>
      <sheetName val="ELECTRIC"/>
      <sheetName val="골조시행"/>
      <sheetName val="수량산출근거(본선)"/>
      <sheetName val="납부서"/>
      <sheetName val="AKF-2"/>
      <sheetName val="1차 내역서"/>
      <sheetName val="울산시산표"/>
      <sheetName val="노임단가"/>
      <sheetName val="Eq. Mobilization"/>
      <sheetName val="상반기손익차2총괄"/>
      <sheetName val="직노"/>
      <sheetName val="도급견적가"/>
      <sheetName val="터파기및재료"/>
      <sheetName val="구조물공1"/>
      <sheetName val="배수및구조물공1"/>
      <sheetName val="건축공사실행"/>
      <sheetName val="관람석제출"/>
      <sheetName val="총괄"/>
      <sheetName val="2.대외공문"/>
      <sheetName val="조명시설"/>
      <sheetName val="실행철강하도"/>
      <sheetName val="일위대가(가설)"/>
      <sheetName val="II손익관리"/>
      <sheetName val="CTEMCOST"/>
      <sheetName val="70%"/>
      <sheetName val="카렌스센터계량기설치공사"/>
      <sheetName val="배수공"/>
      <sheetName val="부대내역"/>
      <sheetName val="계정"/>
      <sheetName val="프랜트면허"/>
      <sheetName val="업무분장"/>
      <sheetName val="단가조사"/>
      <sheetName val="R&amp;D"/>
      <sheetName val="2공구산출내역"/>
      <sheetName val="인사자료총집계"/>
      <sheetName val="도"/>
      <sheetName val="BEND LOSS"/>
      <sheetName val="원가계산서"/>
      <sheetName val="Sheet1"/>
      <sheetName val="을지(3층 9개소)"/>
      <sheetName val="LD"/>
      <sheetName val="을지"/>
      <sheetName val="일위대가(출입)"/>
      <sheetName val="남양시작동자105노65기1.3화1.2"/>
      <sheetName val="Sheet5"/>
      <sheetName val="TOTAL"/>
      <sheetName val="6.INTER CONNECTING"/>
      <sheetName val="대비"/>
      <sheetName val="자재"/>
      <sheetName val="기성고"/>
      <sheetName val="기자재비"/>
      <sheetName val="내역"/>
      <sheetName val="파이프류"/>
      <sheetName val="대공종"/>
      <sheetName val="정공공사"/>
      <sheetName val="4-3 보온 기본물량집계"/>
      <sheetName val="수량조서"/>
      <sheetName val="찍기"/>
      <sheetName val="단가비교"/>
      <sheetName val="8.INTER CONNECTING"/>
      <sheetName val="2선재"/>
      <sheetName val="도면자료제출일정"/>
      <sheetName val="노무비"/>
      <sheetName val="연결관암거"/>
      <sheetName val="부대공"/>
      <sheetName val="토공"/>
      <sheetName val="포장공"/>
      <sheetName val="토목주소"/>
      <sheetName val="Sheet1 (2)"/>
      <sheetName val="설계내역서"/>
      <sheetName val="CB"/>
      <sheetName val="가열로SW"/>
      <sheetName val="환율-LIBOR"/>
      <sheetName val="SENSOR LIST"/>
      <sheetName val="옥외"/>
      <sheetName val="상각율"/>
      <sheetName val="산근"/>
      <sheetName val="CAT_5"/>
      <sheetName val="적용"/>
      <sheetName val="배관BM(일반)"/>
      <sheetName val="WEIGHT LIST"/>
      <sheetName val="POL6차-PIPING"/>
      <sheetName val="물량"/>
      <sheetName val="산#2-1 (2)"/>
      <sheetName val="산#3-1"/>
      <sheetName val="LOAD"/>
      <sheetName val="A LINE"/>
      <sheetName val="5.소재"/>
      <sheetName val="A"/>
      <sheetName val="설비비4"/>
      <sheetName val="단중표"/>
      <sheetName val="부표총괄"/>
      <sheetName val="산#3-2-2"/>
      <sheetName val="산#3-2"/>
      <sheetName val="차액보증"/>
      <sheetName val="코드목록"/>
      <sheetName val="SUPTMTO"/>
      <sheetName val="s"/>
      <sheetName val="DATE"/>
      <sheetName val="산출"/>
      <sheetName val="A7"/>
      <sheetName val="미계약2"/>
      <sheetName val="방화도료산출근거"/>
      <sheetName val="DATA-UPS"/>
      <sheetName val="노임이"/>
      <sheetName val="마감집계(창고)"/>
      <sheetName val="도장면적"/>
      <sheetName val="마감산근(창고)"/>
      <sheetName val="몰탈콘크리트"/>
      <sheetName val="PANEL가격"/>
      <sheetName val="정부노임단가"/>
      <sheetName val="내역서 "/>
      <sheetName val="견적"/>
      <sheetName val="cal"/>
      <sheetName val="ASCEandUBC"/>
      <sheetName val="가도공"/>
      <sheetName val="Ditch(open)"/>
      <sheetName val="WIND"/>
      <sheetName val="일반공사"/>
      <sheetName val="작성방법"/>
      <sheetName val="ORIGN"/>
      <sheetName val="100.01"/>
      <sheetName val="COL"/>
      <sheetName val="사업부배부A"/>
      <sheetName val="PSCbeam설계"/>
      <sheetName val="전선로도"/>
      <sheetName val="CABLE SCH"/>
      <sheetName val="실행예산SHEET도장재검토"/>
      <sheetName val="전기"/>
      <sheetName val="정산서 "/>
      <sheetName val="수목데이타 "/>
      <sheetName val="적용기준"/>
      <sheetName val="영업소실적"/>
      <sheetName val="단가구성 (2)"/>
      <sheetName val="COVER"/>
      <sheetName val="실행내역서 "/>
      <sheetName val="사업관리"/>
      <sheetName val="TIE-IN"/>
      <sheetName val="공사물량총량집계"/>
      <sheetName val="수량산출서"/>
      <sheetName val="MOB-MAN1"/>
      <sheetName val="전기실 산출"/>
      <sheetName val="DATA"/>
      <sheetName val="N賃率-職"/>
      <sheetName val="TABLE"/>
      <sheetName val="코드표"/>
      <sheetName val="IT-BAT"/>
      <sheetName val="Man Power"/>
      <sheetName val="기기리스트"/>
      <sheetName val="토목"/>
      <sheetName val="소일위대가코드표"/>
      <sheetName val="예총"/>
      <sheetName val="WEIGHT_LIST"/>
      <sheetName val="산#2-1_(2)"/>
      <sheetName val="A_LINE"/>
      <sheetName val="기계내역서"/>
      <sheetName val="설비비3"/>
      <sheetName val="MUK-List"/>
      <sheetName val="kich thuoc"/>
      <sheetName val="DTHH"/>
      <sheetName val="연돌일위집계"/>
      <sheetName val="계약ITEM"/>
      <sheetName val="집계표(OPTION)"/>
      <sheetName val="입찰보고"/>
      <sheetName val="JUCK"/>
      <sheetName val="COVER-P"/>
      <sheetName val="명단"/>
      <sheetName val="내역총괄표"/>
      <sheetName val="공사비_NDE"/>
      <sheetName val="RENUN"/>
      <sheetName val="2."/>
      <sheetName val="도급"/>
      <sheetName val="CODE"/>
      <sheetName val="도기류"/>
      <sheetName val="견적내역서"/>
      <sheetName val="전기공사일위대가"/>
      <sheetName val="VXXXXXXXXXXXXXXXXXXXXXXXX"/>
      <sheetName val="OPT"/>
      <sheetName val="SV"/>
      <sheetName val="금액내역서"/>
      <sheetName val="BEND_LOSS"/>
      <sheetName val="단가구성_(2)"/>
      <sheetName val="음성cable"/>
      <sheetName val="설비비6"/>
      <sheetName val="은행"/>
      <sheetName val="예제"/>
      <sheetName val="SAN"/>
      <sheetName val="공종단가"/>
      <sheetName val="아주기계"/>
      <sheetName val="인천제철"/>
      <sheetName val="CABLE BULK"/>
      <sheetName val="금액결정"/>
      <sheetName val="산출근거 (2)"/>
      <sheetName val="집계표 (2)"/>
      <sheetName val="유첨3.적용기준"/>
      <sheetName val="cost"/>
      <sheetName val="터널조도"/>
      <sheetName val="공급집계 (현대-우림)"/>
      <sheetName val="철거산출근거"/>
      <sheetName val="현장관리비"/>
      <sheetName val="PILOT품"/>
      <sheetName val="M96현황-동아"/>
      <sheetName val="BQMPALOC"/>
      <sheetName val="자바라1"/>
      <sheetName val="Sheet4"/>
      <sheetName val="계수시트"/>
      <sheetName val="Eq__Mobilization"/>
      <sheetName val="1차_내역서"/>
      <sheetName val="2_대외공문"/>
      <sheetName val="을지(3층_9개소)"/>
      <sheetName val="남양시작동자105노65기1_3화1_2"/>
      <sheetName val="6_INTER_CONNECTING"/>
      <sheetName val="단위중량"/>
      <sheetName val="유림골조"/>
      <sheetName val="입찰내역 발주처 양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인사자료총집계"/>
      <sheetName val="비목별 투입비"/>
      <sheetName val="예상공사비 (2)"/>
      <sheetName val="내부마감공사비"/>
      <sheetName val="내부마감공사비 (2)"/>
      <sheetName val="현장별평당금액"/>
      <sheetName val="단위당물량"/>
      <sheetName val="자체현장통합"/>
      <sheetName val="현장별품명통일"/>
      <sheetName val="추정공사비"/>
      <sheetName val="예상자재투입량"/>
      <sheetName val="현장별인원투입"/>
      <sheetName val="월별투입"/>
      <sheetName val="누계투입"/>
      <sheetName val="현장집계"/>
      <sheetName val="Sheet3"/>
      <sheetName val="Sheet1"/>
      <sheetName val="Sheet18"/>
      <sheetName val="현장별평당공사비"/>
      <sheetName val="평당금액"/>
      <sheetName val="타사동향"/>
      <sheetName val="공종별공사비분석"/>
      <sheetName val="33평형"/>
      <sheetName val="Sheet8"/>
      <sheetName val="대공정,중공정"/>
      <sheetName val="유형별공사투입비"/>
      <sheetName val="Sheet10"/>
      <sheetName val="Sheet11"/>
      <sheetName val="Sheet12"/>
      <sheetName val="Sheet13"/>
      <sheetName val="Sheet15"/>
      <sheetName val="Sheet14"/>
      <sheetName val="Sheet16"/>
      <sheetName val="Sheet17"/>
      <sheetName val="FORM-0"/>
      <sheetName val="차액보증"/>
      <sheetName val="인사관~1"/>
      <sheetName val="CTEMCOST"/>
      <sheetName val="BJJIN"/>
      <sheetName val="을지"/>
      <sheetName val="공조기"/>
      <sheetName val="Baby일위대가"/>
      <sheetName val="일위_파일"/>
      <sheetName val="JUCKEYK"/>
      <sheetName val="경비"/>
      <sheetName val="카니발(자105노60)"/>
      <sheetName val=" 견적서"/>
      <sheetName val="TEST1"/>
      <sheetName val="archi(본사)"/>
      <sheetName val="연습"/>
      <sheetName val="조건표"/>
      <sheetName val="내역(설계)"/>
      <sheetName val="안양1공구_건축"/>
      <sheetName val="맨홀"/>
      <sheetName val="70%"/>
      <sheetName val="내역서"/>
      <sheetName val="원본"/>
      <sheetName val="퇴직금(울산천상)"/>
      <sheetName val="구분자"/>
      <sheetName val="그림"/>
      <sheetName val="그림2"/>
      <sheetName val="일위대가표"/>
      <sheetName val="교통대책내역"/>
      <sheetName val="99년신청"/>
      <sheetName val="단가산출서"/>
      <sheetName val="관급자재"/>
      <sheetName val="장비"/>
      <sheetName val="산근1"/>
      <sheetName val="노무"/>
      <sheetName val="자재"/>
      <sheetName val="토목주소"/>
      <sheetName val="프랜트면허"/>
      <sheetName val="현대물량"/>
      <sheetName val="#REF"/>
      <sheetName val="기본사항"/>
      <sheetName val="총괄"/>
      <sheetName val="총괄갑 "/>
      <sheetName val="직재"/>
      <sheetName val="48평형"/>
      <sheetName val="62평형"/>
      <sheetName val="SIL98"/>
      <sheetName val="N賃率-職"/>
      <sheetName val="공문"/>
      <sheetName val="실행내역"/>
      <sheetName val="She_x0009__x0000_Y_x0000_"/>
      <sheetName val="_x0000__x000a__x0000_Y"/>
      <sheetName val="She _x0000_Y_x0000_"/>
      <sheetName val="음료실행"/>
      <sheetName val="절취및터파기"/>
      <sheetName val="일위대가"/>
      <sheetName val="경영계획1월"/>
      <sheetName val="견적의뢰서"/>
      <sheetName val="특판제외"/>
      <sheetName val="ABUT수량-A1"/>
      <sheetName val="터파기및재료"/>
      <sheetName val="DATE"/>
      <sheetName val="예가표"/>
      <sheetName val="공사개요"/>
      <sheetName val="DATA2000"/>
      <sheetName val="조명시설"/>
      <sheetName val="전신환매도율"/>
      <sheetName val="단가"/>
      <sheetName val="평가데이터"/>
      <sheetName val="SCHEDULE"/>
      <sheetName val="ELECTRIC"/>
      <sheetName val="표준건축비"/>
      <sheetName val="도급"/>
      <sheetName val="우배수"/>
      <sheetName val="F4-F7"/>
      <sheetName val="FAB별"/>
      <sheetName val="결재판(삭제하지말아주세요)"/>
      <sheetName val="O＆P"/>
      <sheetName val="노임이"/>
      <sheetName val="유림골조"/>
      <sheetName val="PI"/>
      <sheetName val="설직재-1"/>
      <sheetName val="일위"/>
      <sheetName val="J直材4"/>
      <sheetName val="5사남"/>
      <sheetName val="영동(D)"/>
      <sheetName val="소비자가"/>
      <sheetName val="협가표"/>
      <sheetName val="노임단가"/>
      <sheetName val="DATA"/>
      <sheetName val="데이타"/>
      <sheetName val="입찰안"/>
      <sheetName val="Sheet5"/>
      <sheetName val="직노"/>
      <sheetName val="환산"/>
      <sheetName val="구간산출"/>
      <sheetName val="Source"/>
      <sheetName val="Preface"/>
      <sheetName val="방수몰탈"/>
      <sheetName val="준공평가"/>
      <sheetName val="내역"/>
      <sheetName val="9GNG운반"/>
      <sheetName val="단가일람"/>
      <sheetName val="조경일람"/>
      <sheetName val="1차설계변경내역"/>
      <sheetName val="E총"/>
      <sheetName val="가격조사서"/>
      <sheetName val="공정코드"/>
      <sheetName val="45,46"/>
      <sheetName val="개산공사비"/>
      <sheetName val="UEC영화관본공사내역"/>
      <sheetName val="확산동"/>
      <sheetName val="소방 "/>
      <sheetName val="견적조건"/>
      <sheetName val="정화조동내역"/>
      <sheetName val="입찰내역"/>
      <sheetName val="BID"/>
      <sheetName val="투찰금액"/>
      <sheetName val="일위대가(가설)"/>
      <sheetName val="집계표"/>
      <sheetName val="국영"/>
      <sheetName val="대비"/>
      <sheetName val="금액내역서"/>
      <sheetName val="3.공통공사대비"/>
      <sheetName val="매매"/>
      <sheetName val="투찰(하수)"/>
      <sheetName val="She_x0009_"/>
      <sheetName val=""/>
      <sheetName val="She "/>
      <sheetName val="COVER"/>
      <sheetName val="장기차입금"/>
      <sheetName val="토목품셈"/>
      <sheetName val="지급자재"/>
      <sheetName val="옥외외등집계표"/>
      <sheetName val="TYPE-A"/>
      <sheetName val="건축공사실행"/>
      <sheetName val="unit 4"/>
      <sheetName val="데리네이타현황"/>
      <sheetName val="쌍송교"/>
      <sheetName val="본부소개"/>
      <sheetName val="FORM_0"/>
      <sheetName val="Sheet2"/>
      <sheetName val="콘크리트"/>
      <sheetName val="자재 집계표"/>
      <sheetName val="BOQ"/>
      <sheetName val="매입세율"/>
      <sheetName val="위치조서"/>
      <sheetName val="골조시행"/>
      <sheetName val="노무비계"/>
      <sheetName val="TOWER 12TON"/>
      <sheetName val="TOWER 10TON"/>
      <sheetName val="수량3"/>
      <sheetName val="자판실행"/>
      <sheetName val="Ring"/>
      <sheetName val="스포회원매출"/>
      <sheetName val="을"/>
      <sheetName val="갑지"/>
      <sheetName val="6PILE  (돌출)"/>
      <sheetName val="조명율표"/>
      <sheetName val="갑지(추정)"/>
      <sheetName val="총괄표"/>
      <sheetName val="증감집계"/>
      <sheetName val="신규집계"/>
      <sheetName val="증감내역"/>
      <sheetName val="신규내역"/>
      <sheetName val="증감노임산출"/>
      <sheetName val="신규노임산출"/>
      <sheetName val="신규산출조서"/>
      <sheetName val="설변내용"/>
      <sheetName val="수입"/>
      <sheetName val="변경후-SHEET"/>
      <sheetName val="C1ㅇ"/>
      <sheetName val="Total"/>
      <sheetName val="정부노임단가"/>
      <sheetName val="현금흐름"/>
      <sheetName val="설계"/>
      <sheetName val="01"/>
      <sheetName val="품셈TABLE"/>
      <sheetName val="200"/>
      <sheetName val="태안9)3-2)원내역"/>
      <sheetName val="템플릿"/>
      <sheetName val="품셈(기초)"/>
      <sheetName val="실행철강하도"/>
      <sheetName val="항목등록"/>
      <sheetName val="AHU-1"/>
      <sheetName val="급탕설비"/>
      <sheetName val="화장실배기팬"/>
      <sheetName val="1.우편집중내역서"/>
      <sheetName val="설계내역서"/>
      <sheetName val="가로등내역서"/>
      <sheetName val="EACT10"/>
      <sheetName val="건축원가"/>
      <sheetName val="견적서"/>
      <sheetName val="인건비"/>
      <sheetName val="EQT-ESTN"/>
      <sheetName val="개요"/>
      <sheetName val="내역1"/>
      <sheetName val="Sheet1 (2)"/>
      <sheetName val="설 계"/>
      <sheetName val="She _x005f_x0000_Y_x005f_x0000_"/>
      <sheetName val="_x005f_x0000__x005f_x000a__x005f_x0000_Y"/>
      <sheetName val="She_x005f_x0009__x005f_x0000_Y_x005f_x0000_"/>
      <sheetName val="예총"/>
      <sheetName val="매출금액"/>
      <sheetName val="SCH"/>
      <sheetName val="절점(04-R1)"/>
      <sheetName val="건1"/>
      <sheetName val="data1"/>
      <sheetName val="MAT_N048"/>
      <sheetName val="지우기"/>
      <sheetName val="R,BLOCK 세부일정"/>
      <sheetName val="ASPHALT TANK"/>
      <sheetName val="E,ROOM 세부일정"/>
      <sheetName val="LPG TANK"/>
      <sheetName val="9.10곡B(대조립)"/>
      <sheetName val="15.B.S"/>
      <sheetName val="13.B.W"/>
      <sheetName val="8.BLT"/>
      <sheetName val="16.C.L"/>
      <sheetName val="11.H.C"/>
      <sheetName val="14.S.T"/>
      <sheetName val="12.T.W"/>
      <sheetName val="1004"/>
      <sheetName val="검사현황"/>
      <sheetName val="상선"/>
      <sheetName val="S1099기장선행WOP"/>
      <sheetName val="REV.0822"/>
      <sheetName val="매출"/>
      <sheetName val="고장MASTER"/>
      <sheetName val="첨부1. 장비별고장"/>
      <sheetName val="첨부2. 장비별원인"/>
      <sheetName val="작업자성명"/>
      <sheetName val="투입자재"/>
      <sheetName val="노무비단가"/>
      <sheetName val="원형1호맨홀토공수량"/>
      <sheetName val="견적"/>
      <sheetName val="건축내역"/>
      <sheetName val="일반공사"/>
      <sheetName val="가설공사비"/>
      <sheetName val="도로구조공사비"/>
      <sheetName val="수량산출"/>
      <sheetName val="토공(우물통,기타) "/>
      <sheetName val="일용노임단가"/>
      <sheetName val="참조자료"/>
      <sheetName val="SRC-B3U2"/>
      <sheetName val="전 기"/>
      <sheetName val="95MAKER"/>
      <sheetName val="단가조사"/>
      <sheetName val="패널"/>
      <sheetName val="연결임시"/>
      <sheetName val="단위수량"/>
      <sheetName val="일위목록"/>
      <sheetName val="집 계 표"/>
      <sheetName val="사업부배부A"/>
      <sheetName val="노임"/>
      <sheetName val="기계내역서"/>
      <sheetName val="계측기"/>
      <sheetName val="변경내역"/>
      <sheetName val="급탕순환펌프"/>
      <sheetName val="기초부하"/>
      <sheetName val="EJ"/>
      <sheetName val="설계조건"/>
      <sheetName val="수리결과"/>
      <sheetName val="적용토목"/>
      <sheetName val="1.취수장"/>
      <sheetName val="광통신 견적내역서1"/>
      <sheetName val="최종견"/>
      <sheetName val="경성자금"/>
      <sheetName val="하수급견적대비"/>
      <sheetName val="FAX"/>
      <sheetName val="옥외"/>
      <sheetName val="동원인원계획표"/>
      <sheetName val="배수공"/>
      <sheetName val="SUB일위대가"/>
      <sheetName val="심사"/>
      <sheetName val="당진1,2호기전선관설치및접지4차공사내역서-을지"/>
      <sheetName val="수문일1"/>
      <sheetName val="통신물량"/>
      <sheetName val="정렬"/>
      <sheetName val="품셈표"/>
      <sheetName val="관급"/>
      <sheetName val="장비가동"/>
      <sheetName val="내역표지"/>
      <sheetName val="6공구(당초)"/>
      <sheetName val="건축"/>
      <sheetName val="BREAKDOWN(철거설치)"/>
      <sheetName val="2공구산출내역"/>
      <sheetName val="산출내역서집계표"/>
      <sheetName val="Macro1"/>
      <sheetName val="장문교(대전)"/>
      <sheetName val="원효펌프교체020812"/>
      <sheetName val="공틀공사"/>
      <sheetName val="기계설비"/>
      <sheetName val="단가산출"/>
      <sheetName val="단면 (2)"/>
      <sheetName val="날개벽수량표"/>
      <sheetName val="별표 "/>
      <sheetName val="찍기"/>
      <sheetName val="프로젝트"/>
      <sheetName val="QandAJunior"/>
      <sheetName val="실행"/>
      <sheetName val="VXXXXXXX"/>
      <sheetName val="원내역서3"/>
      <sheetName val="비목별_투입비"/>
      <sheetName val="예상공사비_(2)"/>
      <sheetName val="내부마감공사비_(2)"/>
      <sheetName val="R,BLOCK_세부일정"/>
      <sheetName val="ASPHALT_TANK"/>
      <sheetName val="E,ROOM_세부일정"/>
      <sheetName val="LPG_TANK"/>
      <sheetName val="9_10곡B(대조립)"/>
      <sheetName val="15_B_S"/>
      <sheetName val="13_B_W"/>
      <sheetName val="8_BLT"/>
      <sheetName val="16_C_L"/>
      <sheetName val="11_H_C"/>
      <sheetName val="14_S_T"/>
      <sheetName val="12_T_W"/>
      <sheetName val="소방_"/>
      <sheetName val="_견적서"/>
      <sheetName val="총괄갑_"/>
      <sheetName val="REV_0822"/>
      <sheetName val="MAT"/>
      <sheetName val="RB, ER"/>
      <sheetName val="시산표"/>
      <sheetName val="M1master"/>
      <sheetName val="B.O.M"/>
      <sheetName val="남양시작동자105노65기1.3화1.2"/>
      <sheetName val="관리,공감"/>
      <sheetName val="부서코드표"/>
      <sheetName val="교각1"/>
      <sheetName val="보차도경계석"/>
      <sheetName val="제안서"/>
      <sheetName val="행정표준(1)"/>
      <sheetName val="행정표준(2)"/>
      <sheetName val="SALE"/>
      <sheetName val="관람석제출"/>
      <sheetName val="DB"/>
      <sheetName val="LIQUIDMETAL-경보설비"/>
      <sheetName val="토공사(흙막이)"/>
      <sheetName val="품의"/>
      <sheetName val="수량산출근거(본선)"/>
      <sheetName val="천안IP공장자100노100물량110할증"/>
      <sheetName val="산근"/>
      <sheetName val="대로근거"/>
      <sheetName val="중로근거"/>
      <sheetName val="카렌스센터계량기설치공사"/>
      <sheetName val="2.대외공문"/>
      <sheetName val="남양시작동010313100%"/>
      <sheetName val="주관사업"/>
      <sheetName val="점수계산1-2"/>
      <sheetName val=" ｹ-ﾌﾞﾙ"/>
      <sheetName val="원가계산서"/>
      <sheetName val="추가예산"/>
      <sheetName val="증감분석"/>
      <sheetName val="표건"/>
      <sheetName val="견적의뢰"/>
      <sheetName val="재개발"/>
      <sheetName val="wall"/>
      <sheetName val="Front"/>
      <sheetName val="ATM기초철가"/>
      <sheetName val="품목단가"/>
      <sheetName val="Y-WORK"/>
      <sheetName val="용소리교"/>
      <sheetName val="매입세"/>
      <sheetName val="총괄-1"/>
      <sheetName val="data(일반항습)"/>
      <sheetName val="배수통관(좌)"/>
      <sheetName val="단가표"/>
      <sheetName val="물량표"/>
      <sheetName val="자재집계표"/>
      <sheetName val="일위대가(1)"/>
      <sheetName val="1공구산출내역서"/>
      <sheetName val="토공사"/>
      <sheetName val="삭제금지단가"/>
      <sheetName val="NOMUBI"/>
      <sheetName val="sw1"/>
      <sheetName val="양식0202"/>
      <sheetName val="현장명"/>
      <sheetName val="A-4"/>
      <sheetName val="설계예산서"/>
      <sheetName val=" 토목 처리장도급내역서 "/>
      <sheetName val="선정요령"/>
      <sheetName val="세부내역"/>
      <sheetName val="소화"/>
      <sheetName val="A1내역_총괄표"/>
      <sheetName val="Lr"/>
      <sheetName val="변경후원본2"/>
      <sheetName val="간접경상비"/>
      <sheetName val="TCDB"/>
      <sheetName val="설계명세서"/>
      <sheetName val="천공배관"/>
      <sheetName val="기계실주위배관"/>
      <sheetName val="히트펌프"/>
      <sheetName val="7.경제성결과"/>
      <sheetName val="작성"/>
      <sheetName val="98수문일위"/>
      <sheetName val="우석토건변경대비표.xlsx"/>
      <sheetName val="부대내역"/>
      <sheetName val="J"/>
      <sheetName val="오억미만"/>
      <sheetName val="전산품의"/>
      <sheetName val="98지급계획"/>
      <sheetName val="일위대가(계측기설치)"/>
      <sheetName val="2.1"/>
      <sheetName val="수량산출내역1115"/>
      <sheetName val="평3"/>
      <sheetName val="예산서"/>
      <sheetName val="토공"/>
      <sheetName val="시화점실행"/>
      <sheetName val="월별수입"/>
      <sheetName val="지질조사"/>
      <sheetName val="唸/ۏ瘀"/>
      <sheetName val="돈암사업"/>
      <sheetName val="재료비"/>
      <sheetName val="선적일정"/>
      <sheetName val="10월"/>
      <sheetName val="E총15"/>
      <sheetName val="97 사업추정(WEKI)"/>
      <sheetName val="계정"/>
      <sheetName val="WBS(ENG포함)"/>
      <sheetName val="단중표"/>
      <sheetName val="토목-물가"/>
      <sheetName val="1차 내역서"/>
      <sheetName val="성곽내역서"/>
      <sheetName val="실별부하계산"/>
      <sheetName val="0226"/>
      <sheetName val="파이프류"/>
      <sheetName val="역T형옹벽(3.0)"/>
      <sheetName val="[인사관~1.XLS]唸/ۏ瘀"/>
      <sheetName val="인천제철"/>
      <sheetName val="내역대비표(코크스)"/>
      <sheetName val="5.세운W-A"/>
      <sheetName val="INPUT"/>
      <sheetName val="MODELING"/>
      <sheetName val="PSCbeam설계"/>
      <sheetName val="음성방향"/>
      <sheetName val="공사비예산서(토목분)"/>
      <sheetName val="인건-측정"/>
      <sheetName val="경영혁신본부"/>
      <sheetName val="BOJUNGGM"/>
      <sheetName val="[인사관~1.XLS][인사관~1.XLS]唸/ۏ瘀"/>
      <sheetName val="She_x0009_?Y?"/>
      <sheetName val="?_x000a_?Y"/>
      <sheetName val="She ?Y?"/>
      <sheetName val="She_Y"/>
      <sheetName val="자재_집계표"/>
      <sheetName val="본선 토공 분배표"/>
      <sheetName val="내역서(기성청구)"/>
      <sheetName val="할증 "/>
      <sheetName val="GRDBS"/>
      <sheetName val="예정(3)"/>
      <sheetName val="동원(3)"/>
      <sheetName val="부속동"/>
      <sheetName val="L-type"/>
      <sheetName val="spec1"/>
      <sheetName val="13FL EAST"/>
      <sheetName val="13FL WEST (2)"/>
      <sheetName val="22FL EAST"/>
      <sheetName val="1-1"/>
      <sheetName val="고분전시관"/>
      <sheetName val="설비"/>
      <sheetName val="목표세부명세"/>
      <sheetName val="참조"/>
      <sheetName val="아파트 "/>
      <sheetName val="기안"/>
      <sheetName val="4-3 보온 기본물량집계"/>
      <sheetName val="단위단가"/>
      <sheetName val="기술조건"/>
      <sheetName val="O실보"/>
      <sheetName val="토목공사"/>
      <sheetName val="하수처리장"/>
      <sheetName val="2000년 공정표"/>
      <sheetName val="양수장(기계)"/>
      <sheetName val="견적서세부내용"/>
      <sheetName val="_x005f_x0000_ _x005f_x0000_Y"/>
      <sheetName val="신공"/>
      <sheetName val="저"/>
      <sheetName val="현금"/>
      <sheetName val="을지(제출)"/>
      <sheetName val="본사공가현황"/>
      <sheetName val="[인사관~1.XLS][인사관~1.XLS][인사관~1.XL"/>
      <sheetName val="청라지구한화아파트"/>
      <sheetName val="변1"/>
      <sheetName val="현장관리비"/>
      <sheetName val="C3"/>
      <sheetName val="기초및구체공"/>
      <sheetName val="YANG"/>
      <sheetName val="단가표 (2)"/>
      <sheetName val="손익차9월2"/>
      <sheetName val="2000년1차"/>
      <sheetName val="토공정보"/>
      <sheetName val="영업외손익등"/>
      <sheetName val="일일총괄"/>
      <sheetName val="금융비용"/>
      <sheetName val="정산서"/>
      <sheetName val="보호"/>
      <sheetName val="data table"/>
      <sheetName val="合成単価作成表-BLDG"/>
      <sheetName val="She_x005f_x0009_"/>
      <sheetName val="She _x005f_x005f_x005f_x0000_Y_x005f_x005f_x005f_x0000_"/>
      <sheetName val="_x005f_x005f_x005f_x0000__x005f_x005f_x005f_x000a__x005"/>
      <sheetName val="She_x005f_x005f_x005f_x0009__x005f_x005f_x005f_x0000_Y_"/>
      <sheetName val="Sheet4"/>
      <sheetName val="일반물자(한국통신)"/>
      <sheetName val="현장관리비데이타"/>
      <sheetName val="입적표"/>
      <sheetName val="000000"/>
      <sheetName val="가시설수량"/>
      <sheetName val="9902"/>
      <sheetName val="날개벽"/>
      <sheetName val="이토변실(A3-LINE)"/>
      <sheetName val="노임,기계단가"/>
      <sheetName val="중기사용료"/>
      <sheetName val="식재인부"/>
      <sheetName val="빗물받이(910-510-410)"/>
      <sheetName val="산출근거"/>
      <sheetName val="96보완계획7_12"/>
      <sheetName val="관로공표지"/>
      <sheetName val="토목내역서"/>
      <sheetName val="암거단위"/>
      <sheetName val="단위량당중기"/>
      <sheetName val="내역을"/>
      <sheetName val="VXXXXX"/>
      <sheetName val="danga"/>
      <sheetName val="1_우편집중내역서"/>
      <sheetName val="1_설계조건"/>
      <sheetName val="보도경계블럭"/>
      <sheetName val="ilch"/>
      <sheetName val="안정계산"/>
      <sheetName val="단면검토"/>
      <sheetName val="집수정(600-700)"/>
      <sheetName val="비목별_투입비1"/>
      <sheetName val="예상공사비_(2)1"/>
      <sheetName val="내부마감공사비_(2)1"/>
      <sheetName val="비목별_투입비3"/>
      <sheetName val="예상공사비_(2)3"/>
      <sheetName val="내부마감공사비_(2)3"/>
      <sheetName val="비목별_투입비2"/>
      <sheetName val="예상공사비_(2)2"/>
      <sheetName val="내부마감공사비_(2)2"/>
      <sheetName val="비목별_투입비4"/>
      <sheetName val="예상공사비_(2)4"/>
      <sheetName val="내부마감공사비_(2)4"/>
      <sheetName val="외화금융(97-03)"/>
      <sheetName val="Dwg"/>
      <sheetName val="지수"/>
      <sheetName val="전체"/>
      <sheetName val="_x0000_ _x0000_Y"/>
      <sheetName val="GAEYO"/>
      <sheetName val="구성비"/>
      <sheetName val="토공(우물통,기타)_"/>
      <sheetName val="교대일반수량총괄집계표"/>
      <sheetName val="입찰보고"/>
      <sheetName val="기성고"/>
      <sheetName val="매부산출"/>
      <sheetName val="현관"/>
      <sheetName val="공사내역"/>
      <sheetName val="인원계획-미화"/>
      <sheetName val=" 냉각수펌프"/>
      <sheetName val="공조기휀"/>
      <sheetName val="AHU집계"/>
      <sheetName val="재집"/>
      <sheetName val="승용"/>
      <sheetName val="도급견적가"/>
      <sheetName val="파일항타"/>
      <sheetName val="교대일반수량"/>
      <sheetName val="기계경비(시간당)"/>
      <sheetName val="램머"/>
      <sheetName val="기준FACTOR"/>
      <sheetName val="단가비교"/>
      <sheetName val="토목내역"/>
      <sheetName val="1-1평균터파기고(1)"/>
      <sheetName val="덕전리"/>
      <sheetName val="내역서(삼호)"/>
      <sheetName val="??"/>
      <sheetName val="FB25JN"/>
      <sheetName val="매립"/>
      <sheetName val="INPUTDATA"/>
      <sheetName val="분당임차변경"/>
      <sheetName val="CON'C"/>
      <sheetName val="일위대가내역"/>
      <sheetName val="1안"/>
      <sheetName val="배열수식"/>
      <sheetName val="내2"/>
      <sheetName val="? ?Y"/>
      <sheetName val="기초단가"/>
      <sheetName val="지수적용공사비내역서"/>
      <sheetName val="당사수지비교표"/>
      <sheetName val="요율"/>
      <sheetName val="설치공사"/>
      <sheetName val="표지 (2)"/>
      <sheetName val="depreciation of machinery"/>
      <sheetName val="Packaging cost Back Data"/>
      <sheetName val="b_balju"/>
      <sheetName val="FACTOR "/>
      <sheetName val="강북라우터"/>
      <sheetName val="출자금"/>
      <sheetName val="이자율"/>
      <sheetName val="CONCRETE"/>
      <sheetName val="SG"/>
      <sheetName val="물가시세"/>
      <sheetName val="순환펌프"/>
      <sheetName val="평자재단가"/>
      <sheetName val="唸_ۏ瘀"/>
      <sheetName val="She _Y_"/>
      <sheetName val="___Y"/>
      <sheetName val="She_x0009__Y_"/>
      <sheetName val="_인사관~1.XLS_唸_ۏ瘀"/>
      <sheetName val="_인사관~1.XLS__인사관~1.XLS_唸_ۏ瘀"/>
      <sheetName val="49-119"/>
      <sheetName val="8.PILE  (돌출)"/>
      <sheetName val="철콘공사"/>
      <sheetName val="저수조"/>
      <sheetName val="급,배기팬"/>
      <sheetName val="FCU (2)"/>
      <sheetName val="unit_4"/>
      <sheetName val="Sheet1_(2)"/>
      <sheetName val="3_공통공사대비"/>
      <sheetName val="설_계"/>
      <sheetName val="공종별내역서(OFFICE)"/>
      <sheetName val="FOB발"/>
      <sheetName val="견적 (2)"/>
      <sheetName val="전기"/>
      <sheetName val="갑지1"/>
      <sheetName val="STAND20"/>
      <sheetName val="철거산출근거"/>
      <sheetName val="투찰가"/>
      <sheetName val="[인사관~1.XLS][인사관~1.XLS]_____1__2"/>
      <sheetName val="전기설계변경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공사예산하조서(O.K)"/>
      <sheetName val="대운산출"/>
      <sheetName val="_견적서1"/>
      <sheetName val="총괄갑_1"/>
      <sheetName val="소방_1"/>
      <sheetName val="자재_집계표1"/>
      <sheetName val="집_계_표"/>
      <sheetName val="She__x005f_x0000_Y_x005f_x0000_"/>
      <sheetName val="She_"/>
      <sheetName val="1_취수장"/>
      <sheetName val="광통신_견적내역서1"/>
      <sheetName val="R,BLOCK_세부일정1"/>
      <sheetName val="ASPHALT_TANK1"/>
      <sheetName val="E,ROOM_세부일정1"/>
      <sheetName val="LPG_TANK1"/>
      <sheetName val="9_10곡B(대조립)1"/>
      <sheetName val="15_B_S1"/>
      <sheetName val="13_B_W1"/>
      <sheetName val="8_BLT1"/>
      <sheetName val="16_C_L1"/>
      <sheetName val="11_H_C1"/>
      <sheetName val="14_S_T1"/>
      <sheetName val="12_T_W1"/>
      <sheetName val="REV_08221"/>
      <sheetName val="첨부1__장비별고장"/>
      <sheetName val="첨부2__장비별원인"/>
      <sheetName val="TOWER_12TON"/>
      <sheetName val="TOWER_10TON"/>
      <sheetName val="토공(우물통,기타)_1"/>
      <sheetName val="6PILE__(돌출)"/>
      <sheetName val="RB,_ER"/>
      <sheetName val="2000년_공정표"/>
      <sheetName val="남양시작동자105노65기1_3화1_2"/>
      <sheetName val="She_?Y?"/>
      <sheetName val="단면_(2)"/>
      <sheetName val="별표_"/>
      <sheetName val="아파트_"/>
      <sheetName val="_x005f_x0000___x005f_x0000_Y"/>
      <sheetName val="B_O_M"/>
      <sheetName val="할증_"/>
      <sheetName val="본선_토공_분배표"/>
      <sheetName val="2_대외공문"/>
      <sheetName val="_ｹ-ﾌﾞﾙ"/>
      <sheetName val="_토목_처리장도급내역서_"/>
      <sheetName val="7_경제성결과"/>
      <sheetName val="우석토건변경대비표_xlsx"/>
      <sheetName val="2_1"/>
      <sheetName val="[인사관~1_XLS]唸/ۏ瘀"/>
      <sheetName val="97_사업추정(WEKI)"/>
      <sheetName val="13FL_EAST"/>
      <sheetName val="13FL_WEST_(2)"/>
      <sheetName val="22FL_EAST"/>
      <sheetName val="역T형옹벽(3_0)"/>
      <sheetName val="4-3_보온_기본물량집계"/>
      <sheetName val="data_table"/>
      <sheetName val="[인사관~1_XLS][인사관~1_XLS][인사관~1_XL"/>
      <sheetName val="[인사관~1_XLS][인사관~1_XLS]唸/ۏ瘀"/>
      <sheetName val="_Y"/>
      <sheetName val="1차_내역서"/>
      <sheetName val="전_기"/>
      <sheetName val="She__Y_"/>
      <sheetName val="_인사관~1_XLS_唸_ۏ瘀"/>
      <sheetName val="_인사관~1_XLS__인사관~1_XLS_唸_ۏ瘀"/>
      <sheetName val="_냉각수펌프"/>
      <sheetName val="단가표_(2)"/>
      <sheetName val="She__x005f_x005f_x005f_x0000_Y_x005f_x005f_x005f_x0000_"/>
      <sheetName val="준검 내역서"/>
      <sheetName val="자재단가"/>
      <sheetName val="CODE"/>
      <sheetName val="계측"/>
      <sheetName val="사업성분석"/>
      <sheetName val="5.공종별예산내역서"/>
      <sheetName val="_인사관~1.XLS__인사관~1.XLS__인사관~1.XL"/>
      <sheetName val="참조_세부공종코드"/>
      <sheetName val="주소"/>
      <sheetName val="목차"/>
      <sheetName val="일위(설)"/>
      <sheetName val="단가산출서(기계)"/>
      <sheetName val="__x005f_x000a__Y"/>
      <sheetName val="She_x005f_x0009__Y_"/>
      <sheetName val="_x005f_x005f_x005f_x0000_ _x005f_x005f_x005f_x0000_Y"/>
      <sheetName val="전신"/>
      <sheetName val="수량산출서"/>
      <sheetName val="전체-원가분리내역"/>
      <sheetName val="원내역"/>
      <sheetName val="투자평가모델"/>
      <sheetName val="판매46"/>
      <sheetName val="건드리지 말것"/>
      <sheetName val="1월"/>
      <sheetName val="B"/>
      <sheetName val="마감"/>
      <sheetName val=" ?-???"/>
      <sheetName val="갑지(요약)"/>
      <sheetName val="b_balju_cho"/>
      <sheetName val="투찰"/>
      <sheetName val="She_Y1"/>
      <sheetName val="She_1"/>
      <sheetName val="She_?Y?1"/>
      <sheetName val="새공통"/>
      <sheetName val="별표"/>
      <sheetName val="비목별_투입_x0000_ϡ"/>
      <sheetName val="BOQ건축"/>
      <sheetName val="교량하부공"/>
      <sheetName val="일위대가목차"/>
      <sheetName val="공량산출서"/>
      <sheetName val="복갑"/>
      <sheetName val="126.255"/>
      <sheetName val="업무분장 "/>
      <sheetName val="받을어음"/>
      <sheetName val="미비용95"/>
      <sheetName val="공종목록표"/>
      <sheetName val="화성태안9공구내역(실행)"/>
      <sheetName val="Pier 3"/>
      <sheetName val="대구-교대(A1)"/>
      <sheetName val="제출내역 (2)"/>
      <sheetName val="단"/>
      <sheetName val="[인사관~1.XLS][인사관~1_XLS]唸/ۏ瘀"/>
      <sheetName val="[인사관~1.XLS][인사관~1_XLS]_____1__2"/>
      <sheetName val="토량1-1"/>
      <sheetName val="AHU-2"/>
      <sheetName val="6호기"/>
      <sheetName val="시설이용권명세서"/>
      <sheetName val="DHEQSUPT"/>
      <sheetName val="금융"/>
      <sheetName val="골조"/>
      <sheetName val="PILE"/>
      <sheetName val="공통비"/>
      <sheetName val="Sheet6"/>
      <sheetName val="Sheet7"/>
      <sheetName val="Sheet9"/>
      <sheetName val="EE-PROP"/>
      <sheetName val="Eq. Mobilization"/>
      <sheetName val="부산제일극장"/>
      <sheetName val="cp1"/>
      <sheetName val="부대시설"/>
      <sheetName val="Apt내역"/>
      <sheetName val="1안가"/>
      <sheetName val="첨부6"/>
      <sheetName val="자금운영"/>
      <sheetName val="세금자료"/>
      <sheetName val="유림콘도"/>
      <sheetName val="세대구분목록"/>
      <sheetName val="건축집계"/>
      <sheetName val="Inv_sum"/>
      <sheetName val="품종별월계"/>
      <sheetName val="내   역"/>
      <sheetName val="기성내역서(을지)"/>
      <sheetName val="총사업비명세"/>
      <sheetName val="보고서"/>
      <sheetName val="안양2"/>
      <sheetName val="일반부표"/>
      <sheetName val="Eq__Mobilization"/>
      <sheetName val="내___역"/>
      <sheetName val="TTL"/>
      <sheetName val="공통비총괄표"/>
      <sheetName val="코드"/>
      <sheetName val="1062-X방향 "/>
      <sheetName val="영업소실적"/>
      <sheetName val="★도급내역"/>
      <sheetName val="공비대비"/>
      <sheetName val="3단계"/>
      <sheetName val="2단계"/>
      <sheetName val="중기 부표"/>
      <sheetName val="배수내역"/>
      <sheetName val="운반"/>
      <sheetName val="ENE-CAL"/>
      <sheetName val="마산월령동골조물량변경"/>
      <sheetName val="기성내역"/>
      <sheetName val="건축공사"/>
      <sheetName val=" FURNACE현설"/>
      <sheetName val="상반기손익차2총괄"/>
      <sheetName val="A"/>
      <sheetName val="Standards"/>
      <sheetName val="수정시산표"/>
      <sheetName val="I. Assumptions"/>
      <sheetName val="내역 (2)"/>
      <sheetName val="회사정보"/>
      <sheetName val="1.기성청구공문양식"/>
      <sheetName val="2.기성청구갑지"/>
      <sheetName val="경비원 "/>
      <sheetName val="DRUM"/>
      <sheetName val="형틀공사"/>
      <sheetName val="교각계산"/>
      <sheetName val="기본자료입력"/>
      <sheetName val="설비원가"/>
      <sheetName val="표지"/>
      <sheetName val="업무계획1"/>
      <sheetName val="직종인원"/>
      <sheetName val="00년"/>
      <sheetName val="LIST &amp; DATA"/>
      <sheetName val="도장2"/>
      <sheetName val="의장2"/>
      <sheetName val="전선 및 전선관"/>
      <sheetName val="아파트건축"/>
      <sheetName val="125x125"/>
      <sheetName val="Quantity"/>
      <sheetName val="원가총괄"/>
      <sheetName val="장비사양"/>
      <sheetName val="0207집계"/>
      <sheetName val="손익분석"/>
      <sheetName val="약품공급2"/>
      <sheetName val="Customer Databas"/>
      <sheetName val="Resource2"/>
      <sheetName val="산3_4"/>
      <sheetName val="노무비"/>
      <sheetName val="원가서"/>
      <sheetName val="득점현황"/>
      <sheetName val="부대공Ⅱ"/>
      <sheetName val="재료"/>
      <sheetName val="내역(전력)"/>
      <sheetName val="POL6차-PIPING"/>
      <sheetName val="원가계산"/>
      <sheetName val="항목코드"/>
      <sheetName val="아파트 기성내역서"/>
      <sheetName val="RE9604"/>
      <sheetName val="노임적용"/>
      <sheetName val="관리현장"/>
      <sheetName val="원가계산서(변경)"/>
      <sheetName val="실행-자재"/>
      <sheetName val="현대.전주화산"/>
      <sheetName val="(C)원내역"/>
      <sheetName val="간접1"/>
      <sheetName val="소방사항"/>
      <sheetName val="PANEL"/>
      <sheetName val="총물량"/>
      <sheetName val="TG9504"/>
      <sheetName val="단가대비"/>
      <sheetName val="지구단위계획"/>
      <sheetName val="등록자료"/>
      <sheetName val="별첨10.하자보증수수료"/>
      <sheetName val="현경"/>
      <sheetName val="전기내역"/>
      <sheetName val="전체기준Data"/>
      <sheetName val="6동"/>
      <sheetName val="구조물공"/>
      <sheetName val="마산방향"/>
      <sheetName val="토지조서(원본)"/>
      <sheetName val="할빙수"/>
      <sheetName val="접속도로1"/>
      <sheetName val="인원조직표"/>
      <sheetName val="차량별점검"/>
      <sheetName val="대비표"/>
      <sheetName val="LG제품"/>
      <sheetName val="우수맨홀공제단위수량"/>
      <sheetName val="배수공_base"/>
      <sheetName val="입찰품의서"/>
      <sheetName val="일위대가모음"/>
      <sheetName val="토공사_반영"/>
      <sheetName val="일위대가_호표"/>
      <sheetName val="일위대가_호표 (2)"/>
      <sheetName val="인테리어공사 내역"/>
      <sheetName val="재료표"/>
      <sheetName val="5.경상직원"/>
      <sheetName val="4.전기"/>
      <sheetName val="4공철탑검토"/>
      <sheetName val="base"/>
      <sheetName val="서산일위대가수정분010603"/>
      <sheetName val="사유서제출현황-2"/>
      <sheetName val="XXXXXX"/>
      <sheetName val="문10"/>
      <sheetName val="969910( R)"/>
      <sheetName val="견적서갑지연속"/>
      <sheetName val="일위수량"/>
      <sheetName val="단양 00 아파트-세부내역"/>
      <sheetName val="변경비교-을"/>
      <sheetName val="공사비 내역 (가)"/>
      <sheetName val="건축내역서"/>
      <sheetName val="건축비목군분류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기계실"/>
      <sheetName val="공조배관"/>
      <sheetName val="공조닥트"/>
      <sheetName val="위생배관"/>
      <sheetName val="연도"/>
      <sheetName val="방진"/>
      <sheetName val="수영장"/>
      <sheetName val="MYENGBU"/>
      <sheetName val="현장"/>
      <sheetName val="COVER-P"/>
      <sheetName val="견"/>
      <sheetName val="101동"/>
      <sheetName val="조건"/>
      <sheetName val="예산총괄"/>
      <sheetName val="산출서(변경후_RACK)"/>
      <sheetName val="자재근거"/>
      <sheetName val="중기근거"/>
      <sheetName val="WING3"/>
      <sheetName val="변경명신물량 (2)"/>
      <sheetName val="입력"/>
      <sheetName val="인부신상자료"/>
      <sheetName val="콘크리트타설집계표"/>
      <sheetName val="시멘트"/>
      <sheetName val="사용현황"/>
      <sheetName val="기초"/>
      <sheetName val="FAB4생산"/>
      <sheetName val="문학간접"/>
      <sheetName val="배명(단가)"/>
      <sheetName val="견적을지"/>
      <sheetName val="현장식당(1)"/>
      <sheetName val="공량산출근거서"/>
      <sheetName val="IMPEADENCE MAP 취수장"/>
      <sheetName val="2-1.4 공조기 측정"/>
      <sheetName val="소방"/>
      <sheetName val="집계"/>
      <sheetName val="소야공정계획표"/>
      <sheetName val="설명"/>
      <sheetName val="교수설계"/>
      <sheetName val="현장명입력,결재란"/>
      <sheetName val="투자-국내2"/>
      <sheetName val="총괄내역서"/>
      <sheetName val="자재일람"/>
      <sheetName val="종가"/>
      <sheetName val="시설물기초"/>
      <sheetName val="은행"/>
      <sheetName val="코드표"/>
      <sheetName val="사업장관리번호"/>
      <sheetName val="영수,세금계산서집계"/>
      <sheetName val="가로내역"/>
      <sheetName val="Xunit"/>
      <sheetName val="Macro(MCC)"/>
      <sheetName val="상품입고집계"/>
      <sheetName val="정산내역서"/>
      <sheetName val="하조서"/>
      <sheetName val="TRAY 헹거산출"/>
      <sheetName val="초등학교내역서"/>
      <sheetName val="총괄수지표"/>
      <sheetName val="자료입력"/>
      <sheetName val="05월 기성청구서"/>
      <sheetName val="시중노임단가"/>
      <sheetName val="정산표"/>
      <sheetName val="D-3503"/>
      <sheetName val="증감내역서"/>
      <sheetName val="말뚝지지력산정"/>
      <sheetName val="선수금"/>
      <sheetName val="2-3.35평형부하계산(최대부하)"/>
      <sheetName val="2-3.1평형부하계산(최대부하)"/>
      <sheetName val="2-3.2평형부하계산(최대부하)"/>
      <sheetName val="2-3.3평형부하계산(최대부하)"/>
      <sheetName val="2-3.4평형부하계산(최대부하)"/>
      <sheetName val="2-3.5평형부하계산(최대부하)"/>
      <sheetName val="[인사관~1.XLS][인사관~1.XL"/>
      <sheetName val="대림경상68억"/>
      <sheetName val="퍼스트"/>
      <sheetName val="0Title"/>
      <sheetName val="품셈"/>
      <sheetName val="제직재"/>
      <sheetName val="비용"/>
      <sheetName val="quotation"/>
      <sheetName val="도기류"/>
      <sheetName val="單價表단가표"/>
      <sheetName val="FAB消防报警"/>
      <sheetName val="자재목록"/>
      <sheetName val="工程量计算书"/>
      <sheetName val="마스터단가"/>
      <sheetName val="TIE-IN"/>
      <sheetName val="설치자재"/>
      <sheetName val="0217상가미분양자산"/>
      <sheetName val="전산망"/>
      <sheetName val="__Dongyang_db_________________2"/>
      <sheetName val="비목별_투입비5"/>
      <sheetName val="예상공사비_(2)5"/>
      <sheetName val="내부마감공사비_(2)5"/>
      <sheetName val="3_공통공사대비1"/>
      <sheetName val="1_우편집중내역서1"/>
      <sheetName val="unit_41"/>
      <sheetName val="Sheet1_(2)1"/>
      <sheetName val="설_계1"/>
      <sheetName val="5_세운W-A"/>
      <sheetName val="?_?Y"/>
      <sheetName val="FACTOR_"/>
      <sheetName val="FCU_(2)"/>
      <sheetName val="준검_내역서"/>
      <sheetName val="표지_(2)"/>
      <sheetName val="depreciation_of_machinery"/>
      <sheetName val="Packaging_cost_Back_Data"/>
      <sheetName val="8_PILE__(돌출)"/>
      <sheetName val="견적_(2)"/>
      <sheetName val="CC16-내역서"/>
      <sheetName val="단가 및 재료비"/>
      <sheetName val="중기사용료산출근거"/>
      <sheetName val="본실행경비"/>
      <sheetName val="★세부공종-입력주의사항(코드작업 손대지말것)"/>
      <sheetName val="나.다.라.마.바.피복재 산정"/>
      <sheetName val="화전내"/>
      <sheetName val="기초일위"/>
      <sheetName val="수목단가"/>
      <sheetName val="시설수량표"/>
      <sheetName val="시설일위"/>
      <sheetName val="식재수량표"/>
      <sheetName val="식재일위"/>
      <sheetName val="과"/>
      <sheetName val="암거_x0000__x0000_"/>
      <sheetName val="자  재"/>
      <sheetName val="건축외주"/>
      <sheetName val="인공산출"/>
      <sheetName val="공사비"/>
      <sheetName val="공사비총괄표"/>
      <sheetName val="마스터원본"/>
      <sheetName val="C.배수관공"/>
      <sheetName val="A LINE"/>
      <sheetName val="SUS"/>
      <sheetName val="동수"/>
      <sheetName val="암거날개벽재료집계"/>
      <sheetName val="BSD _2_"/>
      <sheetName val="0000"/>
      <sheetName val="기간등록"/>
      <sheetName val="업무분장"/>
      <sheetName val="1ST"/>
      <sheetName val="[인사관~1.XLS][인사관~1.XLS]_인___1__2"/>
      <sheetName val="[인사관~1.XLS][인사관~1_XLS]_인___1__2"/>
      <sheetName val="현금경비중역"/>
      <sheetName val="1-6(반품내역)"/>
      <sheetName val="_견적서2"/>
      <sheetName val="소방_2"/>
      <sheetName val="총괄갑_2"/>
      <sheetName val="자재_집계표2"/>
      <sheetName val="She__x005f_x0000_Y_x005f_x0000_1"/>
      <sheetName val="1_취수장1"/>
      <sheetName val="광통신_견적내역서11"/>
      <sheetName val="TOWER_12TON1"/>
      <sheetName val="TOWER_10TON1"/>
      <sheetName val="남양시작동자105노65기1_3화1_21"/>
      <sheetName val="6PILE__(돌출)1"/>
      <sheetName val="집_계_표1"/>
      <sheetName val="별표_1"/>
      <sheetName val="R,BLOCK_세부일정2"/>
      <sheetName val="ASPHALT_TANK2"/>
      <sheetName val="E,ROOM_세부일정2"/>
      <sheetName val="LPG_TANK2"/>
      <sheetName val="9_10곡B(대조립)2"/>
      <sheetName val="15_B_S2"/>
      <sheetName val="13_B_W2"/>
      <sheetName val="8_BLT2"/>
      <sheetName val="16_C_L2"/>
      <sheetName val="11_H_C2"/>
      <sheetName val="14_S_T2"/>
      <sheetName val="12_T_W2"/>
      <sheetName val="REV_08222"/>
      <sheetName val="토공(우물통,기타)_2"/>
      <sheetName val="1차_내역서1"/>
      <sheetName val="단면_(2)1"/>
      <sheetName val="첨부1__장비별고장1"/>
      <sheetName val="첨부2__장비별원인1"/>
      <sheetName val="RB,_ER1"/>
      <sheetName val="B_O_M1"/>
      <sheetName val="2_대외공문1"/>
      <sheetName val="_ｹ-ﾌﾞﾙ1"/>
      <sheetName val="_토목_처리장도급내역서_1"/>
      <sheetName val="7_경제성결과1"/>
      <sheetName val="우석토건변경대비표_xlsx1"/>
      <sheetName val="2_11"/>
      <sheetName val="아파트_1"/>
      <sheetName val="[인사관~1_XLS]唸/ۏ瘀1"/>
      <sheetName val="[인사관~1_XLS][인사관~1_XLS]唸/ۏ瘀1"/>
      <sheetName val="13FL_EAST1"/>
      <sheetName val="13FL_WEST_(2)1"/>
      <sheetName val="22FL_EAST1"/>
      <sheetName val="4-3_보온_기본물량집계1"/>
      <sheetName val="본선_토공_분배표1"/>
      <sheetName val="2000년_공정표1"/>
      <sheetName val="data_table1"/>
      <sheetName val="할증_1"/>
      <sheetName val="[인사관~1_XLS][인사관~1_XLS][인사관~1_X1"/>
      <sheetName val="97_사업추정(WEKI)1"/>
      <sheetName val="_x005f_x0000___x005f_x0000_Y1"/>
      <sheetName val="_냉각수펌프1"/>
      <sheetName val="역T형옹벽(3_0)1"/>
      <sheetName val="전_기1"/>
      <sheetName val="단가표_(2)1"/>
      <sheetName val="She__x005f_x005f_x005f_x0000_Y_x005f_x005f_x00001"/>
      <sheetName val="She__Y_1"/>
      <sheetName val="_인사관~1_XLS_唸_ۏ瘀1"/>
      <sheetName val="_인사관~1_XLS__인사관~1_XLS_唸_ۏ瘀1"/>
      <sheetName val="공사예산하조서(O_K)"/>
      <sheetName val="ma"/>
      <sheetName val="실적"/>
      <sheetName val="철탑공사"/>
      <sheetName val="2 (2)"/>
      <sheetName val="기준표(예산+인원)"/>
      <sheetName val="She_x005f_x005f_x005f_x0009_"/>
      <sheetName val="견적내역-2 (프로세스)"/>
      <sheetName val="견적내역-1 (유틸리티)"/>
      <sheetName val="4.포장집계"/>
      <sheetName val="데이터"/>
      <sheetName val="DATA(BAC)"/>
      <sheetName val="대,유,램"/>
      <sheetName val="12호기내역서(건축분)"/>
      <sheetName val="비목별_투입"/>
      <sheetName val="4-2.실행분석표(실적)"/>
      <sheetName val="총괄집계표"/>
      <sheetName val="She_x005f_x0009_?Y?"/>
      <sheetName val="?_x005f_x000a_?Y"/>
      <sheetName val="조정전"/>
      <sheetName val="몸체(460×600)"/>
      <sheetName val="관접합및부설"/>
      <sheetName val="특수선일위대가"/>
      <sheetName val="COST"/>
      <sheetName val="Constant"/>
      <sheetName val="T"/>
      <sheetName val="설계명세"/>
      <sheetName val="설비내역서"/>
      <sheetName val="_x005f_x0000__x005f_x000a__x005"/>
      <sheetName val="She_x005f_x0009__x005f_x0000_Y_"/>
      <sheetName val="__"/>
      <sheetName val="_ _Y"/>
      <sheetName val="토목"/>
      <sheetName val="수목표준대가"/>
      <sheetName val="하부철근수량"/>
      <sheetName val="본공사"/>
      <sheetName val="피엘"/>
      <sheetName val="빗물받이(910-510_x0000__x0000__x0000__x0000_Ā"/>
      <sheetName val="DATA-A"/>
      <sheetName val="중기비"/>
      <sheetName val="정산ISSUE(T)"/>
      <sheetName val="견적내역"/>
      <sheetName val="CodeSheet (CM)"/>
      <sheetName val="노무비(전지2기)"/>
      <sheetName val="합천내역"/>
      <sheetName val="경영비율 "/>
      <sheetName val="월급제"/>
      <sheetName val="첨부1.수주잔량표"/>
      <sheetName val="126_255"/>
      <sheetName val="부문99-2"/>
      <sheetName val="기계설비-내역서"/>
      <sheetName val="공통가설공사"/>
      <sheetName val="JA8-4"/>
      <sheetName val="전기변내역"/>
      <sheetName val="조직"/>
      <sheetName val="공통가설"/>
      <sheetName val="소일위대가코드표"/>
      <sheetName val="CVA"/>
      <sheetName val="quote"/>
      <sheetName val="gen_EST"/>
      <sheetName val="estimate"/>
      <sheetName val="Delivery"/>
      <sheetName val="BOM_Draft"/>
      <sheetName val="AMT"/>
      <sheetName val="Labor"/>
      <sheetName val="summary"/>
      <sheetName val="TEMP"/>
      <sheetName val="electrical"/>
      <sheetName val="Summ"/>
      <sheetName val="BM"/>
      <sheetName val="SITE DEV,T"/>
      <sheetName val="MATL"/>
      <sheetName val="예산작성기준(전기)"/>
      <sheetName val="95신규호표"/>
      <sheetName val="간접비 총괄표"/>
      <sheetName val=" 갑지"/>
      <sheetName val="직원동원SCH"/>
      <sheetName val="부표"/>
      <sheetName val="장비종합부표"/>
      <sheetName val="Electrical Pricelist"/>
      <sheetName val="equip"/>
      <sheetName val="revised#1"/>
      <sheetName val="B1"/>
      <sheetName val="내역(100%)"/>
      <sheetName val="ACMV"/>
      <sheetName val="Summary WG"/>
      <sheetName val="1.설계조건"/>
      <sheetName val="성서방향-교대(A2)"/>
      <sheetName val="DESBASTE"/>
      <sheetName val="4차원가계산서"/>
      <sheetName val="수주현황2월"/>
      <sheetName val="choose"/>
      <sheetName val="자재단가조사표-수목"/>
      <sheetName val="식재"/>
      <sheetName val="인제내역"/>
      <sheetName val="시설물"/>
      <sheetName val="식재출력용"/>
      <sheetName val="유지관리"/>
      <sheetName val="Materials"/>
      <sheetName val="96노임기준"/>
      <sheetName val="WORKER"/>
      <sheetName val="Tension"/>
      <sheetName val="중기조종사 단위단가"/>
      <sheetName val="Col"/>
      <sheetName val="GAE8'97"/>
      <sheetName val="Analysis"/>
      <sheetName val="실행예산-변경분"/>
      <sheetName val="U_A Input"/>
      <sheetName val="[인사관~1.XLS][인사관~1.XLS]_____1__3"/>
      <sheetName val="설계상수"/>
      <sheetName val="계조에 따른 특성"/>
      <sheetName val="She_x005f_x005f_x005f_x005f_x005f_x005f_x005f_x0009__x0"/>
      <sheetName val="_x005f_x005f_x005f_x005f_x005f_x005f_x005f_x0000__x005f"/>
      <sheetName val="She _x005f_x005f_x005f_x005f_x005f_x005f_x005f_x0000_Y_"/>
      <sheetName val="_x005f_x005f_x005f_x005f_x005f_x005f_x005f_x0000_ _x005"/>
      <sheetName val="__x005f_x005f_x005f_x000a__Y"/>
      <sheetName val="She_x005f_x005f_x005f_x0009__Y_"/>
      <sheetName val="104동"/>
      <sheetName val="__x000a__Y"/>
      <sheetName val="She_x005f_x005f_x005f_x0009__x0"/>
      <sheetName val="_x005f_x005f_x005f_x0000__x005f"/>
      <sheetName val="She _x005f_x005f_x005f_x0000_Y_"/>
      <sheetName val="_x005f_x005f_x005f_x0000_ _x005"/>
      <sheetName val="도봉2지구"/>
      <sheetName val="dV&amp;Cl"/>
      <sheetName val="매출List"/>
      <sheetName val="OPGW기별"/>
      <sheetName val="내부마감공사비_(⠀ᨔ䀝"/>
      <sheetName val="Sheet267"/>
      <sheetName val="唸/ۏ瘀2"/>
      <sheetName val="唸/ۏ瘀3"/>
      <sheetName val="[인사관~1.XL"/>
      <sheetName val="판가반영"/>
      <sheetName val="_견적서3"/>
      <sheetName val="소방_3"/>
      <sheetName val="자재_집계표3"/>
      <sheetName val="총괄갑_3"/>
      <sheetName val="_견적서4"/>
      <sheetName val="소방_4"/>
      <sheetName val="자재_집계표4"/>
      <sheetName val="총괄갑_4"/>
      <sheetName val="EP0618"/>
      <sheetName val="집수정(600-7Ⴗ_xdc76_᐀"/>
      <sheetName val="BEND LOSS"/>
      <sheetName val="APT"/>
      <sheetName val="대갑기성내역"/>
      <sheetName val="BSD (2)"/>
      <sheetName val="예상공사비ᄥ옃믏頀"/>
      <sheetName val="S_xdc80_̗ꆨ"/>
      <sheetName val="FW"/>
      <sheetName val="유형분류"/>
      <sheetName val="She_x005f_x005f_x005f_x005f_x005f_x005f_x005f_x0009_"/>
      <sheetName val="She _x005f_x005f_x005f_x005f_x005f_x005f_x005f_x005f_x0"/>
      <sheetName val="_x005f_x005f_x005f_x005f_x005f_x005f_x005f_x005f_x005f_x005f_"/>
      <sheetName val="She_x005f_x005f_x005f_x005f_x005f_x005f_x005f_x005f_x00"/>
      <sheetName val="09-11월"/>
      <sheetName val="[인사관~1_XLS][인사관~1_XL"/>
      <sheetName val="[인사관~1.XLS]_____1__2"/>
      <sheetName val="唸/ۏ瘀1"/>
      <sheetName val="[인사관~1_XLS][인사관~1_X1"/>
      <sheetName val="LAB"/>
      <sheetName val="품목"/>
      <sheetName val=" "/>
      <sheetName val="CAT_5"/>
      <sheetName val="기계 도급내역서"/>
      <sheetName val="A 견적"/>
      <sheetName val="붙임5,6.앵커볼트+내진스토퍼"/>
      <sheetName val="경비2내역"/>
      <sheetName val="대구파크쿨링타워"/>
      <sheetName val="사용자정의"/>
      <sheetName val="총원"/>
      <sheetName val="외주정비"/>
      <sheetName val="Customer_Databas"/>
      <sheetName val="아파트_기성내역서"/>
      <sheetName val="일위대가_호표_(2)"/>
      <sheetName val="별첨10_하자보증수수료"/>
      <sheetName val="인테리어공사_내역"/>
      <sheetName val="5_경상직원"/>
      <sheetName val="4_전기"/>
      <sheetName val="현대_전주화산"/>
      <sheetName val="969910(_R)"/>
      <sheetName val="공사비_내역_(가)"/>
      <sheetName val="원가_(2)"/>
      <sheetName val="단양_00_아파트-세부내역"/>
      <sheetName val="변경명신물량_(2)"/>
      <sheetName val="2-1_4_공조기_측정"/>
      <sheetName val="실행갑지"/>
      <sheetName val="단가비교표_공통1"/>
      <sheetName val="95년12월말"/>
      <sheetName val="승인요청(협조)"/>
      <sheetName val="현장관리비세부내역 "/>
      <sheetName val="조직도"/>
      <sheetName val="인력운영계획"/>
      <sheetName val="급여산출"/>
      <sheetName val="숙소및미화원계획"/>
      <sheetName val="네트워크및냉난방기"/>
      <sheetName val="감가상각"/>
      <sheetName val="취득세"/>
      <sheetName val="인지세"/>
      <sheetName val="자산비품투입계획"/>
      <sheetName val="보험료"/>
      <sheetName val="기타복리후생비산출내역"/>
      <sheetName val="피복지급계획"/>
      <sheetName val="부동산수수료"/>
      <sheetName val="하자보험료"/>
      <sheetName val="견적서(네크워크설치비)-가설사무실"/>
      <sheetName val="견적서(네트워크설치비)-상가"/>
      <sheetName val="선급비용"/>
      <sheetName val="국내"/>
      <sheetName val="선홈통"/>
      <sheetName val="하자보증수수료"/>
      <sheetName val="횡배수관토공수량"/>
      <sheetName val="배수"/>
      <sheetName val="환율change"/>
      <sheetName val="지문"/>
      <sheetName val="5일지문"/>
      <sheetName val="14"/>
      <sheetName val="전기실-1"/>
      <sheetName val="PAC(전자기기실)"/>
      <sheetName val="자금청구총괄표"/>
      <sheetName val="간접비계산"/>
      <sheetName val="CCTV(주차장)"/>
      <sheetName val="범용개발순소요비용"/>
      <sheetName val="guard(mac)"/>
      <sheetName val="제경비"/>
      <sheetName val="J-EQ"/>
      <sheetName val="대가호표"/>
      <sheetName val="VXXX"/>
      <sheetName val="3"/>
      <sheetName val="F-1,2"/>
      <sheetName val="단가조사-2"/>
      <sheetName val="특기사항"/>
      <sheetName val="총무지출"/>
      <sheetName val="도장"/>
      <sheetName val="b_gs"/>
      <sheetName val="2.토목공사"/>
      <sheetName val="투입비"/>
      <sheetName val="실행대비"/>
      <sheetName val="기둥"/>
      <sheetName val="4-10"/>
      <sheetName val="정산을지"/>
      <sheetName val="220 (2)"/>
      <sheetName val="유기공정"/>
      <sheetName val="현금및현금등가물"/>
      <sheetName val="한일양산"/>
      <sheetName val="신상기록(지우지 말것)"/>
      <sheetName val="7내역"/>
      <sheetName val="신우"/>
      <sheetName val="전기공사"/>
      <sheetName val="배수공 시멘트 및 골재량 산출"/>
      <sheetName val="산출"/>
      <sheetName val="NP-총정리"/>
      <sheetName val="고등학교"/>
      <sheetName val="토적계산서"/>
      <sheetName val="__User024_c___WIN95___________2"/>
      <sheetName val="5.동별횡주관경"/>
      <sheetName val="IMPEADENCE_MAP_취수장"/>
      <sheetName val="05월_기성청구서"/>
      <sheetName val="현장관리비세부내역_"/>
      <sheetName val="2-3_35평형부하계산(최대부하)"/>
      <sheetName val="2-3_1평형부하계산(최대부하)"/>
      <sheetName val="2-3_2평형부하계산(최대부하)"/>
      <sheetName val="2-3_3평형부하계산(최대부하)"/>
      <sheetName val="2-3_4평형부하계산(최대부하)"/>
      <sheetName val="2-3_5평형부하계산(최대부하)"/>
      <sheetName val="TRAY_헹거산출"/>
      <sheetName val="A_견적"/>
      <sheetName val="_"/>
      <sheetName val="붙임5,6_앵커볼트+내진스토퍼"/>
      <sheetName val="1.동력공사"/>
      <sheetName val="설계산출표지"/>
      <sheetName val="공사비_내역_(가)1"/>
      <sheetName val="969910(_R)1"/>
      <sheetName val="Customer_Databas1"/>
      <sheetName val="별첨10_하자보증수수료1"/>
      <sheetName val="단양_00_아파트-세부내역1"/>
      <sheetName val="아파트_기성내역서1"/>
      <sheetName val="변경명신물량_(2)1"/>
      <sheetName val="일위대가_호표_(2)1"/>
      <sheetName val="인테리어공사_내역1"/>
      <sheetName val="현대_전주화산1"/>
      <sheetName val="5_경상직원1"/>
      <sheetName val="4_전기1"/>
      <sheetName val="원가_(2)1"/>
      <sheetName val="2-1_4_공조기_측정1"/>
      <sheetName val="기계_도급내역서"/>
      <sheetName val="도급당초내역"/>
      <sheetName val="인명부"/>
      <sheetName val="실행(1)"/>
      <sheetName val="거래처관리"/>
      <sheetName val="품목관리"/>
      <sheetName val="대구칠곡5전기"/>
      <sheetName val="업무량"/>
      <sheetName val="PIPE HGA20_대리점가"/>
      <sheetName val="노임9월"/>
      <sheetName val="목록"/>
      <sheetName val="배수공수량"/>
      <sheetName val="당초"/>
      <sheetName val="분전반"/>
      <sheetName val="외주현황.wq1"/>
      <sheetName val="대가"/>
      <sheetName val="물량"/>
      <sheetName val="대목"/>
      <sheetName val="단가비교표"/>
      <sheetName val="소방내역서"/>
      <sheetName val="G2설비도급"/>
      <sheetName val="TOSHIBA-Structure"/>
      <sheetName val="내부마감공사비_(2)헾"/>
      <sheetName val="연결관암거"/>
      <sheetName val="_x0000__x000a__x005"/>
      <sheetName val="She_x0009__x0000_Y_"/>
      <sheetName val="_x0000___x0000_Y1"/>
      <sheetName val="She__x005f_x0000_Y_x00001"/>
      <sheetName val="요율표"/>
      <sheetName val="자료사전"/>
      <sheetName val="도급내역서"/>
      <sheetName val="판넬"/>
      <sheetName val="철골"/>
      <sheetName val="내부마감공사비_(2)ó"/>
      <sheetName val="YAN_x0000_"/>
      <sheetName val="안정_x0000__x0000_"/>
      <sheetName val="비목별_투입비6"/>
      <sheetName val="예상공사비_(2)6"/>
      <sheetName val="내부마감공사비_(2)6"/>
      <sheetName val="She_2"/>
      <sheetName val="unit_42"/>
      <sheetName val="3_공통공사대비2"/>
      <sheetName val="1_우편집중내역서2"/>
      <sheetName val="Sheet1_(2)2"/>
      <sheetName val="설_계2"/>
      <sheetName val="She_?Y?2"/>
      <sheetName val="5_세운W-A1"/>
      <sheetName val="FCU_(2)1"/>
      <sheetName val="표지_(2)1"/>
      <sheetName val="depreciation_of_machinery1"/>
      <sheetName val="Packaging_cost_Back_Data1"/>
      <sheetName val="?_?Y1"/>
      <sheetName val="8_PILE__(돌출)1"/>
      <sheetName val="FACTOR_1"/>
      <sheetName val="준검_내역서1"/>
      <sheetName val="견적_(2)1"/>
      <sheetName val="내역서_표지_"/>
      <sheetName val="분야별_집계표"/>
      <sheetName val="_공사설정_"/>
      <sheetName val="5_공종별예산내역서"/>
      <sheetName val="_인사관~1_XLS__인사관~1_XLS__인사관~1_XL"/>
      <sheetName val="_x005f_x005f_x005f_x0000___x005f_x005f_x005f_x0000_Y"/>
      <sheetName val="_?-???"/>
      <sheetName val="[인사관~1_XLS][인사관~1_XLS]_____1__2"/>
      <sheetName val="[인사관~1_XLS][인사관~1_XLS]唸/ۏ瘀2"/>
      <sheetName val="[인사관~1_XLS][인사관~1_XLS]_____1__1"/>
      <sheetName val="업무분장_"/>
      <sheetName val="제출내역_(2)"/>
      <sheetName val="Eq__Mobilization1"/>
      <sheetName val="내___역1"/>
      <sheetName val="1062-X방향_"/>
      <sheetName val="중기_부표"/>
      <sheetName val="_FURNACE현설"/>
      <sheetName val="I__Assumptions"/>
      <sheetName val="내역_(2)"/>
      <sheetName val="1_기성청구공문양식"/>
      <sheetName val="2_기성청구갑지"/>
      <sheetName val="경비원_"/>
      <sheetName val="LIST_&amp;_DATA"/>
      <sheetName val="전선_및_전선관"/>
      <sheetName val="건드리지_말것"/>
      <sheetName val="주소록"/>
      <sheetName val="She Y_"/>
      <sheetName val="★세부공종-입력주의사항(코드작업_손대지말것)"/>
      <sheetName val="단가_및_재료비"/>
      <sheetName val="나_다_라_마_바_피복재_산정"/>
      <sheetName val="C_배수관공"/>
      <sheetName val="A_LINE"/>
      <sheetName val="자__재"/>
      <sheetName val="BSD__2_"/>
      <sheetName val="Pier_3"/>
      <sheetName val="9509"/>
      <sheetName val="부서별(배부후)_계획"/>
      <sheetName val="배전단가2"/>
      <sheetName val="노단"/>
      <sheetName val="36단가"/>
      <sheetName val="36수량"/>
      <sheetName val="용집"/>
      <sheetName val="손익"/>
      <sheetName val="내역서(사업소)"/>
      <sheetName val="부대공"/>
      <sheetName val="중기일위대가"/>
      <sheetName val="포장공"/>
      <sheetName val="배수공1"/>
      <sheetName val="법면"/>
      <sheetName val="내부마감공사刀_x0010__x0000__x0000__x0000__x0000_"/>
      <sheetName val="부하계산서"/>
      <sheetName val="수량명세서"/>
      <sheetName val="당년매출집계"/>
      <sheetName val="MIJIBI"/>
      <sheetName val="내부마감공ఎ_x0002_᠀閼栂䓒"/>
      <sheetName val=" _-___"/>
      <sheetName val="_인사관~1.XLS__인사관~1.XLS______1__2"/>
      <sheetName val="_인사관~1.XLS__인사관~1_XLS_唸_ۏ瘀"/>
      <sheetName val="_인사관~1.XLS__인사관~1_XLS______1__2"/>
      <sheetName val="_인사관~1.XLS__인사관~1.XLS______1__3"/>
      <sheetName val="_인사관~1.XLS__인사관~1.XL"/>
      <sheetName val="_인사관~1_XLS__인사관~1_XLS__인사관~1_X1"/>
      <sheetName val="내부마감공사비_(2_x0000__x0000_"/>
      <sheetName val="업체손실공수.xls"/>
      <sheetName val="연돌일위집계"/>
      <sheetName val="세동별비상"/>
      <sheetName val="TV"/>
      <sheetName val="구리토평1전기"/>
      <sheetName val="단가(반정1교-원주)"/>
      <sheetName val="마스터"/>
      <sheetName val="횡배수관집현황(2공구)"/>
      <sheetName val="fursys"/>
      <sheetName val="126_2551"/>
      <sheetName val="4-2_실행분석표(실적)"/>
      <sheetName val="경영비율_"/>
      <sheetName val="첨부1_수주잔량표"/>
      <sheetName val="단위량◨ʟ쿆"/>
      <sheetName val="Ⅰ-3"/>
      <sheetName val="인사관~1.XLS인사관~1.XLS唸ۏ瘀"/>
      <sheetName val="인사관~1.XLS인사관~1.XLS인사관~1.XL"/>
      <sheetName val="唸ۏ瘀"/>
      <sheetName val="인사관~1.XLS唸ۏ瘀"/>
      <sheetName val="집계표(OPTION)"/>
      <sheetName val="예산"/>
      <sheetName val="내부마감공사_x0000__x0000_Ԁ_x0000_怀三"/>
      <sheetName val="18년 경영계획 (2차 파트별 인원수정)"/>
      <sheetName val="18년 경영계획 (3차 파트별 인원수정)"/>
      <sheetName val="데이터_2"/>
      <sheetName val="플랜트 설치"/>
      <sheetName val="기계내역"/>
      <sheetName val="집_계_표2"/>
      <sheetName val="She__x005f_x0000_Y_x005f_x0000_2"/>
      <sheetName val="R,BLOCK_세부일정3"/>
      <sheetName val="ASPHALT_TANK3"/>
      <sheetName val="E,ROOM_세부일정3"/>
      <sheetName val="LPG_TANK3"/>
      <sheetName val="9_10곡B(대조립)3"/>
      <sheetName val="15_B_S3"/>
      <sheetName val="13_B_W3"/>
      <sheetName val="8_BLT3"/>
      <sheetName val="16_C_L3"/>
      <sheetName val="11_H_C3"/>
      <sheetName val="14_S_T3"/>
      <sheetName val="12_T_W3"/>
      <sheetName val="REV_08223"/>
      <sheetName val="첨부1__장비별고장2"/>
      <sheetName val="첨부2__장비별원인2"/>
      <sheetName val="1_취수장2"/>
      <sheetName val="광통신_견적내역서12"/>
      <sheetName val="TOWER_12TON2"/>
      <sheetName val="TOWER_10TON2"/>
      <sheetName val="남양시작동자105노65기1_3화1_22"/>
      <sheetName val="토공(우물통,기타)_3"/>
      <sheetName val="6PILE__(돌출)2"/>
      <sheetName val="별표_2"/>
      <sheetName val="아파트_2"/>
      <sheetName val="단면_(2)2"/>
      <sheetName val="2_대외공문2"/>
      <sheetName val="B_O_M2"/>
      <sheetName val="RB,_ER2"/>
      <sheetName val="본선_토공_분배표2"/>
      <sheetName val="할증_2"/>
      <sheetName val="[인사관~1_XLS]唸/ۏ瘀2"/>
      <sheetName val="4-3_보온_기본물량집계2"/>
      <sheetName val="2000년_공정표2"/>
      <sheetName val="[인사관~1_XLS][인사관~1_XLS][인사관~1_X2"/>
      <sheetName val="97_사업추정(WEKI)2"/>
      <sheetName val="13FL_EAST2"/>
      <sheetName val="13FL_WEST_(2)2"/>
      <sheetName val="22FL_EAST2"/>
      <sheetName val="_ｹ-ﾌﾞﾙ2"/>
      <sheetName val="_토목_처리장도급내역서_2"/>
      <sheetName val="7_경제성결과2"/>
      <sheetName val="우석토건변경대비표_xlsx2"/>
      <sheetName val="2_12"/>
      <sheetName val="_x005f_x0000___x005f_x0000_Y2"/>
      <sheetName val="data_table2"/>
      <sheetName val="_냉각수펌프2"/>
      <sheetName val="역T형옹벽(3_0)2"/>
      <sheetName val="1차_내역서2"/>
      <sheetName val="전_기2"/>
      <sheetName val="단가표_(2)2"/>
      <sheetName val="She__x005f_x005f_x005f_x0000_Y_x005f_x005f_x00002"/>
      <sheetName val="공사예산하조서(O_K)1"/>
      <sheetName val="She__Y_2"/>
      <sheetName val="_인사관~1_XLS_唸_ۏ瘀2"/>
      <sheetName val="_인사관~1_XLS__인사관~1_XLS_唸_ۏ瘀2"/>
      <sheetName val="[인사관~1_XLS][인사관~1_XLS]唸/ۏ瘀3"/>
      <sheetName val="4_포장집계"/>
      <sheetName val="2_(2)"/>
      <sheetName val="견적내역-2_(프로세스)"/>
      <sheetName val="견적내역-1_(유틸리티)"/>
      <sheetName val="[인사관~1_XLS][인사관~1_XLS]_____1__3"/>
      <sheetName val="연부97-1"/>
      <sheetName val="실적(2안)"/>
      <sheetName val="빗물받이(910-510"/>
      <sheetName val="[인사관~1.XLS][인사관~1_XLS]唸/ۏ瘀1"/>
      <sheetName val="ELEV HALL1-19층"/>
      <sheetName val="비목별_투입비7"/>
      <sheetName val="예상공사비_(2)7"/>
      <sheetName val="내부마감공사비_(2)7"/>
      <sheetName val="She_3"/>
      <sheetName val="unit_43"/>
      <sheetName val="3_공통공사대비3"/>
      <sheetName val="1_우편집중내역서3"/>
      <sheetName val="She_?Y?3"/>
      <sheetName val="Sheet1_(2)3"/>
      <sheetName val="설_계3"/>
      <sheetName val="5_세운W-A2"/>
      <sheetName val="?_?Y2"/>
      <sheetName val="8_PILE__(돌출)2"/>
      <sheetName val="표지_(2)2"/>
      <sheetName val="depreciation_of_machinery2"/>
      <sheetName val="Packaging_cost_Back_Data2"/>
      <sheetName val="FACTOR_2"/>
      <sheetName val="FCU_(2)2"/>
      <sheetName val="Eq__Mobilization2"/>
      <sheetName val="내___역2"/>
      <sheetName val="1062-X방향_1"/>
      <sheetName val="중기_부표1"/>
      <sheetName val="_FURNACE현설1"/>
      <sheetName val="I__Assumptions1"/>
      <sheetName val="내역_(2)1"/>
      <sheetName val="1_기성청구공문양식1"/>
      <sheetName val="2_기성청구갑지1"/>
      <sheetName val="경비원_1"/>
      <sheetName val="견적_(2)2"/>
      <sheetName val="내역서_표지_1"/>
      <sheetName val="분야별_집계표1"/>
      <sheetName val="_공사설정_1"/>
      <sheetName val="5_공종별예산내역서1"/>
      <sheetName val="준검_내역서2"/>
      <sheetName val="_x005f_x005f_x005f_x0000___x005f_x005f_x005f_x0000_Y1"/>
      <sheetName val="업무분장_1"/>
      <sheetName val="전선_및_전선관1"/>
      <sheetName val="_?-???1"/>
      <sheetName val="제출내역_(2)1"/>
      <sheetName val="LIST_&amp;_DATA1"/>
      <sheetName val="[인사관~1_XLS][인사관~1_XLS]唸/ۏ瘀4"/>
      <sheetName val="[인사관~1_XLS][인사관~1_XLS]_____1__4"/>
      <sheetName val="건드리지_말것1"/>
      <sheetName val="[인사관~1_XLS][인사관~1_XLS]_____1__5"/>
      <sheetName val="계조에_따른_특성"/>
      <sheetName val="She__x005f_x005f_x005f_x005f_x005f_x005f_x005f_x0000_Y_"/>
      <sheetName val="_x005f_x005f_x005f_x005f_x005f_x005f_x005f_x0000___x005"/>
      <sheetName val="She__x005f_x005f_x005f_x0000_Y_"/>
      <sheetName val="_x005f_x005f_x005f_x0000___x005"/>
      <sheetName val="적용건축"/>
      <sheetName val="투자효율분석"/>
      <sheetName val="[인사관~1.XLS][인사관~1_XLS]_____1__3"/>
      <sheetName val="[인사관~1.XLS][인사관~1.XLS]_____1__4"/>
      <sheetName val="입찰내역 발주처 양식"/>
      <sheetName val="마산방향철근집계"/>
      <sheetName val="진주방향"/>
      <sheetName val="수량집계"/>
      <sheetName val="도배0"/>
      <sheetName val="적용비율"/>
      <sheetName val="SAKUB"/>
      <sheetName val="_x005f_x005f_x005f_x0000__x005f_x005f_x005f_x000a__x0_2"/>
      <sheetName val="She_x005f_x005f_x005f_x0009__x005f_x005f_x005f_x0000__2"/>
      <sheetName val="She__x005f_x005f_x005f_x005f_x005f_x005f_x005f_x0000__2"/>
      <sheetName val="_x005f_x005f_x005f_x005f_x005f_x005f_x005f_x0000__x00_2"/>
      <sheetName val="She_x005f_x005f_x005f_x005f_x005f_x005f_x005f_x0009___2"/>
      <sheetName val="She__x005f_x005f_x005f_x005f_x005f_x005f_x005f_x0000__3"/>
      <sheetName val="변압기 및 발전기 용량"/>
      <sheetName val="검토1-관보온"/>
      <sheetName val="노임산재"/>
      <sheetName val="크라운"/>
      <sheetName val="예상공사비_(2)Í"/>
      <sheetName val="사전공사"/>
      <sheetName val="간접비"/>
      <sheetName val="매입수불자재"/>
      <sheetName val="DAN"/>
      <sheetName val="EQUIP LIST"/>
      <sheetName val="_x0000_ _x005"/>
      <sheetName val="97년 신설"/>
      <sheetName val="제2영업소"/>
      <sheetName val="BM_NEW2"/>
      <sheetName val="OrgRates2000"/>
      <sheetName val="Eng_Hrs _HO_"/>
      <sheetName val="Komponen Upah"/>
      <sheetName val="Inkindo 2015"/>
      <sheetName val="RT Cangkang"/>
      <sheetName val="RT13526 CPI"/>
      <sheetName val="JE-2"/>
      <sheetName val="Overall"/>
      <sheetName val="DATASHT"/>
      <sheetName val="SEX"/>
      <sheetName val="351BQMCN"/>
      <sheetName val="H.Satuan"/>
      <sheetName val="NP"/>
      <sheetName val="report"/>
      <sheetName val="[인사관~1.XLS][인사관~1.XLS]_인_관_1__2"/>
      <sheetName val="2003상반기노임기준"/>
      <sheetName val="항목"/>
      <sheetName val="건축기성"/>
      <sheetName val="메서,변+증"/>
      <sheetName val="3차토목내역"/>
      <sheetName val="계산내역(설비)"/>
      <sheetName val="검토서"/>
      <sheetName val="Cal设备采购RFA50"/>
      <sheetName val="전기일위목록"/>
      <sheetName val="SJB-101"/>
      <sheetName val="토목공사일반"/>
      <sheetName val="Sheet379"/>
      <sheetName val="장비제원"/>
      <sheetName val="산출내역서"/>
      <sheetName val="접속집계"/>
      <sheetName val="가격산출근거"/>
      <sheetName val="양식_자재단가조사표"/>
      <sheetName val="산출기초"/>
      <sheetName val="96수표어음"/>
      <sheetName val="Asset98-CAK"/>
      <sheetName val="전력간선(신설)"/>
      <sheetName val="승인요청(⋜Ɇ녈"/>
      <sheetName val="토공정_x0000_"/>
      <sheetName val="변경내역을"/>
      <sheetName val="계약고&amp;환율"/>
      <sheetName val="NEW비교"/>
      <sheetName val="의뢰"/>
      <sheetName val="품의서"/>
      <sheetName val="새공통(97년3월)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토공사및 흙막이공사"/>
      <sheetName val="물가상승1"/>
      <sheetName val="써100 (A4)"/>
      <sheetName val="제출표지"/>
      <sheetName val="건축(주상복합)"/>
      <sheetName val="옥외및기타"/>
      <sheetName val="파일공사(APT)"/>
      <sheetName val="파일공사(부대동)"/>
      <sheetName val="시장성초안camera"/>
      <sheetName val="용연"/>
      <sheetName val="울산"/>
      <sheetName val="진천"/>
      <sheetName val="구미"/>
      <sheetName val="대구"/>
      <sheetName val="언양"/>
      <sheetName val="의뢰서"/>
      <sheetName val="1"/>
      <sheetName val="PAINT"/>
      <sheetName val="산출-설비"/>
      <sheetName val="물가자료"/>
      <sheetName val="청산공사"/>
      <sheetName val="구조물견적서"/>
      <sheetName val="본선집계표"/>
      <sheetName val="콤보박스와 리스트박스의 연결"/>
      <sheetName val="BOX날개벽"/>
      <sheetName val="도급FORM"/>
      <sheetName val="와동25-3(변경)"/>
      <sheetName val="sst,stl창호"/>
      <sheetName val="열관류율"/>
      <sheetName val="First"/>
      <sheetName val="F.C.U ZONE집계"/>
      <sheetName val="A.H.U ZONE별집계"/>
      <sheetName val="PAC 집계"/>
      <sheetName val="난방부하집계(청소년수련관)"/>
      <sheetName val="냉온수기"/>
      <sheetName val="보일러&amp;응축수탱크"/>
      <sheetName val="열교환기"/>
      <sheetName val="공조기선정"/>
      <sheetName val="공조기리턴휀"/>
      <sheetName val="FAN"/>
      <sheetName val="저수조(교육,사이버)"/>
      <sheetName val="저수조(청소년)"/>
      <sheetName val="급탕탱크"/>
      <sheetName val="급수펌프"/>
      <sheetName val="펌프"/>
      <sheetName val="1.가스소비량"/>
      <sheetName val="환산길이"/>
      <sheetName val="1-3.가스관경계산-1"/>
      <sheetName val="1-4.가스관경계산-2"/>
      <sheetName val="1-5.가스관경계산-3"/>
      <sheetName val="1-6.가스관경계산-4 "/>
      <sheetName val="1-7.가스관경계산-5"/>
      <sheetName val="1-7.가스차압산출"/>
      <sheetName val="form"/>
      <sheetName val="ZONE"/>
      <sheetName val="주차장환기량"/>
      <sheetName val="송풍기272대형(지하2층)"/>
      <sheetName val="송풍기272대형(지하1층)"/>
      <sheetName val="송풍기268대형(지하1층)"/>
      <sheetName val="덕트 및 배기그릴선정"/>
      <sheetName val="1.견적서목록"/>
      <sheetName val="SF적재계산"/>
      <sheetName val="FAX1"/>
      <sheetName val="Module1"/>
      <sheetName val="Module2"/>
      <sheetName val="MM"/>
      <sheetName val="견적표지"/>
      <sheetName val="부하계산서 (영문)"/>
      <sheetName val="PEND-ITEM"/>
      <sheetName val="PEND-ITEM (2)"/>
      <sheetName val="PEND-99"/>
      <sheetName val="설계자료"/>
      <sheetName val="VXXXXXX"/>
      <sheetName val="파일정리"/>
      <sheetName val="견적표지(종)"/>
      <sheetName val="견적표지 (횡)"/>
      <sheetName val="화물선취"/>
      <sheetName val="부하집계표 (2안)"/>
      <sheetName val="부하계산서 "/>
      <sheetName val="동결부하계산서"/>
      <sheetName val="UNIT COOLER 선정표"/>
      <sheetName val="ACCUMULALOR (2안)"/>
      <sheetName val="동력집계표 (2안)"/>
      <sheetName val="cooling tower (2)"/>
      <sheetName val="cooling water pump"/>
      <sheetName val="DEFROEST PUMP"/>
      <sheetName val="기기선정표 (2안)"/>
      <sheetName val="부하집계표"/>
      <sheetName val="동력집계표"/>
      <sheetName val="ACCUMULALOR"/>
      <sheetName val="cooling tower"/>
      <sheetName val="기기선정표"/>
      <sheetName val="부하집계표 (2)"/>
      <sheetName val="업체별기성내역"/>
      <sheetName val="7.수지"/>
      <sheetName val="P.M 별"/>
      <sheetName val="작업지시서-1호"/>
      <sheetName val="백호우계수"/>
      <sheetName val="토건"/>
      <sheetName val="내역서-수정본"/>
      <sheetName val="내역서 (2)"/>
      <sheetName val="공조기(삭제)"/>
      <sheetName val="OCT.FDN"/>
      <sheetName val="WIND"/>
      <sheetName val="SEISMIC"/>
      <sheetName val="SIZE"/>
      <sheetName val="EXT.CHECK"/>
      <sheetName val="DESIGN"/>
      <sheetName val="Demolition(Total)"/>
      <sheetName val="D-147E"/>
      <sheetName val="D-126E"/>
      <sheetName val="V-128E"/>
      <sheetName val="FL-123E1"/>
      <sheetName val="D-120E"/>
      <sheetName val="D-131E"/>
      <sheetName val="T-127E1"/>
      <sheetName val="Trench1"/>
      <sheetName val="Trench2"/>
      <sheetName val="Trench3"/>
      <sheetName val="P-147E1"/>
      <sheetName val="P-124E"/>
      <sheetName val="P-127E1,E2 "/>
      <sheetName val="P-121E"/>
      <sheetName val="P-122E"/>
      <sheetName val="P-120E1,E2"/>
      <sheetName val="P-123E1,E2 "/>
      <sheetName val="P-128E "/>
      <sheetName val="WEIGHT LIST"/>
      <sheetName val="산#2-1 (2)"/>
      <sheetName val="재정비직인"/>
      <sheetName val="재정비내역"/>
      <sheetName val="지적고시내역"/>
      <sheetName val="평형공사비"/>
      <sheetName val="조명일위"/>
      <sheetName val="PAC"/>
      <sheetName val="3.건축(현장안)"/>
      <sheetName val="카메라"/>
      <sheetName val="경산"/>
      <sheetName val="Sheet3-1"/>
      <sheetName val="물가자료비교"/>
      <sheetName val="3사단가비교"/>
      <sheetName val="대동"/>
      <sheetName val="성림"/>
      <sheetName val="금강"/>
      <sheetName val="（２）"/>
      <sheetName val="（３） "/>
      <sheetName val="97년-98년"/>
      <sheetName val="주간업무보고"/>
      <sheetName val="주간업무보고4월첫째"/>
      <sheetName val="부재중업무보고"/>
      <sheetName val="주간업무보고4월네째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 (2)"/>
      <sheetName val="목차(1)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99~01년승선현황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판촉비예산 "/>
      <sheetName val="전산투자예산"/>
      <sheetName val="인테리어.시설"/>
      <sheetName val="파 3층 특설 장치장식비"/>
      <sheetName val="갑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TRE TABLE"/>
      <sheetName val="공통부대비"/>
      <sheetName val="9811"/>
      <sheetName val="빙설"/>
      <sheetName val="첨부1-1"/>
      <sheetName val="동영견적(갑지)"/>
      <sheetName val="2.2.10.샤시등"/>
      <sheetName val="A3.공사비 검토"/>
      <sheetName val="C3.토목_옹벽"/>
      <sheetName val="A6.샤시등"/>
      <sheetName val="내역서2안"/>
      <sheetName val="토목내역서 (도급단가)"/>
      <sheetName val="PE거푸집(1.2)"/>
      <sheetName val="위생-sa"/>
      <sheetName val="압력시험보고서"/>
      <sheetName val="배관설치최종점검기록서"/>
      <sheetName val="PUNCH LIST"/>
      <sheetName val="WELDING JOINT INSPECTION STATUS"/>
      <sheetName val="명판"/>
      <sheetName val="업무"/>
      <sheetName val="8"/>
      <sheetName val="9"/>
      <sheetName val="10"/>
      <sheetName val="11"/>
      <sheetName val="12"/>
      <sheetName val="13"/>
      <sheetName val="15"/>
      <sheetName val="16"/>
      <sheetName val="17"/>
      <sheetName val="18"/>
      <sheetName val="19"/>
      <sheetName val="20"/>
      <sheetName val="중방향비율"/>
      <sheetName val="골격"/>
      <sheetName val="가로교통량"/>
      <sheetName val="현황(무신호)"/>
      <sheetName val="미시(휴일-무신호)"/>
      <sheetName val="시행(휴일-무신호)"/>
      <sheetName val="현황-2차로분석)"/>
      <sheetName val="미시(휴일-2차로분석)"/>
      <sheetName val="시행(휴일-2차로분석)"/>
      <sheetName val="자단"/>
      <sheetName val="단락전류-A"/>
      <sheetName val="공통비(전체)"/>
      <sheetName val="매각(6)"/>
      <sheetName val="JIB CRANE,HOIST"/>
      <sheetName val="보할공정"/>
      <sheetName val="분양가"/>
      <sheetName val="노무산출서"/>
      <sheetName val="물량내역"/>
      <sheetName val="청천내"/>
      <sheetName val="철콘(1차견적)"/>
      <sheetName val="구조     ."/>
      <sheetName val="충주내역"/>
      <sheetName val="관류율"/>
      <sheetName val="g"/>
      <sheetName val="h"/>
      <sheetName val="c"/>
      <sheetName val="d"/>
      <sheetName val="e"/>
      <sheetName val="f"/>
      <sheetName val="난방집계"/>
      <sheetName val="난방입상"/>
      <sheetName val="난방횡주"/>
      <sheetName val="급수입상"/>
      <sheetName val="급수횡주"/>
      <sheetName val="급탕입상"/>
      <sheetName val="급탕횡주"/>
      <sheetName val="배수입상 "/>
      <sheetName val="배수횡주"/>
      <sheetName val="오수횡주"/>
      <sheetName val="건물개요"/>
      <sheetName val="내역서 (3)"/>
      <sheetName val="내역서2"/>
      <sheetName val="내역서 (4)"/>
      <sheetName val="단가입력"/>
      <sheetName val="잡자재비"/>
      <sheetName val="공구손료"/>
      <sheetName val="인건비산출"/>
      <sheetName val="정릉견산출"/>
      <sheetName val="상도동견산출"/>
      <sheetName val="상도갑지"/>
      <sheetName val="집행내역"/>
      <sheetName val="기흥하도용"/>
      <sheetName val="일반사항(1,2면)"/>
      <sheetName val="의무사항(3면)"/>
      <sheetName val="에너지성능지표검토서(건축)"/>
      <sheetName val="에너지성능지표검토서(기계, 전기, 신재생)"/>
      <sheetName val="비교1"/>
      <sheetName val="도급원가"/>
      <sheetName val="남양주댠가표"/>
      <sheetName val="입찰"/>
      <sheetName val="소요자재명세서"/>
      <sheetName val="노무비명세서"/>
      <sheetName val="외주비"/>
      <sheetName val="A조"/>
      <sheetName val="충주"/>
      <sheetName val="수지예산"/>
      <sheetName val="0.갑지"/>
      <sheetName val="1.공통가설공사"/>
      <sheetName val="3.건축공사"/>
      <sheetName val="4.설비공사"/>
      <sheetName val="5.전기공사"/>
      <sheetName val="7.안전관리비"/>
      <sheetName val="8.현장관리비"/>
      <sheetName val="인원투입 계획표"/>
      <sheetName val="공사계약현황(공통가설공사)"/>
      <sheetName val="공사계약현황(토목)"/>
      <sheetName val="공사계약현황(건축)"/>
      <sheetName val="공사계약현황 (기계설비))"/>
      <sheetName val="공사계약현황 (전기)"/>
      <sheetName val="기둥(원형)"/>
      <sheetName val="기초공"/>
      <sheetName val="4-0.툫자_x0000__x0000_문)"/>
      <sheetName val="2000.05"/>
      <sheetName val="토공사및_흙막이공사"/>
      <sheetName val="써100_(A4)"/>
      <sheetName val="7_수지"/>
      <sheetName val="F_C_U_ZONE집계"/>
      <sheetName val="A_H_U_ZONE별집계"/>
      <sheetName val="PAC_집계"/>
      <sheetName val="1_가스소비량"/>
      <sheetName val="1-3_가스관경계산-1"/>
      <sheetName val="1-4_가스관경계산-2"/>
      <sheetName val="1-5_가스관경계산-3"/>
      <sheetName val="1-6_가스관경계산-4_"/>
      <sheetName val="1-7_가스관경계산-5"/>
      <sheetName val="1-7_가스차압산출"/>
      <sheetName val="덕트_및_배기그릴선정"/>
      <sheetName val="1_견적서목록"/>
      <sheetName val="부하계산서_(영문)"/>
      <sheetName val="PEND-ITEM_(2)"/>
      <sheetName val="견적표지_(횡)"/>
      <sheetName val="부하집계표_(2안)"/>
      <sheetName val="부하계산서_"/>
      <sheetName val="1.수인터널"/>
      <sheetName val="노임조서"/>
      <sheetName val="_x000f__x0000_"/>
      <sheetName val="출장거리"/>
      <sheetName val="총괄장"/>
      <sheetName val="의류패션팀"/>
      <sheetName val="잡화가용팀"/>
      <sheetName val="판매기획팀"/>
      <sheetName val="식품팀"/>
      <sheetName val="과투입사유서"/>
      <sheetName val="공사현황"/>
      <sheetName val="갑지 (2)"/>
      <sheetName val="비목별 투자 집계"/>
      <sheetName val="미불금"/>
      <sheetName val="상용인건비"/>
      <sheetName val="노무비집계"/>
      <sheetName val="보인"/>
      <sheetName val="목공(직영)"/>
      <sheetName val="측구목공(외주)"/>
      <sheetName val="목공교량외주"/>
      <sheetName val="철근교량외주"/>
      <sheetName val="조원공(외주)"/>
      <sheetName val="기성검사원"/>
      <sheetName val="외주집계"/>
      <sheetName val="모작기성"/>
      <sheetName val="수량집계표"/>
      <sheetName val="장비사용집계표"/>
      <sheetName val="장비사용내역"/>
      <sheetName val="자재비내역 "/>
      <sheetName val="잡자재집계표"/>
      <sheetName val="잡자재비내역"/>
      <sheetName val="유류비집계표"/>
      <sheetName val="유대공제분산출내역"/>
      <sheetName val="유류사용내역서(관문)"/>
      <sheetName val="유류사용내역서(진성)"/>
      <sheetName val="기타유류내역"/>
      <sheetName val="운반비"/>
      <sheetName val="운반비 내역"/>
      <sheetName val="수선수리비집계표"/>
      <sheetName val="수선수리비내역"/>
      <sheetName val="소모공구비"/>
      <sheetName val="소모공구내역"/>
      <sheetName val="사무 용품비"/>
      <sheetName val="사무용품내역서"/>
      <sheetName val="안전관리비집계표"/>
      <sheetName val="안전관리비내역"/>
      <sheetName val="현장경비"/>
      <sheetName val="현장경비내역"/>
      <sheetName val="전기통신비"/>
      <sheetName val="지대 및 집세"/>
      <sheetName val="감가상각명세서"/>
      <sheetName val="전도금정산서"/>
      <sheetName val="복후집계표"/>
      <sheetName val="복리후생비내역"/>
      <sheetName val="식대내역집계표"/>
      <sheetName val="식대청구서"/>
      <sheetName val="애산리식당"/>
      <sheetName val="식대관문"/>
      <sheetName val="신흥상회"/>
      <sheetName val="임금계좌내역"/>
      <sheetName val="계산서발행내역"/>
      <sheetName val="갑지 2 (2)"/>
      <sheetName val="갑지 2"/>
      <sheetName val="공정보고서"/>
      <sheetName val="교대(A1)"/>
      <sheetName val="통합"/>
      <sheetName val="메인거더-크로스빔200연결부"/>
      <sheetName val="IMP(MAIN)"/>
      <sheetName val="IMP (REACTOR)"/>
      <sheetName val="1장 "/>
      <sheetName val="1.개요 "/>
      <sheetName val="2.조건 "/>
      <sheetName val="3.공식붙임"/>
      <sheetName val="2장"/>
      <sheetName val="냉난방"/>
      <sheetName val="3장"/>
      <sheetName val="열원장비"/>
      <sheetName val="4장 "/>
      <sheetName val="1.AHU "/>
      <sheetName val="2.AHU-1"/>
      <sheetName val="2.FAN"/>
      <sheetName val="환기량"/>
      <sheetName val="5장"/>
      <sheetName val="1.급탕"/>
      <sheetName val="6장 별첨"/>
      <sheetName val="외기조건"/>
      <sheetName val="면적&amp;재실인원"/>
      <sheetName val="냉방부하"/>
      <sheetName val="AHU-3"/>
      <sheetName val="AHU-4"/>
      <sheetName val="AHU-5"/>
      <sheetName val="AHU-6"/>
      <sheetName val="LEGEND"/>
      <sheetName val="소요자재"/>
      <sheetName val="기초입력"/>
      <sheetName val="추정공사비계산"/>
      <sheetName val="추정공사비 산출결과"/>
      <sheetName val="급수공과금양식"/>
      <sheetName val="설계개요"/>
      <sheetName val="전계가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1-1.손익(온정각)"/>
      <sheetName val="1-1.손익(관광식당)"/>
      <sheetName val="1-1.손익(직원식당)"/>
      <sheetName val="1-2.월별손익(온정각)"/>
      <sheetName val="1-2.월별손익(관광식당)"/>
      <sheetName val="1-2.월별손익(직원식당)"/>
      <sheetName val="2-1.판관비(지원)"/>
      <sheetName val="2-1.판관비(관광)"/>
      <sheetName val="2-1.판관비(직원) "/>
      <sheetName val="소모품내역"/>
      <sheetName val="직원사급품"/>
      <sheetName val="합산손익"/>
      <sheetName val="인원,매출기준"/>
      <sheetName val="2-1.판관비(온정각)"/>
      <sheetName val="2-2.월별판관비(온정각)"/>
      <sheetName val="2-2.월별판관비(지원)"/>
      <sheetName val="2-2.월별판관비(직원)"/>
      <sheetName val="2-2.월별판관비(휴게소)"/>
      <sheetName val="2-2.월별판관비(스넥코너)"/>
      <sheetName val="2-2.월별판관비(음료코너)"/>
      <sheetName val="2-2.월별판관비(온천장)"/>
      <sheetName val="5-1.인원(온정각)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참조1"/>
      <sheetName val="참조2"/>
      <sheetName val="2월15일"/>
      <sheetName val="아산공문"/>
      <sheetName val="매출현황"/>
      <sheetName val="총괄현황"/>
      <sheetName val="골프스포츠"/>
      <sheetName val="효율비교"/>
      <sheetName val="ITEM"/>
      <sheetName val="세원견적서"/>
      <sheetName val="남대문빌딩"/>
      <sheetName val="냉천부속동"/>
      <sheetName val="hvac(제어동)"/>
      <sheetName val="(첨부3)급탕,온수시방"/>
      <sheetName val="(첨부3)냉수,냉온수보온시방"/>
      <sheetName val="(첨부3)냉매보온"/>
      <sheetName val="잡비"/>
      <sheetName val="별제권_정리담보권1"/>
      <sheetName val="1.설계기준"/>
      <sheetName val="UNIT_COOLER_선정표"/>
      <sheetName val="ACCUMULALOR_(2안)"/>
      <sheetName val="동력집계표_(2안)"/>
      <sheetName val="cooling_tower_(2)"/>
      <sheetName val="cooling_water_pump"/>
      <sheetName val="DEFROEST_PUMP"/>
      <sheetName val="기기선정표_(2안)"/>
      <sheetName val="cooling_tower"/>
      <sheetName val="부하집계표_(2)"/>
      <sheetName val="JIB_CRANE,HOIST"/>
      <sheetName val="P_M_별"/>
      <sheetName val="OCT_FDN"/>
      <sheetName val="EXT_CHECK"/>
      <sheetName val="P-127E1,E2_"/>
      <sheetName val="P-123E1,E2_"/>
      <sheetName val="P-128E_"/>
      <sheetName val="3_건축(현장안)"/>
      <sheetName val="BEND_LOSS"/>
      <sheetName val="WEIGHT_LIST"/>
      <sheetName val="산#2-1_(2)"/>
      <sheetName val="（３）_"/>
      <sheetName val="목차_(2)"/>
      <sheetName val="1-1_손익(부문별)"/>
      <sheetName val="1-2_손익(월별)"/>
      <sheetName val="2-1_판관비(부문)"/>
      <sheetName val="2-2_판관비(월별)"/>
      <sheetName val="3-1_수익비용(부문별)"/>
      <sheetName val="3-2_수익비용(월별)"/>
      <sheetName val="4-1_투자(부문)"/>
      <sheetName val="4-2_투자(월별)"/>
      <sheetName val="5-1_인원(부문)"/>
      <sheetName val="5-2_인원(월별)"/>
      <sheetName val="6_산출근거"/>
      <sheetName val="7_현금흐름"/>
      <sheetName val="마케팅1_(2)"/>
      <sheetName val="마케팅1_(3)"/>
      <sheetName val="마케팅1_(4)"/>
      <sheetName val="01_1담당매출계획27_8$"/>
      <sheetName val="01매출계획_선용품"/>
      <sheetName val="작업악성채권직원판매제외(거래선별)_"/>
      <sheetName val="작업악성채권직원판매제외_(담당별종합)"/>
      <sheetName val="작업악성채권직원판매제외_(담당별)"/>
      <sheetName val="판촉비예산_"/>
      <sheetName val="인테리어_시설"/>
      <sheetName val="파_3층_특설_장치장식비"/>
      <sheetName val="총괄_(03년11월)h&amp;s"/>
      <sheetName val="총괄_(03년11월)여행"/>
      <sheetName val="세부내용_(03년11월)여행"/>
      <sheetName val="개인_세부내용_(03년11월)여행"/>
      <sheetName val="동구일반상품_"/>
      <sheetName val="2_2_10_샤시등"/>
      <sheetName val="A3_공사비_검토"/>
      <sheetName val="C3_토목_옹벽"/>
      <sheetName val="A6_샤시등"/>
      <sheetName val="TRE_TABLE"/>
      <sheetName val="PUNCH_LIST"/>
      <sheetName val="WELDING_JOINT_INSPECTION_STATUS"/>
      <sheetName val="PE거푸집(1_2)"/>
      <sheetName val="내역서_(2)"/>
      <sheetName val="내역서_(3)"/>
      <sheetName val="내역서_(4)"/>
      <sheetName val="건축기술부대조건"/>
      <sheetName val="고효율 유도전동기 적용비율 계산서"/>
      <sheetName val="누락일위대가내역"/>
      <sheetName val="배수입상_"/>
      <sheetName val="토목내역서_(도급단가)"/>
      <sheetName val="1장_"/>
      <sheetName val="1_개요_"/>
      <sheetName val="2_조건_"/>
      <sheetName val="3_공식붙임"/>
      <sheetName val="4장_"/>
      <sheetName val="1_AHU_"/>
      <sheetName val="2_AHU-1"/>
      <sheetName val="2_FAN"/>
      <sheetName val="1_급탕"/>
      <sheetName val="6장_별첨"/>
      <sheetName val="추정공사비_산출결과"/>
      <sheetName val="에너지성능지표검토서(기계,_전기,_신재생)"/>
      <sheetName val="월별손익(용역)_"/>
      <sheetName val="1-1_손익(온정각)"/>
      <sheetName val="1-1_손익(관광식당)"/>
      <sheetName val="1-1_손익(직원식당)"/>
      <sheetName val="1-2_월별손익(온정각)"/>
      <sheetName val="1-2_월별손익(관광식당)"/>
      <sheetName val="1-2_월별손익(직원식당)"/>
      <sheetName val="2-1_판관비(지원)"/>
      <sheetName val="2-1_판관비(관광)"/>
      <sheetName val="2-1_판관비(직원)_"/>
      <sheetName val="2-1_판관비(온정각)"/>
      <sheetName val="2-2_월별판관비(온정각)"/>
      <sheetName val="2-2_월별판관비(지원)"/>
      <sheetName val="2-2_월별판관비(직원)"/>
      <sheetName val="2-2_월별판관비(휴게소)"/>
      <sheetName val="2-2_월별판관비(스넥코너)"/>
      <sheetName val="2-2_월별판관비(음료코너)"/>
      <sheetName val="2-2_월별판관비(온천장)"/>
      <sheetName val="5-1_인원(온정각)"/>
      <sheetName val="99년누계_(월별)"/>
      <sheetName val="고효율_유도전동기_적용비율_계산서"/>
      <sheetName val="정산서 "/>
      <sheetName val="스낵물량"/>
      <sheetName val="캔개발배경"/>
      <sheetName val="시장"/>
      <sheetName val="일정표"/>
      <sheetName val="04부품"/>
      <sheetName val="적용률"/>
      <sheetName val="예산명세서"/>
      <sheetName val="2.냉난방설비공사"/>
      <sheetName val="7.자동제어공사"/>
      <sheetName val="건축실행  (5)"/>
      <sheetName val="단가 "/>
      <sheetName val="적정심사"/>
      <sheetName val="수목데이타 "/>
      <sheetName val="깨기수량"/>
      <sheetName val="단가대비표"/>
      <sheetName val="단위내역목록"/>
      <sheetName val="전기내역서"/>
      <sheetName val="2호맨홀공제수량"/>
      <sheetName val="동별내역-3월5일"/>
      <sheetName val="참고용"/>
      <sheetName val="참고용 (2)"/>
      <sheetName val="COMPARISON TABLE"/>
      <sheetName val="지사인원"/>
      <sheetName val="회사99"/>
      <sheetName val="구의33고"/>
      <sheetName val="간접"/>
      <sheetName val="하도내역 (철콘)"/>
      <sheetName val="설계기준"/>
      <sheetName val="시설국장자료"/>
      <sheetName val="흙깎기(도로부)"/>
      <sheetName val="관리,부대비"/>
      <sheetName val="제경비율"/>
      <sheetName val="대차대조표"/>
      <sheetName val="큐비&amp;pnl_견적비교"/>
      <sheetName val="등_견적비교"/>
      <sheetName val="서울통신"/>
      <sheetName val="3.고급화검토"/>
      <sheetName val="입면고급화단가표"/>
      <sheetName val="2.공사비 검토"/>
      <sheetName val="1.CB"/>
      <sheetName val="1.CB (2)"/>
      <sheetName val="1.CB (3)"/>
      <sheetName val="TEST"/>
      <sheetName val="합계"/>
      <sheetName val="수식"/>
      <sheetName val="외화"/>
      <sheetName val="도입"/>
      <sheetName val="정액"/>
      <sheetName val="변수"/>
      <sheetName val="정율"/>
      <sheetName val="외산지수"/>
      <sheetName val="환율(설치)"/>
      <sheetName val="환산율"/>
      <sheetName val="국내지수"/>
      <sheetName val="99년하반기"/>
      <sheetName val="C급보 "/>
      <sheetName val="wage Cal"/>
      <sheetName val="수량산출서 갑지"/>
      <sheetName val="일반전기C"/>
      <sheetName val="당사"/>
      <sheetName val="b_balju-단가단가단가"/>
      <sheetName val="대비표(토공1안)"/>
      <sheetName val="겉표지"/>
      <sheetName val="노임근거"/>
      <sheetName val="일대목차"/>
      <sheetName val="합산자재"/>
      <sheetName val="옵션"/>
      <sheetName val="사용설명"/>
      <sheetName val="Mech CIF"/>
      <sheetName val="WORK"/>
      <sheetName val="일단의 주택지"/>
      <sheetName val="합계잔액시산표"/>
      <sheetName val="비교대차대조표"/>
      <sheetName val="비교손익계산서 "/>
      <sheetName val="결손금처리계산서"/>
      <sheetName val="현금흐름표정산표"/>
      <sheetName val="현금흐름표"/>
      <sheetName val="현금흐름표_명세"/>
      <sheetName val="0312대차대조표"/>
      <sheetName val="(기준서반영)0312손익계산서"/>
      <sheetName val="상품"/>
      <sheetName val="매장상품"/>
      <sheetName val="외상매입금"/>
      <sheetName val="매출원가"/>
      <sheetName val="2003.12"/>
      <sheetName val="2002.12"/>
      <sheetName val="대차대조표_보고"/>
      <sheetName val="손익계산서_보고"/>
      <sheetName val="요약대차당해년"/>
      <sheetName val="요약대차대조표"/>
      <sheetName val="년도별손익계산서"/>
      <sheetName val="년도별대차대조표"/>
      <sheetName val="주요계정명세서_보고"/>
      <sheetName val="결산공고용"/>
      <sheetName val="영업.일1"/>
      <sheetName val="SEV wiress4 Total"/>
      <sheetName val="SEV wireles 4  fire fighting "/>
      <sheetName val="1-2-1"/>
      <sheetName val="1-2-2"/>
      <sheetName val="1-2-3"/>
      <sheetName val="1-3-1"/>
      <sheetName val="1-3-2"/>
      <sheetName val="1-3-3"/>
      <sheetName val="1-3-4"/>
      <sheetName val="2-1"/>
      <sheetName val="2-2-1"/>
      <sheetName val="2-2-2"/>
      <sheetName val="3-1"/>
      <sheetName val="3-2"/>
      <sheetName val="4-1"/>
      <sheetName val="4-2"/>
      <sheetName val="SEV wireles 4  fire Alarm"/>
      <sheetName val="B.1-1"/>
      <sheetName val="B.1-2"/>
      <sheetName val="B.1-3"/>
      <sheetName val="B.1-4"/>
      <sheetName val="B.1-5"/>
      <sheetName val="B.1-6"/>
      <sheetName val="B.1-7"/>
      <sheetName val="B.2"/>
      <sheetName val="B.3"/>
      <sheetName val="B.4"/>
      <sheetName val="B.6-1"/>
      <sheetName val="B.6-2"/>
      <sheetName val="각형덕트"/>
      <sheetName val="터미널측정기록"/>
      <sheetName val="시운전연료"/>
      <sheetName val="기성내역서"/>
      <sheetName val="보온자재단가표"/>
      <sheetName val="CB"/>
      <sheetName val="건   축"/>
      <sheetName val="b_yesan"/>
      <sheetName val="기본자료"/>
      <sheetName val="토목단가"/>
      <sheetName val="---제2오수펌프장"/>
      <sheetName val="골재수량"/>
      <sheetName val="토공집계"/>
      <sheetName val="토공유동표"/>
      <sheetName val="토공계산서"/>
      <sheetName val="포장수량집계"/>
      <sheetName val="본선포장수량"/>
      <sheetName val="토적표"/>
      <sheetName val="배수공수집"/>
      <sheetName val="시멘골재"/>
      <sheetName val="철근"/>
      <sheetName val="주요자재"/>
      <sheetName val="골재"/>
      <sheetName val="강재2"/>
      <sheetName val="청하배수"/>
      <sheetName val="단가보완"/>
      <sheetName val="단위가격"/>
      <sheetName val="SR97-1"/>
      <sheetName val="1SGATE97"/>
      <sheetName val="가공비"/>
      <sheetName val="하수실행"/>
      <sheetName val="기계공사내역"/>
      <sheetName val="수도메타"/>
      <sheetName val="수도FAX"/>
      <sheetName val="사코FAX"/>
      <sheetName val="사코"/>
      <sheetName val="경영상태"/>
      <sheetName val="D-3109"/>
      <sheetName val="일반수량"/>
      <sheetName val="BOX구조해석 설명서"/>
      <sheetName val="간지"/>
      <sheetName val="단면가정"/>
      <sheetName val="좌표단면SPRING"/>
      <sheetName val="하중산정"/>
      <sheetName val="하중조합"/>
      <sheetName val="OUTPUT"/>
      <sheetName val="부재력요약"/>
      <sheetName val="철근량 검토"/>
      <sheetName val="우각부검토"/>
      <sheetName val="안정성검토"/>
      <sheetName val="철근배근"/>
      <sheetName val="본체"/>
      <sheetName val="NH"/>
      <sheetName val="실행간접비용"/>
      <sheetName val="기타수량"/>
      <sheetName val="DATA 입력란"/>
      <sheetName val="1. 설계조건 2.단면가정 3. 하중계산"/>
      <sheetName val="1.내역(청.하역장전등)"/>
      <sheetName val="기계"/>
      <sheetName val="정화조"/>
      <sheetName val="조경"/>
      <sheetName val="입찰견적보고서"/>
      <sheetName val="IN2"/>
      <sheetName val="설비2차"/>
      <sheetName val="설계예시"/>
      <sheetName val="마감사양"/>
      <sheetName val="봉천제출"/>
      <sheetName val="물건조서"/>
      <sheetName val="유림총괄"/>
      <sheetName val="대차대조-보고"/>
      <sheetName val="환경기계공정표 (3)"/>
      <sheetName val="XL4Poppy"/>
      <sheetName val="노임명세"/>
      <sheetName val="99노임기준"/>
      <sheetName val="실행내역 "/>
      <sheetName val="XZLC004_PART2"/>
      <sheetName val="금호"/>
      <sheetName val="현장지지물물량"/>
      <sheetName val="유동표"/>
      <sheetName val="공내역"/>
      <sheetName val="입출재고현황 (2)"/>
      <sheetName val="도시가스현황"/>
      <sheetName val="인건비 "/>
      <sheetName val="2. 공원조도"/>
      <sheetName val="4-0.툫자"/>
      <sheetName val="단위세대 개요"/>
      <sheetName val="anaysis_sheet"/>
      <sheetName val="비용master"/>
      <sheetName val="내역(가지)"/>
      <sheetName val="개인DATA"/>
      <sheetName val="실행예산"/>
      <sheetName val="J형측구단위수량"/>
      <sheetName val="을 1"/>
      <sheetName val="을 2"/>
      <sheetName val="GATE_RFID_설치운영"/>
      <sheetName val="1차배부(JB포함)"/>
      <sheetName val="기준"/>
      <sheetName val="관세,통관수수료,운반비"/>
      <sheetName val="부표총괄"/>
      <sheetName val="2차공사"/>
      <sheetName val="자료"/>
      <sheetName val="토목내역 (2)"/>
      <sheetName val="선수금,기성"/>
      <sheetName val="경상비내역"/>
      <sheetName val="EKOG10건축"/>
      <sheetName val="설계내역2"/>
      <sheetName val="_x0000__x0008__x0000_ꪀᗈ_x0000_"/>
      <sheetName val="관경결정"/>
      <sheetName val="1.구리중 (제조사A)"/>
      <sheetName val="1.구리중 (제조사B)"/>
      <sheetName val="1.구리중 (제조사C)"/>
      <sheetName val="2.토평초(제조사A)"/>
      <sheetName val="2.토평초(제조사B)"/>
      <sheetName val="2.토평초(제조사C)"/>
      <sheetName val="3.평내초(제조사A)"/>
      <sheetName val="3.평내초(제조사B)"/>
      <sheetName val="3.평내초(제조사C)"/>
      <sheetName val="전체(삼성모델)"/>
      <sheetName val="전체(케리어모델)"/>
      <sheetName val="MDF"/>
      <sheetName val="실외기 배관트레이"/>
      <sheetName val="중앙콘트롤러설치용전선 "/>
      <sheetName val="자재단가표"/>
      <sheetName val="실내기전원"/>
      <sheetName val="신공덕"/>
      <sheetName val="장비비"/>
      <sheetName val="기안지"/>
      <sheetName val="1.집계표"/>
      <sheetName val="2.공통가설공사"/>
      <sheetName val="4.기계설비공사"/>
      <sheetName val="7. 안전관리비"/>
      <sheetName val="인원투입계획"/>
      <sheetName val="총괄계약금액"/>
      <sheetName val="계약현황"/>
      <sheetName val="식대 숙직비"/>
      <sheetName val="일위대가_가설_"/>
      <sheetName val="일위대가(건축)"/>
      <sheetName val="변압기L"/>
      <sheetName val="변압기E"/>
      <sheetName val="GEN "/>
      <sheetName val="세대"/>
      <sheetName val="L"/>
      <sheetName val="P"/>
      <sheetName val="LE"/>
      <sheetName val="주차장"/>
      <sheetName val="동력"/>
      <sheetName val="전압강하"/>
      <sheetName val="접지"/>
      <sheetName val="밧데리및정류기"/>
      <sheetName val="조도"/>
      <sheetName val="TRAY"/>
      <sheetName val="단락용량"/>
      <sheetName val="1동"/>
      <sheetName val="2동"/>
      <sheetName val="3동"/>
      <sheetName val="4동"/>
      <sheetName val="5동"/>
      <sheetName val="전화"/>
      <sheetName val="방송"/>
      <sheetName val="1차3회-개소별명세서-빨간색-인쇄용(21873)"/>
      <sheetName val="XZLC003_PART1"/>
      <sheetName val="일위(PN)"/>
      <sheetName val="견적서(방진)"/>
      <sheetName val="견적서(내진)-ULFM"/>
      <sheetName val="내진스토퍼-앙카체결"/>
      <sheetName val="신단가"/>
      <sheetName val="신단가 (내진설치비)"/>
      <sheetName val="PO-MAT견적(철근)"/>
      <sheetName val="PO-MAT견적(와이어메쉬)"/>
      <sheetName val="JACK-UP"/>
      <sheetName val="프린트 (3)"/>
      <sheetName val="측면지"/>
      <sheetName val="뒷표지"/>
      <sheetName val="앞표지"/>
      <sheetName val="제출문"/>
      <sheetName val="간지-2"/>
      <sheetName val="결과1"/>
      <sheetName val="결과2"/>
      <sheetName val="결과3"/>
      <sheetName val="결과4"/>
      <sheetName val="결과5"/>
      <sheetName val="결과6"/>
      <sheetName val="간지-2 (2)"/>
      <sheetName val=" 1. 개요"/>
      <sheetName val=" 2. 난방설비"/>
      <sheetName val="열관류율 계산서"/>
      <sheetName val="84A"/>
      <sheetName val="84B"/>
      <sheetName val="84C"/>
      <sheetName val="101A"/>
      <sheetName val="101B"/>
      <sheetName val="101C"/>
      <sheetName val="난방부하집계"/>
      <sheetName val="2.3 세대별난방부하집계"/>
      <sheetName val="보일러 선정"/>
      <sheetName val="84A (2)"/>
      <sheetName val="84B (2)"/>
      <sheetName val="84C (2)"/>
      <sheetName val="101A (2)"/>
      <sheetName val="101B (2)"/>
      <sheetName val="101C (2)"/>
      <sheetName val="난방부하집계 (2)"/>
      <sheetName val="2.3 세대별난방부하집계 (2)"/>
      <sheetName val="보일러 선정 (2)"/>
      <sheetName val="4.급수설비"/>
      <sheetName val="4.2 급수입상배관"/>
      <sheetName val="4.3 급수횡주관"/>
      <sheetName val="5.1 열교환기"/>
      <sheetName val="가설대가"/>
      <sheetName val="토공대가"/>
      <sheetName val="구조대가"/>
      <sheetName val="포설대가1"/>
      <sheetName val="부대대가"/>
      <sheetName val="사업성"/>
      <sheetName val="대여현황"/>
      <sheetName val="금액순"/>
      <sheetName val="안산기계장치"/>
      <sheetName val="익산"/>
      <sheetName val="자재표"/>
      <sheetName val="기자재비"/>
      <sheetName val="부재리스트"/>
      <sheetName val="EQUIPMENT -2"/>
      <sheetName val="매각대상"/>
      <sheetName val="승용C.S"/>
      <sheetName val="상용C.S"/>
      <sheetName val="crude.SLAB RE-bar"/>
      <sheetName val="동관마찰손실표"/>
      <sheetName val="12.17"/>
      <sheetName val="공조실11"/>
      <sheetName val="가스공사 "/>
      <sheetName val="공조실12"/>
      <sheetName val="토목검측서"/>
      <sheetName val="Hidden"/>
      <sheetName val="H-Pile공"/>
      <sheetName val="201801"/>
      <sheetName val="201802"/>
      <sheetName val="201803"/>
      <sheetName val="201804"/>
      <sheetName val="201805"/>
      <sheetName val="201806"/>
      <sheetName val="201807"/>
      <sheetName val="201808"/>
      <sheetName val="전체도급"/>
      <sheetName val="수량"/>
      <sheetName val="토공수량산출"/>
      <sheetName val="공제구간조서"/>
      <sheetName val="3련 BOX"/>
      <sheetName val="공종"/>
      <sheetName val="접도구역경계표주현황"/>
      <sheetName val="가도공"/>
      <sheetName val="본지사합"/>
      <sheetName val="공사"/>
      <sheetName val="용산1(해보)"/>
      <sheetName val="1.설계조건 "/>
      <sheetName val="설계기준설명 "/>
      <sheetName val="2.단면가정 (BASE)"/>
      <sheetName val="3.하중및토압 (고정)"/>
      <sheetName val="4.작용하중(고정)"/>
      <sheetName val="5.안정검토(고정)(풍화암)"/>
      <sheetName val="6.벽체계산"/>
      <sheetName val="7.흉벽계산(ASCON)"/>
      <sheetName val="8.FOOTING"/>
      <sheetName val="9.날개벽"/>
      <sheetName val="10.교좌받침"/>
      <sheetName val="11.접속슬라브(ASCON)"/>
      <sheetName val="주철근조립도"/>
      <sheetName val="하자보증"/>
      <sheetName val="아파트"/>
      <sheetName val="식재일위대가"/>
      <sheetName val="9,10월신제품 (2)"/>
      <sheetName val="기준9801"/>
      <sheetName val="비교9701"/>
      <sheetName val="0"/>
      <sheetName val="당년실적"/>
      <sheetName val="제품손익"/>
      <sheetName val="선택"/>
      <sheetName val="제조원가피벗"/>
      <sheetName val="위탁현황"/>
      <sheetName val="2001"/>
      <sheetName val="1999"/>
      <sheetName val="2000"/>
      <sheetName val="99차량"/>
      <sheetName val="피벗전체"/>
      <sheetName val="수출포함"/>
      <sheetName val="주간계획"/>
      <sheetName val="97손익"/>
      <sheetName val="98손익"/>
      <sheetName val="3부손익당월"/>
      <sheetName val="①매출"/>
      <sheetName val="당년사별실적"/>
      <sheetName val="장비경비"/>
      <sheetName val="내역서1999.8최종"/>
      <sheetName val="JUCK"/>
      <sheetName val="확약서"/>
      <sheetName val="기본DATA"/>
      <sheetName val="EQUIP-H"/>
      <sheetName val="Macro3"/>
      <sheetName val="단가조사서"/>
      <sheetName val="1.공사개요(입력)"/>
      <sheetName val="LEGEND i"/>
      <sheetName val="대비내역(총괄)"/>
      <sheetName val="수목데이타"/>
      <sheetName val="내역서적용수량"/>
      <sheetName val="건축원가계산서"/>
      <sheetName val="부대tu"/>
      <sheetName val="전화.인터넷(현장)"/>
      <sheetName val="텔레캅(현장)"/>
      <sheetName val="노면표시수량집계"/>
      <sheetName val="도근좌표"/>
      <sheetName val="우편번호"/>
      <sheetName val="마루67OB"/>
      <sheetName val="마루67OA"/>
      <sheetName val="마루52A"/>
      <sheetName val="마루45A"/>
      <sheetName val="마루42A"/>
      <sheetName val="평형별 세대수"/>
      <sheetName val="Title"/>
      <sheetName val="Load-Ut"/>
      <sheetName val="Load-Sum"/>
      <sheetName val="RM-Load0"/>
      <sheetName val="RM-Load1"/>
      <sheetName val="RM-Load2"/>
      <sheetName val="rm_data"/>
      <sheetName val="TE-Load"/>
      <sheetName val="FCU-Sel"/>
      <sheetName val="BL-Sum"/>
      <sheetName val="BL-Eq"/>
      <sheetName val="ZN-Sum"/>
      <sheetName val="시추주상도"/>
      <sheetName val="ISO"/>
      <sheetName val="Bag Filter Sizing"/>
      <sheetName val="OHU"/>
      <sheetName val="AV시스템"/>
      <sheetName val="기초데이타"/>
      <sheetName val="수배전반 을지"/>
      <sheetName val="급수"/>
      <sheetName val="급탕"/>
      <sheetName val="시수"/>
      <sheetName val="급탕(순간식)"/>
      <sheetName val="4.3. 급수펌프선정"/>
      <sheetName val="4.3.2.급탕순환펌프"/>
      <sheetName val="4.3.3. 배수펌프"/>
      <sheetName val="4.4. 전기온수기"/>
      <sheetName val="4.5. 보일러"/>
      <sheetName val="4.4. 급탕탱크"/>
      <sheetName val="우수설계조건"/>
      <sheetName val="계통도"/>
      <sheetName val="설계계산서"/>
      <sheetName val="4.6. 급탕탱크"/>
      <sheetName val="---환기"/>
      <sheetName val="실별환기량산출"/>
      <sheetName val="결과보고서"/>
      <sheetName val="G.R300경비"/>
      <sheetName val="????"/>
      <sheetName val="전력"/>
      <sheetName val="3.0냉난방열원집계"/>
      <sheetName val="4.1AHU"/>
      <sheetName val="4.3 공기압축기"/>
      <sheetName val="4.7 전기라디에타 "/>
      <sheetName val="4.9 AC "/>
      <sheetName val="4.11 FAN"/>
      <sheetName val="4.12 TANK 4.13 탈취기"/>
      <sheetName val="4.14 PUMP"/>
      <sheetName val="5.위생설비"/>
      <sheetName val="anti-termite"/>
      <sheetName val="6. 안전관리비"/>
      <sheetName val="5. 현장관리비(new) "/>
      <sheetName val="S&amp;R"/>
      <sheetName val="양지교"/>
      <sheetName val="1~5월"/>
      <sheetName val="파주 운정지구 A8블럭"/>
      <sheetName val="22수량"/>
      <sheetName val="3BL공동구 수량"/>
      <sheetName val="공구"/>
      <sheetName val="tggwan(mac)"/>
      <sheetName val="woo(mac)"/>
      <sheetName val="단가입耉"/>
      <sheetName val="1.기계 납품 진행  현황"/>
      <sheetName val="2.협력업체 담당자 및 연락처"/>
      <sheetName val="프로젝트내용"/>
      <sheetName val="실제업로드시트"/>
      <sheetName val="비목코드"/>
      <sheetName val="외화단가"/>
      <sheetName val="여부구분"/>
      <sheetName val="레미콘구분"/>
      <sheetName val="대표공종2"/>
      <sheetName val="토공수량"/>
      <sheetName val=" 총괄표"/>
      <sheetName val="블럭 손익"/>
      <sheetName val="증감대비"/>
      <sheetName val="성단물량"/>
      <sheetName val="항목(1)"/>
      <sheetName val="BOOK4"/>
      <sheetName val="빈"/>
      <sheetName val="15 문제점"/>
      <sheetName val="총 원가계산"/>
      <sheetName val="적현로"/>
      <sheetName val="LOAD-46"/>
      <sheetName val="샘플표지"/>
      <sheetName val="토공사및_흙막이공사1"/>
      <sheetName val="써100_(A4)1"/>
      <sheetName val="F_C_U_ZONE집계1"/>
      <sheetName val="A_H_U_ZONE별집계1"/>
      <sheetName val="PAC_집계1"/>
      <sheetName val="1_가스소비량1"/>
      <sheetName val="1-3_가스관경계산-11"/>
      <sheetName val="1-4_가스관경계산-21"/>
      <sheetName val="1-5_가스관경계산-31"/>
      <sheetName val="1-6_가스관경계산-4_1"/>
      <sheetName val="1-7_가스관경계산-51"/>
      <sheetName val="1-7_가스차압산출1"/>
      <sheetName val="덕트_및_배기그릴선정1"/>
      <sheetName val="OCT_FDN1"/>
      <sheetName val="EXT_CHECK1"/>
      <sheetName val="P-127E1,E2_1"/>
      <sheetName val="P-123E1,E2_1"/>
      <sheetName val="P-128E_1"/>
      <sheetName val="1_견적서목록1"/>
      <sheetName val="부하계산서_(영문)1"/>
      <sheetName val="PEND-ITEM_(2)1"/>
      <sheetName val="견적표지_(횡)1"/>
      <sheetName val="부하집계표_(2안)1"/>
      <sheetName val="부하계산서_1"/>
      <sheetName val="UNIT_COOLER_선정표1"/>
      <sheetName val="ACCUMULALOR_(2안)1"/>
      <sheetName val="동력집계표_(2안)1"/>
      <sheetName val="cooling_tower_(2)1"/>
      <sheetName val="cooling_water_pump1"/>
      <sheetName val="DEFROEST_PUMP1"/>
      <sheetName val="기기선정표_(2안)1"/>
      <sheetName val="cooling_tower1"/>
      <sheetName val="부하집계표_(2)1"/>
      <sheetName val="7_수지1"/>
      <sheetName val="WEIGHT_LIST1"/>
      <sheetName val="산#2-1_(2)1"/>
      <sheetName val="BEND_LOSS1"/>
      <sheetName val="P_M_별1"/>
      <sheetName val="JIB_CRANE,HOIST1"/>
      <sheetName val="3_건축(현장안)1"/>
      <sheetName val="A_LINE1"/>
      <sheetName val="2_2_10_샤시등1"/>
      <sheetName val="A3_공사비_검토1"/>
      <sheetName val="C3_토목_옹벽1"/>
      <sheetName val="A6_샤시등1"/>
      <sheetName val="PE거푸집(1_2)1"/>
      <sheetName val="（３）_1"/>
      <sheetName val="목차_(2)1"/>
      <sheetName val="1-1_손익(부문별)1"/>
      <sheetName val="1-2_손익(월별)1"/>
      <sheetName val="2-1_판관비(부문)1"/>
      <sheetName val="2-2_판관비(월별)1"/>
      <sheetName val="3-1_수익비용(부문별)1"/>
      <sheetName val="3-2_수익비용(월별)1"/>
      <sheetName val="4-1_투자(부문)1"/>
      <sheetName val="4-2_투자(월별)1"/>
      <sheetName val="5-1_인원(부문)1"/>
      <sheetName val="5-2_인원(월별)1"/>
      <sheetName val="6_산출근거1"/>
      <sheetName val="7_현금흐름1"/>
      <sheetName val="마케팅1_(2)1"/>
      <sheetName val="마케팅1_(3)1"/>
      <sheetName val="마케팅1_(4)1"/>
      <sheetName val="01_1담당매출계획27_8$1"/>
      <sheetName val="01매출계획_선용품1"/>
      <sheetName val="작업악성채권직원판매제외(거래선별)_1"/>
      <sheetName val="작업악성채권직원판매제외_(담당별종합)1"/>
      <sheetName val="작업악성채권직원판매제외_(담당별)1"/>
      <sheetName val="판촉비예산_1"/>
      <sheetName val="인테리어_시설1"/>
      <sheetName val="파_3층_특설_장치장식비1"/>
      <sheetName val="총괄_(03년11월)h&amp;s1"/>
      <sheetName val="총괄_(03년11월)여행1"/>
      <sheetName val="세부내용_(03년11월)여행1"/>
      <sheetName val="개인_세부내용_(03년11월)여행1"/>
      <sheetName val="동구일반상품_1"/>
      <sheetName val="TRE_TABLE1"/>
      <sheetName val="BSD__2_1"/>
      <sheetName val="내역서_(2)1"/>
      <sheetName val="내역서_(3)1"/>
      <sheetName val="내역서_(4)1"/>
      <sheetName val="PUNCH_LIST1"/>
      <sheetName val="WELDING_JOINT_INSPECTION_STATU1"/>
      <sheetName val="토목내역서_(도급단가)1"/>
      <sheetName val="구조______"/>
      <sheetName val="배수입상_1"/>
      <sheetName val="플랜트_설치"/>
      <sheetName val="에너지성능지표검토서(기계,_전기,_신재생)1"/>
      <sheetName val="1_수인터널"/>
      <sheetName val="갑지_(2)"/>
      <sheetName val="비목별_투자_집계"/>
      <sheetName val="자재비내역_"/>
      <sheetName val="운반비_내역"/>
      <sheetName val="사무_용품비"/>
      <sheetName val="지대_및_집세"/>
      <sheetName val="갑지_2_(2)"/>
      <sheetName val="갑지_2"/>
      <sheetName val="IMP_(REACTOR)"/>
      <sheetName val="1장_1"/>
      <sheetName val="1_개요_1"/>
      <sheetName val="2_조건_1"/>
      <sheetName val="3_공식붙임1"/>
      <sheetName val="4장_1"/>
      <sheetName val="1_AHU_1"/>
      <sheetName val="2_AHU-11"/>
      <sheetName val="2_FAN1"/>
      <sheetName val="1_급탕1"/>
      <sheetName val="6장_별첨1"/>
      <sheetName val="추정공사비_산출결과1"/>
      <sheetName val="월별손익(용역)_1"/>
      <sheetName val="1-1_손익(온정각)1"/>
      <sheetName val="1-1_손익(관광식당)1"/>
      <sheetName val="1-1_손익(직원식당)1"/>
      <sheetName val="1-2_월별손익(온정각)1"/>
      <sheetName val="1-2_월별손익(관광식당)1"/>
      <sheetName val="1-2_월별손익(직원식당)1"/>
      <sheetName val="2-1_판관비(지원)1"/>
      <sheetName val="2-1_판관비(관광)1"/>
      <sheetName val="2-1_판관비(직원)_1"/>
      <sheetName val="2-1_판관비(온정각)1"/>
      <sheetName val="2-2_월별판관비(온정각)1"/>
      <sheetName val="2-2_월별판관비(지원)1"/>
      <sheetName val="2-2_월별판관비(직원)1"/>
      <sheetName val="2-2_월별판관비(휴게소)1"/>
      <sheetName val="2-2_월별판관비(스넥코너)1"/>
      <sheetName val="2-2_월별판관비(음료코너)1"/>
      <sheetName val="2-2_월별판관비(온천장)1"/>
      <sheetName val="5-1_인원(온정각)1"/>
      <sheetName val="99년누계_(월별)1"/>
      <sheetName val="콤보박스와_리스트박스의_연결"/>
      <sheetName val="0_갑지"/>
      <sheetName val="1_공통가설공사"/>
      <sheetName val="2_토목공사"/>
      <sheetName val="3_건축공사"/>
      <sheetName val="4_설비공사"/>
      <sheetName val="5_전기공사"/>
      <sheetName val="7_안전관리비"/>
      <sheetName val="8_현장관리비"/>
      <sheetName val="인원투입_계획표"/>
      <sheetName val="공사계약현황_(기계설비))"/>
      <sheetName val="공사계약현황_(전기)"/>
      <sheetName val="4-0_툫자문)"/>
      <sheetName val="2000_05"/>
      <sheetName val="고효율_유도전동기_적용비율_계산서1"/>
      <sheetName val="정산서_"/>
      <sheetName val="1_설계기준"/>
      <sheetName val="2_냉난방설비공사"/>
      <sheetName val="7_자동제어공사"/>
      <sheetName val="수목데이타_"/>
      <sheetName val="건축실행__(5)"/>
      <sheetName val="참고용_(2)"/>
      <sheetName val="COMPARISON_TABLE"/>
      <sheetName val="간접비_총괄표"/>
      <sheetName val="3_고급화검토"/>
      <sheetName val="2_공사비_검토"/>
      <sheetName val="단가_"/>
      <sheetName val="하도내역_(철콘)"/>
      <sheetName val="1_CB"/>
      <sheetName val="1_CB_(2)"/>
      <sheetName val="1_CB_(3)"/>
      <sheetName val="C급보_"/>
      <sheetName val="wage_Cal"/>
      <sheetName val="수량산출서_갑지"/>
      <sheetName val="Mech_CIF"/>
      <sheetName val="일단의_주택지"/>
      <sheetName val="비교손익계산서_"/>
      <sheetName val="2003_12"/>
      <sheetName val="2002_12"/>
      <sheetName val="영업_일1"/>
      <sheetName val="SEV_wiress4_Total"/>
      <sheetName val="SEV_wireles_4__fire_fighting_"/>
      <sheetName val="SEV_wireles_4__fire_Alarm"/>
      <sheetName val="B_1-1"/>
      <sheetName val="B_1-2"/>
      <sheetName val="B_1-3"/>
      <sheetName val="B_1-4"/>
      <sheetName val="B_1-5"/>
      <sheetName val="B_1-6"/>
      <sheetName val="B_1-7"/>
      <sheetName val="B_2"/>
      <sheetName val="B_3"/>
      <sheetName val="B_4"/>
      <sheetName val="B_6-1"/>
      <sheetName val="B_6-2"/>
      <sheetName val="환경기계공정표_(3)"/>
      <sheetName val="실행내역_"/>
      <sheetName val="입출재고현황_(2)"/>
      <sheetName val="인건비_"/>
      <sheetName val="2__공원조도"/>
      <sheetName val="4-0_툫자"/>
      <sheetName val="단위세대_개요"/>
      <sheetName val="1_구리중_(제조사A)"/>
      <sheetName val="1_구리중_(제조사B)"/>
      <sheetName val="1_구리중_(제조사C)"/>
      <sheetName val="2_토평초(제조사A)"/>
      <sheetName val="2_토평초(제조사B)"/>
      <sheetName val="2_토평초(제조사C)"/>
      <sheetName val="3_평내초(제조사A)"/>
      <sheetName val="3_평내초(제조사B)"/>
      <sheetName val="3_평내초(제조사C)"/>
      <sheetName val="실외기_배관트레이"/>
      <sheetName val="중앙콘트롤러설치용전선_"/>
      <sheetName val="1_집계표"/>
      <sheetName val="2_공통가설공사"/>
      <sheetName val="4_기계설비공사"/>
      <sheetName val="7__안전관리비"/>
      <sheetName val="식대_숙직비"/>
      <sheetName val="토목내역_(2)"/>
      <sheetName val="BSD_(2)"/>
      <sheetName val="을_1"/>
      <sheetName val="을_2"/>
      <sheetName val="Sheet2 (2)"/>
      <sheetName val="가계약현황"/>
      <sheetName val="정계약 현황"/>
      <sheetName val="동호수배치도"/>
      <sheetName val="계약서불출대장"/>
      <sheetName val="우편수령"/>
      <sheetName val="계약해지"/>
      <sheetName val="납부서"/>
      <sheetName val="Construction"/>
      <sheetName val="총투자비"/>
      <sheetName val="요약&amp;결과"/>
      <sheetName val="BS"/>
      <sheetName val="총사업비"/>
      <sheetName val="오피스매각가"/>
      <sheetName val="맨홀수량산출"/>
      <sheetName val="토공사및_흙막이공사2"/>
      <sheetName val="써100_(A4)2"/>
      <sheetName val="F_C_U_ZONE집계2"/>
      <sheetName val="A_H_U_ZONE별집계2"/>
      <sheetName val="PAC_집계2"/>
      <sheetName val="1_가스소비량2"/>
      <sheetName val="1-3_가스관경계산-12"/>
      <sheetName val="1-4_가스관경계산-22"/>
      <sheetName val="1-5_가스관경계산-32"/>
      <sheetName val="1-6_가스관경계산-4_2"/>
      <sheetName val="1-7_가스관경계산-52"/>
      <sheetName val="1-7_가스차압산출2"/>
      <sheetName val="덕트_및_배기그릴선정2"/>
      <sheetName val="1_견적서목록2"/>
      <sheetName val="부하계산서_(영문)2"/>
      <sheetName val="PEND-ITEM_(2)2"/>
      <sheetName val="견적표지_(횡)2"/>
      <sheetName val="부하집계표_(2안)2"/>
      <sheetName val="부하계산서_2"/>
      <sheetName val="UNIT_COOLER_선정표2"/>
      <sheetName val="ACCUMULALOR_(2안)2"/>
      <sheetName val="동력집계표_(2안)2"/>
      <sheetName val="cooling_tower_(2)2"/>
      <sheetName val="cooling_water_pump2"/>
      <sheetName val="DEFROEST_PUMP2"/>
      <sheetName val="기기선정표_(2안)2"/>
      <sheetName val="cooling_tower2"/>
      <sheetName val="부하집계표_(2)2"/>
      <sheetName val="OCT_FDN2"/>
      <sheetName val="EXT_CHECK2"/>
      <sheetName val="P-127E1,E2_2"/>
      <sheetName val="P-123E1,E2_2"/>
      <sheetName val="P-128E_2"/>
      <sheetName val="TRE_TABLE2"/>
      <sheetName val="WEIGHT_LIST2"/>
      <sheetName val="산#2-1_(2)2"/>
      <sheetName val="3_건축(현장안)2"/>
      <sheetName val="（３）_2"/>
      <sheetName val="목차_(2)2"/>
      <sheetName val="1-1_손익(부문별)2"/>
      <sheetName val="1-2_손익(월별)2"/>
      <sheetName val="2-1_판관비(부문)2"/>
      <sheetName val="2-2_판관비(월별)2"/>
      <sheetName val="3-1_수익비용(부문별)2"/>
      <sheetName val="3-2_수익비용(월별)2"/>
      <sheetName val="4-1_투자(부문)2"/>
      <sheetName val="4-2_투자(월별)2"/>
      <sheetName val="5-1_인원(부문)2"/>
      <sheetName val="5-2_인원(월별)2"/>
      <sheetName val="6_산출근거2"/>
      <sheetName val="7_현금흐름2"/>
      <sheetName val="마케팅1_(2)2"/>
      <sheetName val="마케팅1_(3)2"/>
      <sheetName val="마케팅1_(4)2"/>
      <sheetName val="01_1담당매출계획27_8$2"/>
      <sheetName val="01매출계획_선용품2"/>
      <sheetName val="작업악성채권직원판매제외(거래선별)_2"/>
      <sheetName val="작업악성채권직원판매제외_(담당별종합)2"/>
      <sheetName val="작업악성채권직원판매제외_(담당별)2"/>
      <sheetName val="판촉비예산_2"/>
      <sheetName val="인테리어_시설2"/>
      <sheetName val="파_3층_특설_장치장식비2"/>
      <sheetName val="총괄_(03년11월)h&amp;s2"/>
      <sheetName val="총괄_(03년11월)여행2"/>
      <sheetName val="세부내용_(03년11월)여행2"/>
      <sheetName val="개인_세부내용_(03년11월)여행2"/>
      <sheetName val="동구일반상품_2"/>
      <sheetName val="PUNCH_LIST2"/>
      <sheetName val="WELDING_JOINT_INSPECTION_STATU2"/>
      <sheetName val="PE거푸집(1_2)2"/>
      <sheetName val="내역서_(3)2"/>
      <sheetName val="내역서_(4)2"/>
      <sheetName val="에너지성능지표검토서(기계,_전기,_신재생)2"/>
      <sheetName val="1장_2"/>
      <sheetName val="1_개요_2"/>
      <sheetName val="2_조건_2"/>
      <sheetName val="3_공식붙임2"/>
      <sheetName val="4장_2"/>
      <sheetName val="1_AHU_2"/>
      <sheetName val="2_AHU-12"/>
      <sheetName val="2_FAN2"/>
      <sheetName val="1_급탕2"/>
      <sheetName val="6장_별첨2"/>
      <sheetName val="추정공사비_산출결과2"/>
      <sheetName val="배수입상_2"/>
      <sheetName val="Mech_CIF1"/>
      <sheetName val="2_냉난방설비공사1"/>
      <sheetName val="7_자동제어공사1"/>
      <sheetName val="P_M_별2"/>
      <sheetName val="BEND_LOSS2"/>
      <sheetName val="A_LINE2"/>
      <sheetName val="2_2_10_샤시등2"/>
      <sheetName val="A3_공사비_검토2"/>
      <sheetName val="C3_토목_옹벽2"/>
      <sheetName val="A6_샤시등2"/>
      <sheetName val="BSD__2_2"/>
      <sheetName val="내역서_(2)2"/>
      <sheetName val="7_수지2"/>
      <sheetName val="JIB_CRANE,HOIST2"/>
      <sheetName val="2000_051"/>
      <sheetName val="토목내역서_(도급단가)2"/>
      <sheetName val="전선_및_전선관2"/>
      <sheetName val="콤보박스와_리스트박스의_연결1"/>
      <sheetName val="참고용_(2)1"/>
      <sheetName val="COMPARISON_TABLE1"/>
      <sheetName val="간접비_총괄표1"/>
      <sheetName val="월별손익(용역)_2"/>
      <sheetName val="1-1_손익(온정각)2"/>
      <sheetName val="1-1_손익(관광식당)2"/>
      <sheetName val="1-1_손익(직원식당)2"/>
      <sheetName val="1-2_월별손익(온정각)2"/>
      <sheetName val="1-2_월별손익(관광식당)2"/>
      <sheetName val="1-2_월별손익(직원식당)2"/>
      <sheetName val="2-1_판관비(지원)2"/>
      <sheetName val="2-1_판관비(관광)2"/>
      <sheetName val="2-1_판관비(직원)_2"/>
      <sheetName val="2-1_판관비(온정각)2"/>
      <sheetName val="2-2_월별판관비(온정각)2"/>
      <sheetName val="IMP_(REACTOR)1"/>
      <sheetName val="0_갑지1"/>
      <sheetName val="1_공통가설공사1"/>
      <sheetName val="2_토목공사1"/>
      <sheetName val="3_건축공사1"/>
      <sheetName val="4_설비공사1"/>
      <sheetName val="5_전기공사1"/>
      <sheetName val="7_안전관리비1"/>
      <sheetName val="8_현장관리비1"/>
      <sheetName val="인원투입_계획표1"/>
      <sheetName val="공사계약현황_(기계설비))1"/>
      <sheetName val="공사계약현황_(전기)1"/>
      <sheetName val="C_배수관공1"/>
      <sheetName val="수목데이타_1"/>
      <sheetName val="구조______1"/>
      <sheetName val="2-2_월별판관비(지원)2"/>
      <sheetName val="2-2_월별판관비(직원)2"/>
      <sheetName val="2-2_월별판관비(휴게소)2"/>
      <sheetName val="2-2_월별판관비(스넥코너)2"/>
      <sheetName val="2-2_월별판관비(음료코너)2"/>
      <sheetName val="2-2_월별판관비(온천장)2"/>
      <sheetName val="5-1_인원(온정각)2"/>
      <sheetName val="99년누계_(월별)2"/>
      <sheetName val="고효율_유도전동기_적용비율_계산서2"/>
      <sheetName val="정산서_1"/>
      <sheetName val="1_설계조건1"/>
      <sheetName val="1_설계기준1"/>
      <sheetName val="1_수인터널1"/>
      <sheetName val="갑지_(2)1"/>
      <sheetName val="비목별_투자_집계1"/>
      <sheetName val="자재비내역_1"/>
      <sheetName val="운반비_내역1"/>
      <sheetName val="사무_용품비1"/>
      <sheetName val="지대_및_집세1"/>
      <sheetName val="건축실행__(5)1"/>
      <sheetName val="갑지_2_(2)1"/>
      <sheetName val="갑지_21"/>
      <sheetName val="3_고급화검토1"/>
      <sheetName val="2_공사비_검토1"/>
      <sheetName val="플랜트_설치1"/>
      <sheetName val="1_CB1"/>
      <sheetName val="1_CB_(2)1"/>
      <sheetName val="1_CB_(3)1"/>
      <sheetName val="C급보_1"/>
      <sheetName val="wage_Cal1"/>
      <sheetName val="토공사및_흙막이공사3"/>
      <sheetName val="써100_(A4)3"/>
      <sheetName val="남양시작동자105노65기1_3화1_23"/>
      <sheetName val="F_C_U_ZONE집계3"/>
      <sheetName val="A_H_U_ZONE별집계3"/>
      <sheetName val="PAC_집계3"/>
      <sheetName val="1_가스소비량3"/>
      <sheetName val="1-3_가스관경계산-13"/>
      <sheetName val="1-4_가스관경계산-23"/>
      <sheetName val="1-5_가스관경계산-33"/>
      <sheetName val="1-6_가스관경계산-4_3"/>
      <sheetName val="1-7_가스관경계산-53"/>
      <sheetName val="1-7_가스차압산출3"/>
      <sheetName val="덕트_및_배기그릴선정3"/>
      <sheetName val="1_견적서목록3"/>
      <sheetName val="부하계산서_(영문)3"/>
      <sheetName val="PEND-ITEM_(2)3"/>
      <sheetName val="견적표지_(횡)3"/>
      <sheetName val="부하집계표_(2안)3"/>
      <sheetName val="부하계산서_3"/>
      <sheetName val="UNIT_COOLER_선정표3"/>
      <sheetName val="ACCUMULALOR_(2안)3"/>
      <sheetName val="동력집계표_(2안)3"/>
      <sheetName val="cooling_tower_(2)3"/>
      <sheetName val="cooling_water_pump3"/>
      <sheetName val="DEFROEST_PUMP3"/>
      <sheetName val="기기선정표_(2안)3"/>
      <sheetName val="cooling_tower3"/>
      <sheetName val="부하집계표_(2)3"/>
      <sheetName val="OCT_FDN3"/>
      <sheetName val="EXT_CHECK3"/>
      <sheetName val="P-127E1,E2_3"/>
      <sheetName val="P-123E1,E2_3"/>
      <sheetName val="P-128E_3"/>
      <sheetName val="97_사업추정(WEKI)3"/>
      <sheetName val="TRE_TABLE3"/>
      <sheetName val="표지_(2)3"/>
      <sheetName val="WEIGHT_LIST3"/>
      <sheetName val="산#2-1_(2)3"/>
      <sheetName val="3_건축(현장안)3"/>
      <sheetName val="（３）_3"/>
      <sheetName val="목차_(2)3"/>
      <sheetName val="1-1_손익(부문별)3"/>
      <sheetName val="1-2_손익(월별)3"/>
      <sheetName val="2-1_판관비(부문)3"/>
      <sheetName val="2-2_판관비(월별)3"/>
      <sheetName val="3-1_수익비용(부문별)3"/>
      <sheetName val="3-2_수익비용(월별)3"/>
      <sheetName val="4-1_투자(부문)3"/>
      <sheetName val="4-2_투자(월별)3"/>
      <sheetName val="5-1_인원(부문)3"/>
      <sheetName val="5-2_인원(월별)3"/>
      <sheetName val="6_산출근거3"/>
      <sheetName val="7_현금흐름3"/>
      <sheetName val="마케팅1_(2)3"/>
      <sheetName val="마케팅1_(3)3"/>
      <sheetName val="마케팅1_(4)3"/>
      <sheetName val="01_1담당매출계획27_8$3"/>
      <sheetName val="01매출계획_선용품3"/>
      <sheetName val="작업악성채권직원판매제외(거래선별)_3"/>
      <sheetName val="작업악성채권직원판매제외_(담당별종합)3"/>
      <sheetName val="작업악성채권직원판매제외_(담당별)3"/>
      <sheetName val="판촉비예산_3"/>
      <sheetName val="인테리어_시설3"/>
      <sheetName val="파_3층_특설_장치장식비3"/>
      <sheetName val="총괄_(03년11월)h&amp;s3"/>
      <sheetName val="총괄_(03년11월)여행3"/>
      <sheetName val="세부내용_(03년11월)여행3"/>
      <sheetName val="개인_세부내용_(03년11월)여행3"/>
      <sheetName val="동구일반상품_3"/>
      <sheetName val="PUNCH_LIST3"/>
      <sheetName val="WELDING_JOINT_INSPECTION_STATU3"/>
      <sheetName val="PE거푸집(1_2)3"/>
      <sheetName val="내역서_(3)3"/>
      <sheetName val="내역서_(4)3"/>
      <sheetName val="에너지성능지표검토서(기계,_전기,_신재생)3"/>
      <sheetName val="1장_3"/>
      <sheetName val="1_개요_3"/>
      <sheetName val="2_조건_3"/>
      <sheetName val="3_공식붙임3"/>
      <sheetName val="4장_3"/>
      <sheetName val="1_AHU_3"/>
      <sheetName val="2_AHU-13"/>
      <sheetName val="2_FAN3"/>
      <sheetName val="1_급탕3"/>
      <sheetName val="6장_별첨3"/>
      <sheetName val="추정공사비_산출결과3"/>
      <sheetName val="배수입상_3"/>
      <sheetName val="Mech_CIF2"/>
      <sheetName val="2_냉난방설비공사2"/>
      <sheetName val="7_자동제어공사2"/>
      <sheetName val="P_M_별3"/>
      <sheetName val="1차_내역서3"/>
      <sheetName val="BEND_LOSS3"/>
      <sheetName val="A_LINE3"/>
      <sheetName val="2_2_10_샤시등3"/>
      <sheetName val="A3_공사비_검토3"/>
      <sheetName val="C3_토목_옹벽3"/>
      <sheetName val="A6_샤시등3"/>
      <sheetName val="BSD__2_3"/>
      <sheetName val="내역서_(2)3"/>
      <sheetName val="7_수지3"/>
      <sheetName val="TOWER_12TON3"/>
      <sheetName val="JIB_CRANE,HOIST3"/>
      <sheetName val="TOWER_10TON3"/>
      <sheetName val="아파트_3"/>
      <sheetName val="2000_052"/>
      <sheetName val="토목내역서_(도급단가)3"/>
      <sheetName val="전선_및_전선관3"/>
      <sheetName val="콤보박스와_리스트박스의_연결2"/>
      <sheetName val="참고용_(2)2"/>
      <sheetName val="COMPARISON_TABLE2"/>
      <sheetName val="간접비_총괄표2"/>
      <sheetName val="월별손익(용역)_3"/>
      <sheetName val="1-1_손익(온정각)3"/>
      <sheetName val="1-1_손익(관광식당)3"/>
      <sheetName val="1-1_손익(직원식당)3"/>
      <sheetName val="1-2_월별손익(온정각)3"/>
      <sheetName val="1-2_월별손익(관광식당)3"/>
      <sheetName val="1-2_월별손익(직원식당)3"/>
      <sheetName val="2-1_판관비(지원)3"/>
      <sheetName val="2-1_판관비(관광)3"/>
      <sheetName val="2-1_판관비(직원)_3"/>
      <sheetName val="2-1_판관비(온정각)3"/>
      <sheetName val="2-2_월별판관비(온정각)3"/>
      <sheetName val="공사예산하조서(O_K)2"/>
      <sheetName val="IMP_(REACTOR)2"/>
      <sheetName val="0_갑지2"/>
      <sheetName val="1_공통가설공사2"/>
      <sheetName val="2_토목공사2"/>
      <sheetName val="3_건축공사2"/>
      <sheetName val="4_설비공사2"/>
      <sheetName val="5_전기공사2"/>
      <sheetName val="7_안전관리비2"/>
      <sheetName val="8_현장관리비2"/>
      <sheetName val="인원투입_계획표2"/>
      <sheetName val="공사계약현황_(기계설비))2"/>
      <sheetName val="공사계약현황_(전기)2"/>
      <sheetName val="C_배수관공2"/>
      <sheetName val="수목데이타_2"/>
      <sheetName val="구조______2"/>
      <sheetName val="2-2_월별판관비(지원)3"/>
      <sheetName val="2-2_월별판관비(직원)3"/>
      <sheetName val="2-2_월별판관비(휴게소)3"/>
      <sheetName val="2-2_월별판관비(스넥코너)3"/>
      <sheetName val="2-2_월별판관비(음료코너)3"/>
      <sheetName val="2-2_월별판관비(온천장)3"/>
      <sheetName val="5-1_인원(온정각)3"/>
      <sheetName val="99년누계_(월별)3"/>
      <sheetName val="고효율_유도전동기_적용비율_계산서3"/>
      <sheetName val="정산서_2"/>
      <sheetName val="1_설계조건2"/>
      <sheetName val="1_설계기준2"/>
      <sheetName val="1_수인터널2"/>
      <sheetName val="갑지_(2)2"/>
      <sheetName val="비목별_투자_집계2"/>
      <sheetName val="자재비내역_2"/>
      <sheetName val="운반비_내역2"/>
      <sheetName val="사무_용품비2"/>
      <sheetName val="지대_및_집세2"/>
      <sheetName val="5_공종별예산내역서2"/>
      <sheetName val="건축실행__(5)2"/>
      <sheetName val="갑지_2_(2)2"/>
      <sheetName val="갑지_22"/>
      <sheetName val="3_고급화검토2"/>
      <sheetName val="2_공사비_검토2"/>
      <sheetName val="플랜트_설치2"/>
      <sheetName val="1_CB2"/>
      <sheetName val="1_CB_(2)2"/>
      <sheetName val="1_CB_(3)2"/>
      <sheetName val="C급보_2"/>
      <sheetName val="wage_Cal2"/>
      <sheetName val="토공사및_흙막이공사5"/>
      <sheetName val="써100_(A4)5"/>
      <sheetName val="남양시작동자105노65기1_3화1_25"/>
      <sheetName val="F_C_U_ZONE집계5"/>
      <sheetName val="A_H_U_ZONE별집계5"/>
      <sheetName val="PAC_집계5"/>
      <sheetName val="1_가스소비량5"/>
      <sheetName val="1-3_가스관경계산-15"/>
      <sheetName val="1-4_가스관경계산-25"/>
      <sheetName val="1-5_가스관경계산-35"/>
      <sheetName val="1-6_가스관경계산-4_5"/>
      <sheetName val="1-7_가스관경계산-55"/>
      <sheetName val="1-7_가스차압산출5"/>
      <sheetName val="덕트_및_배기그릴선정5"/>
      <sheetName val="1_견적서목록5"/>
      <sheetName val="부하계산서_(영문)5"/>
      <sheetName val="PEND-ITEM_(2)5"/>
      <sheetName val="견적표지_(횡)5"/>
      <sheetName val="부하집계표_(2안)5"/>
      <sheetName val="부하계산서_5"/>
      <sheetName val="UNIT_COOLER_선정표5"/>
      <sheetName val="ACCUMULALOR_(2안)5"/>
      <sheetName val="동력집계표_(2안)5"/>
      <sheetName val="cooling_tower_(2)5"/>
      <sheetName val="cooling_water_pump5"/>
      <sheetName val="DEFROEST_PUMP5"/>
      <sheetName val="기기선정표_(2안)5"/>
      <sheetName val="cooling_tower5"/>
      <sheetName val="부하집계표_(2)5"/>
      <sheetName val="OCT_FDN5"/>
      <sheetName val="EXT_CHECK5"/>
      <sheetName val="P-127E1,E2_5"/>
      <sheetName val="P-123E1,E2_5"/>
      <sheetName val="P-128E_5"/>
      <sheetName val="97_사업추정(WEKI)5"/>
      <sheetName val="TRE_TABLE5"/>
      <sheetName val="표지_(2)5"/>
      <sheetName val="WEIGHT_LIST5"/>
      <sheetName val="산#2-1_(2)5"/>
      <sheetName val="unit_45"/>
      <sheetName val="3_건축(현장안)5"/>
      <sheetName val="（３）_5"/>
      <sheetName val="목차_(2)5"/>
      <sheetName val="1-1_손익(부문별)5"/>
      <sheetName val="1-2_손익(월별)5"/>
      <sheetName val="2-1_판관비(부문)5"/>
      <sheetName val="2-2_판관비(월별)5"/>
      <sheetName val="3-1_수익비용(부문별)5"/>
      <sheetName val="3-2_수익비용(월별)5"/>
      <sheetName val="4-1_투자(부문)5"/>
      <sheetName val="4-2_투자(월별)5"/>
      <sheetName val="5-1_인원(부문)5"/>
      <sheetName val="5-2_인원(월별)5"/>
      <sheetName val="6_산출근거5"/>
      <sheetName val="7_현금흐름5"/>
      <sheetName val="마케팅1_(2)5"/>
      <sheetName val="마케팅1_(3)5"/>
      <sheetName val="마케팅1_(4)5"/>
      <sheetName val="01_1담당매출계획27_8$5"/>
      <sheetName val="01매출계획_선용품5"/>
      <sheetName val="작업악성채권직원판매제외(거래선별)_5"/>
      <sheetName val="작업악성채권직원판매제외_(담당별종합)5"/>
      <sheetName val="작업악성채권직원판매제외_(담당별)5"/>
      <sheetName val="판촉비예산_5"/>
      <sheetName val="인테리어_시설5"/>
      <sheetName val="파_3층_특설_장치장식비5"/>
      <sheetName val="총괄_(03년11월)h&amp;s5"/>
      <sheetName val="총괄_(03년11월)여행5"/>
      <sheetName val="세부내용_(03년11월)여행5"/>
      <sheetName val="개인_세부내용_(03년11월)여행5"/>
      <sheetName val="동구일반상품_5"/>
      <sheetName val="PUNCH_LIST5"/>
      <sheetName val="WELDING_JOINT_INSPECTION_STATU5"/>
      <sheetName val="PE거푸집(1_2)5"/>
      <sheetName val="내역서_(3)5"/>
      <sheetName val="내역서_(4)5"/>
      <sheetName val="에너지성능지표검토서(기계,_전기,_신재생)5"/>
      <sheetName val="1장_5"/>
      <sheetName val="1_개요_5"/>
      <sheetName val="2_조건_5"/>
      <sheetName val="3_공식붙임5"/>
      <sheetName val="4장_5"/>
      <sheetName val="1_AHU_5"/>
      <sheetName val="2_AHU-15"/>
      <sheetName val="2_FAN5"/>
      <sheetName val="1_급탕5"/>
      <sheetName val="6장_별첨5"/>
      <sheetName val="추정공사비_산출결과5"/>
      <sheetName val="배수입상_5"/>
      <sheetName val="Mech_CIF4"/>
      <sheetName val="2_냉난방설비공사4"/>
      <sheetName val="7_자동제어공사4"/>
      <sheetName val="P_M_별5"/>
      <sheetName val="1차_내역서5"/>
      <sheetName val="BEND_LOSS5"/>
      <sheetName val="A_LINE5"/>
      <sheetName val="2_2_10_샤시등5"/>
      <sheetName val="A3_공사비_검토5"/>
      <sheetName val="C3_토목_옹벽5"/>
      <sheetName val="A6_샤시등5"/>
      <sheetName val="토공(우물통,기타)_5"/>
      <sheetName val="BSD__2_5"/>
      <sheetName val="내역서_(2)5"/>
      <sheetName val="7_수지5"/>
      <sheetName val="TOWER_12TON5"/>
      <sheetName val="JIB_CRANE,HOIST5"/>
      <sheetName val="TOWER_10TON5"/>
      <sheetName val="아파트_5"/>
      <sheetName val="2000_054"/>
      <sheetName val="토목내역서_(도급단가)5"/>
      <sheetName val="전선_및_전선관5"/>
      <sheetName val="2000년_공정표4"/>
      <sheetName val="콤보박스와_리스트박스의_연결4"/>
      <sheetName val="참고용_(2)4"/>
      <sheetName val="COMPARISON_TABLE4"/>
      <sheetName val="Eq__Mobilization4"/>
      <sheetName val="간접비_총괄표4"/>
      <sheetName val="월별손익(용역)_5"/>
      <sheetName val="1-1_손익(온정각)5"/>
      <sheetName val="1-1_손익(관광식당)5"/>
      <sheetName val="1-1_손익(직원식당)5"/>
      <sheetName val="1-2_월별손익(온정각)5"/>
      <sheetName val="1-2_월별손익(관광식당)5"/>
      <sheetName val="1-2_월별손익(직원식당)5"/>
      <sheetName val="2-1_판관비(지원)5"/>
      <sheetName val="2-1_판관비(관광)5"/>
      <sheetName val="2-1_판관비(직원)_5"/>
      <sheetName val="2-1_판관비(온정각)5"/>
      <sheetName val="2-2_월별판관비(온정각)5"/>
      <sheetName val="공사예산하조서(O_K)4"/>
      <sheetName val="IMP_(REACTOR)4"/>
      <sheetName val="0_갑지4"/>
      <sheetName val="1_공통가설공사4"/>
      <sheetName val="2_토목공사4"/>
      <sheetName val="3_건축공사4"/>
      <sheetName val="4_설비공사4"/>
      <sheetName val="5_전기공사4"/>
      <sheetName val="7_안전관리비4"/>
      <sheetName val="8_현장관리비4"/>
      <sheetName val="인원투입_계획표4"/>
      <sheetName val="공사계약현황_(기계설비))4"/>
      <sheetName val="공사계약현황_(전기)4"/>
      <sheetName val="C_배수관공4"/>
      <sheetName val="수목데이타_4"/>
      <sheetName val="구조______4"/>
      <sheetName val="2-2_월별판관비(지원)5"/>
      <sheetName val="2-2_월별판관비(직원)5"/>
      <sheetName val="2-2_월별판관비(휴게소)5"/>
      <sheetName val="2-2_월별판관비(스넥코너)5"/>
      <sheetName val="2-2_월별판관비(음료코너)5"/>
      <sheetName val="2-2_월별판관비(온천장)5"/>
      <sheetName val="5-1_인원(온정각)5"/>
      <sheetName val="99년누계_(월별)5"/>
      <sheetName val="고효율_유도전동기_적용비율_계산서5"/>
      <sheetName val="정산서_4"/>
      <sheetName val="역T형옹벽(3_0)4"/>
      <sheetName val="1_설계조건4"/>
      <sheetName val="1_설계기준4"/>
      <sheetName val="1_수인터널4"/>
      <sheetName val="갑지_(2)4"/>
      <sheetName val="비목별_투자_집계4"/>
      <sheetName val="자재비내역_4"/>
      <sheetName val="운반비_내역4"/>
      <sheetName val="사무_용품비4"/>
      <sheetName val="지대_및_집세4"/>
      <sheetName val="5_공종별예산내역서4"/>
      <sheetName val="건축실행__(5)4"/>
      <sheetName val="1_취수장4"/>
      <sheetName val="갑지_2_(2)4"/>
      <sheetName val="갑지_24"/>
      <sheetName val="3_고급화검토4"/>
      <sheetName val="2_공사비_검토4"/>
      <sheetName val="플랜트_설치4"/>
      <sheetName val="1_CB4"/>
      <sheetName val="1_CB_(2)4"/>
      <sheetName val="1_CB_(3)4"/>
      <sheetName val="6PILE__(돌출)4"/>
      <sheetName val="C급보_4"/>
      <sheetName val="wage_Cal4"/>
      <sheetName val="토공사및_흙막이공사4"/>
      <sheetName val="써100_(A4)4"/>
      <sheetName val="남양시작동자105노65기1_3화1_24"/>
      <sheetName val="F_C_U_ZONE집계4"/>
      <sheetName val="A_H_U_ZONE별집계4"/>
      <sheetName val="PAC_집계4"/>
      <sheetName val="1_가스소비량4"/>
      <sheetName val="1-3_가스관경계산-14"/>
      <sheetName val="1-4_가스관경계산-24"/>
      <sheetName val="1-5_가스관경계산-34"/>
      <sheetName val="1-6_가스관경계산-4_4"/>
      <sheetName val="1-7_가스관경계산-54"/>
      <sheetName val="1-7_가스차압산출4"/>
      <sheetName val="덕트_및_배기그릴선정4"/>
      <sheetName val="1_견적서목록4"/>
      <sheetName val="부하계산서_(영문)4"/>
      <sheetName val="PEND-ITEM_(2)4"/>
      <sheetName val="견적표지_(횡)4"/>
      <sheetName val="부하집계표_(2안)4"/>
      <sheetName val="부하계산서_4"/>
      <sheetName val="UNIT_COOLER_선정표4"/>
      <sheetName val="ACCUMULALOR_(2안)4"/>
      <sheetName val="동력집계표_(2안)4"/>
      <sheetName val="cooling_tower_(2)4"/>
      <sheetName val="cooling_water_pump4"/>
      <sheetName val="DEFROEST_PUMP4"/>
      <sheetName val="기기선정표_(2안)4"/>
      <sheetName val="cooling_tower4"/>
      <sheetName val="부하집계표_(2)4"/>
      <sheetName val="OCT_FDN4"/>
      <sheetName val="EXT_CHECK4"/>
      <sheetName val="P-127E1,E2_4"/>
      <sheetName val="P-123E1,E2_4"/>
      <sheetName val="P-128E_4"/>
      <sheetName val="97_사업추정(WEKI)4"/>
      <sheetName val="TRE_TABLE4"/>
      <sheetName val="표지_(2)4"/>
      <sheetName val="WEIGHT_LIST4"/>
      <sheetName val="산#2-1_(2)4"/>
      <sheetName val="unit_44"/>
      <sheetName val="3_건축(현장안)4"/>
      <sheetName val="（３）_4"/>
      <sheetName val="목차_(2)4"/>
      <sheetName val="1-1_손익(부문별)4"/>
      <sheetName val="1-2_손익(월별)4"/>
      <sheetName val="2-1_판관비(부문)4"/>
      <sheetName val="2-2_판관비(월별)4"/>
      <sheetName val="3-1_수익비용(부문별)4"/>
      <sheetName val="3-2_수익비용(월별)4"/>
      <sheetName val="4-1_투자(부문)4"/>
      <sheetName val="4-2_투자(월별)4"/>
      <sheetName val="5-1_인원(부문)4"/>
      <sheetName val="5-2_인원(월별)4"/>
      <sheetName val="6_산출근거4"/>
      <sheetName val="7_현금흐름4"/>
      <sheetName val="마케팅1_(2)4"/>
      <sheetName val="마케팅1_(3)4"/>
      <sheetName val="마케팅1_(4)4"/>
      <sheetName val="01_1담당매출계획27_8$4"/>
      <sheetName val="01매출계획_선용품4"/>
      <sheetName val="작업악성채권직원판매제외(거래선별)_4"/>
      <sheetName val="작업악성채권직원판매제외_(담당별종합)4"/>
      <sheetName val="작업악성채권직원판매제외_(담당별)4"/>
      <sheetName val="판촉비예산_4"/>
      <sheetName val="인테리어_시설4"/>
      <sheetName val="파_3층_특설_장치장식비4"/>
      <sheetName val="총괄_(03년11월)h&amp;s4"/>
      <sheetName val="총괄_(03년11월)여행4"/>
      <sheetName val="세부내용_(03년11월)여행4"/>
      <sheetName val="개인_세부내용_(03년11월)여행4"/>
      <sheetName val="동구일반상품_4"/>
      <sheetName val="PUNCH_LIST4"/>
      <sheetName val="WELDING_JOINT_INSPECTION_STATU4"/>
      <sheetName val="PE거푸집(1_2)4"/>
      <sheetName val="내역서_(3)4"/>
      <sheetName val="내역서_(4)4"/>
      <sheetName val="에너지성능지표검토서(기계,_전기,_신재생)4"/>
      <sheetName val="1장_4"/>
      <sheetName val="1_개요_4"/>
      <sheetName val="2_조건_4"/>
      <sheetName val="3_공식붙임4"/>
      <sheetName val="4장_4"/>
      <sheetName val="1_AHU_4"/>
      <sheetName val="2_AHU-14"/>
      <sheetName val="2_FAN4"/>
      <sheetName val="1_급탕4"/>
      <sheetName val="6장_별첨4"/>
      <sheetName val="추정공사비_산출결과4"/>
      <sheetName val="배수입상_4"/>
      <sheetName val="Mech_CIF3"/>
      <sheetName val="2_냉난방설비공사3"/>
      <sheetName val="7_자동제어공사3"/>
      <sheetName val="P_M_별4"/>
      <sheetName val="1차_내역서4"/>
      <sheetName val="BEND_LOSS4"/>
      <sheetName val="A_LINE4"/>
      <sheetName val="2_2_10_샤시등4"/>
      <sheetName val="A3_공사비_검토4"/>
      <sheetName val="C3_토목_옹벽4"/>
      <sheetName val="A6_샤시등4"/>
      <sheetName val="토공(우물통,기타)_4"/>
      <sheetName val="BSD__2_4"/>
      <sheetName val="내역서_(2)4"/>
      <sheetName val="7_수지4"/>
      <sheetName val="TOWER_12TON4"/>
      <sheetName val="JIB_CRANE,HOIST4"/>
      <sheetName val="TOWER_10TON4"/>
      <sheetName val="아파트_4"/>
      <sheetName val="2000_053"/>
      <sheetName val="토목내역서_(도급단가)4"/>
      <sheetName val="전선_및_전선관4"/>
      <sheetName val="2000년_공정표3"/>
      <sheetName val="콤보박스와_리스트박스의_연결3"/>
      <sheetName val="참고용_(2)3"/>
      <sheetName val="COMPARISON_TABLE3"/>
      <sheetName val="Eq__Mobilization3"/>
      <sheetName val="간접비_총괄표3"/>
      <sheetName val="월별손익(용역)_4"/>
      <sheetName val="1-1_손익(온정각)4"/>
      <sheetName val="1-1_손익(관광식당)4"/>
      <sheetName val="1-1_손익(직원식당)4"/>
      <sheetName val="1-2_월별손익(온정각)4"/>
      <sheetName val="1-2_월별손익(관광식당)4"/>
      <sheetName val="1-2_월별손익(직원식당)4"/>
      <sheetName val="2-1_판관비(지원)4"/>
      <sheetName val="2-1_판관비(관광)4"/>
      <sheetName val="2-1_판관비(직원)_4"/>
      <sheetName val="2-1_판관비(온정각)4"/>
      <sheetName val="2-2_월별판관비(온정각)4"/>
      <sheetName val="공사예산하조서(O_K)3"/>
      <sheetName val="IMP_(REACTOR)3"/>
      <sheetName val="0_갑지3"/>
      <sheetName val="1_공통가설공사3"/>
      <sheetName val="2_토목공사3"/>
      <sheetName val="3_건축공사3"/>
      <sheetName val="4_설비공사3"/>
      <sheetName val="5_전기공사3"/>
      <sheetName val="7_안전관리비3"/>
      <sheetName val="8_현장관리비3"/>
      <sheetName val="인원투입_계획표3"/>
      <sheetName val="공사계약현황_(기계설비))3"/>
      <sheetName val="공사계약현황_(전기)3"/>
      <sheetName val="C_배수관공3"/>
      <sheetName val="수목데이타_3"/>
      <sheetName val="구조______3"/>
      <sheetName val="2-2_월별판관비(지원)4"/>
      <sheetName val="2-2_월별판관비(직원)4"/>
      <sheetName val="2-2_월별판관비(휴게소)4"/>
      <sheetName val="2-2_월별판관비(스넥코너)4"/>
      <sheetName val="2-2_월별판관비(음료코너)4"/>
      <sheetName val="2-2_월별판관비(온천장)4"/>
      <sheetName val="5-1_인원(온정각)4"/>
      <sheetName val="99년누계_(월별)4"/>
      <sheetName val="고효율_유도전동기_적용비율_계산서4"/>
      <sheetName val="정산서_3"/>
      <sheetName val="역T형옹벽(3_0)3"/>
      <sheetName val="1_설계조건3"/>
      <sheetName val="1_설계기준3"/>
      <sheetName val="1_수인터널3"/>
      <sheetName val="갑지_(2)3"/>
      <sheetName val="비목별_투자_집계3"/>
      <sheetName val="자재비내역_3"/>
      <sheetName val="운반비_내역3"/>
      <sheetName val="사무_용품비3"/>
      <sheetName val="지대_및_집세3"/>
      <sheetName val="5_공종별예산내역서3"/>
      <sheetName val="건축실행__(5)3"/>
      <sheetName val="1_취수장3"/>
      <sheetName val="갑지_2_(2)3"/>
      <sheetName val="갑지_23"/>
      <sheetName val="3_고급화검토3"/>
      <sheetName val="2_공사비_검토3"/>
      <sheetName val="플랜트_설치3"/>
      <sheetName val="1_CB3"/>
      <sheetName val="1_CB_(2)3"/>
      <sheetName val="1_CB_(3)3"/>
      <sheetName val="6PILE__(돌출)3"/>
      <sheetName val="C급보_3"/>
      <sheetName val="wage_Cal3"/>
      <sheetName val="급殘⿗_x0000_"/>
      <sheetName val="명부(최종신청)"/>
      <sheetName val="확정지번"/>
      <sheetName val="SS"/>
      <sheetName val="일반사항"/>
      <sheetName val="골조공사(아파트)"/>
      <sheetName val="설계서"/>
      <sheetName val="준공내역서(을)"/>
      <sheetName val="7월집계(돌관인건비)"/>
      <sheetName val="7-17"/>
      <sheetName val="17일"/>
      <sheetName val="17사"/>
      <sheetName val="18일"/>
      <sheetName val="18사"/>
      <sheetName val="19일"/>
      <sheetName val="19사"/>
      <sheetName val="20일"/>
      <sheetName val="20사"/>
      <sheetName val="22일"/>
      <sheetName val="22사"/>
      <sheetName val="23일"/>
      <sheetName val="23사"/>
      <sheetName val="24일"/>
      <sheetName val="24사"/>
      <sheetName val="25일"/>
      <sheetName val="25사"/>
      <sheetName val="26일"/>
      <sheetName val="26사"/>
      <sheetName val="27일"/>
      <sheetName val="27사"/>
      <sheetName val="29일"/>
      <sheetName val="29사"/>
      <sheetName val="30일"/>
      <sheetName val="30사"/>
      <sheetName val="31"/>
      <sheetName val="31일"/>
      <sheetName val="31사"/>
      <sheetName val="5월 평균일수"/>
      <sheetName val="Direct MP Updated"/>
      <sheetName val="9567매출"/>
      <sheetName val="구리토평_x0000__x0000_Ԁ"/>
      <sheetName val="토사(PE)"/>
      <sheetName val="단가목록"/>
      <sheetName val="에너지성능지표_x0000__x0000_℀_x0002_쀀︪⇈"/>
      <sheetName val="추천서"/>
      <sheetName val="발주설계서(당초)"/>
      <sheetName val="비탈면보호공수량산출"/>
      <sheetName val="DATA_입력란"/>
      <sheetName val="1__설계조건_2_단면가정_3__하중계산"/>
      <sheetName val="3련_BOX"/>
      <sheetName val="1_설계조건_"/>
      <sheetName val="설계기준설명_"/>
      <sheetName val="2_단면가정_(BASE)"/>
      <sheetName val="3_하중및토압_(고정)"/>
      <sheetName val="4_작용하중(고정)"/>
      <sheetName val="5_안정검토(고정)(풍화암)"/>
      <sheetName val="6_벽체계산"/>
      <sheetName val="7_흉벽계산(ASCON)"/>
      <sheetName val="8_FOOTING"/>
      <sheetName val="9_날개벽"/>
      <sheetName val="10_교좌받침"/>
      <sheetName val="11_접속슬라브(ASCON)"/>
      <sheetName val="GEN_"/>
      <sheetName val="승용C_S"/>
      <sheetName val="상용C_S"/>
      <sheetName val="ꪀᗈ"/>
      <sheetName val="EQUIPMENT_-2"/>
      <sheetName val="프린트_(3)"/>
      <sheetName val="간지-2_(2)"/>
      <sheetName val="_1__개요"/>
      <sheetName val="_2__난방설비"/>
      <sheetName val="열관류율_계산서"/>
      <sheetName val="2_3_세대별난방부하집계"/>
      <sheetName val="3.7교축하중"/>
      <sheetName val="[1.xls][1.xls]______C______99_4"/>
      <sheetName val="[1.xls][1.xls]______C______99_3"/>
      <sheetName val="[1.xls][1.xls]______C______99_2"/>
      <sheetName val="[1.xls][1.xls]______C______99_7"/>
      <sheetName val="[1.xls][1.xls]______C______99_6"/>
      <sheetName val="[1.xls][1.xls]______C______99_5"/>
      <sheetName val="철근(전기호)"/>
      <sheetName val="Quality"/>
      <sheetName val="People"/>
      <sheetName val="Risk"/>
      <sheetName val="Training"/>
      <sheetName val="General"/>
      <sheetName val="Instructions"/>
      <sheetName val="영업소_x0000_"/>
      <sheetName val="2-1. 경관조명 내역총괄표"/>
      <sheetName val="돌담교 상부수량"/>
      <sheetName val="노무비비목코드"/>
      <sheetName val="납품도설치도"/>
      <sheetName val="태화42 "/>
      <sheetName val="CashFlow(중간집계)"/>
      <sheetName val="정리계획CF평가"/>
      <sheetName val="파일의이용"/>
      <sheetName val="1.공통가설_x0000__x0000_"/>
      <sheetName val="Mc1"/>
      <sheetName val="1단계"/>
      <sheetName val="MAIN GATE HOUSE"/>
      <sheetName val="BCA INDEX"/>
      <sheetName val="ADMIN"/>
      <sheetName val="CRUDE RE-bar"/>
      <sheetName val="__MIGA_______TOWER_P_KBLEE____2"/>
      <sheetName val="터널조도"/>
      <sheetName val="현장관리비 산출내역"/>
      <sheetName val="토공사및_흙막이공사6"/>
      <sheetName val="써100_(A4)6"/>
      <sheetName val="F_C_U_ZONE집계6"/>
      <sheetName val="A_H_U_ZONE별집계6"/>
      <sheetName val="PAC_집계6"/>
      <sheetName val="1_가스소비량6"/>
      <sheetName val="1-3_가스관경계산-16"/>
      <sheetName val="1-4_가스관경계산-26"/>
      <sheetName val="1-5_가스관경계산-36"/>
      <sheetName val="1-6_가스관경계산-4_6"/>
      <sheetName val="1-7_가스관경계산-56"/>
      <sheetName val="1-7_가스차압산출6"/>
      <sheetName val="1_견적서목록6"/>
      <sheetName val="부하계산서_(영문)6"/>
      <sheetName val="PEND-ITEM_(2)6"/>
      <sheetName val="견적표지_(횡)6"/>
      <sheetName val="부하집계표_(2안)6"/>
      <sheetName val="부하계산서_6"/>
      <sheetName val="UNIT_COOLER_선정표6"/>
      <sheetName val="ACCUMULALOR_(2안)6"/>
      <sheetName val="동력집계표_(2안)6"/>
      <sheetName val="cooling_tower_(2)6"/>
      <sheetName val="cooling_water_pump6"/>
      <sheetName val="DEFROEST_PUMP6"/>
      <sheetName val="기기선정표_(2안)6"/>
      <sheetName val="cooling_tower6"/>
      <sheetName val="부하집계표_(2)6"/>
      <sheetName val="덕트_및_배기그릴선정6"/>
      <sheetName val="OCT_FDN6"/>
      <sheetName val="EXT_CHECK6"/>
      <sheetName val="P-127E1,E2_6"/>
      <sheetName val="P-123E1,E2_6"/>
      <sheetName val="P-128E_6"/>
      <sheetName val="（３）_6"/>
      <sheetName val="목차_(2)6"/>
      <sheetName val="1-1_손익(부문별)6"/>
      <sheetName val="1-2_손익(월별)6"/>
      <sheetName val="2-1_판관비(부문)6"/>
      <sheetName val="2-2_판관비(월별)6"/>
      <sheetName val="3-1_수익비용(부문별)6"/>
      <sheetName val="3-2_수익비용(월별)6"/>
      <sheetName val="4-1_투자(부문)6"/>
      <sheetName val="4-2_투자(월별)6"/>
      <sheetName val="5-1_인원(부문)6"/>
      <sheetName val="5-2_인원(월별)6"/>
      <sheetName val="6_산출근거6"/>
      <sheetName val="7_현금흐름6"/>
      <sheetName val="마케팅1_(2)6"/>
      <sheetName val="마케팅1_(3)6"/>
      <sheetName val="마케팅1_(4)6"/>
      <sheetName val="01_1담당매출계획27_8$6"/>
      <sheetName val="01매출계획_선용품6"/>
      <sheetName val="작업악성채권직원판매제외(거래선별)_6"/>
      <sheetName val="작업악성채권직원판매제외_(담당별종합)6"/>
      <sheetName val="작업악성채권직원판매제외_(담당별)6"/>
      <sheetName val="판촉비예산_6"/>
      <sheetName val="인테리어_시설6"/>
      <sheetName val="파_3층_특설_장치장식비6"/>
      <sheetName val="총괄_(03년11월)h&amp;s6"/>
      <sheetName val="총괄_(03년11월)여행6"/>
      <sheetName val="세부내용_(03년11월)여행6"/>
      <sheetName val="개인_세부내용_(03년11월)여행6"/>
      <sheetName val="동구일반상품_6"/>
      <sheetName val="남양시작동자105노65기1_3화1_26"/>
      <sheetName val="97_사업추정(WEKI)6"/>
      <sheetName val="TRE_TABLE6"/>
      <sheetName val="1_수인터널5"/>
      <sheetName val="PE거푸집(1_2)6"/>
      <sheetName val="갑지_(2)5"/>
      <sheetName val="비목별_투자_집계5"/>
      <sheetName val="자재비내역_5"/>
      <sheetName val="운반비_내역5"/>
      <sheetName val="사무_용품비5"/>
      <sheetName val="지대_및_집세5"/>
      <sheetName val="갑지_2_(2)5"/>
      <sheetName val="갑지_25"/>
      <sheetName val="표지_(2)6"/>
      <sheetName val="unit_46"/>
      <sheetName val="1차_내역서6"/>
      <sheetName val="BEND_LOSS6"/>
      <sheetName val="토목내역서_(도급단가)6"/>
      <sheetName val="3_건축(현장안)6"/>
      <sheetName val="A_LINE6"/>
      <sheetName val="WEIGHT_LIST6"/>
      <sheetName val="산#2-1_(2)6"/>
      <sheetName val="P_M_별6"/>
      <sheetName val="PUNCH_LIST6"/>
      <sheetName val="WELDING_JOINT_INSPECTION_STATU6"/>
      <sheetName val="토공(우물통,기타)_6"/>
      <sheetName val="2_2_10_샤시등6"/>
      <sheetName val="A3_공사비_검토6"/>
      <sheetName val="C3_토목_옹벽6"/>
      <sheetName val="A6_샤시등6"/>
      <sheetName val="전선_및_전선관6"/>
      <sheetName val="에너지성능지표검토서(기계,_전기,_신재생)6"/>
      <sheetName val="7_수지6"/>
      <sheetName val="TOWER_12TON6"/>
      <sheetName val="JIB_CRANE,HOIST6"/>
      <sheetName val="TOWER_10TON6"/>
      <sheetName val="BSD__2_6"/>
      <sheetName val="내역서_(2)6"/>
      <sheetName val="구조______5"/>
      <sheetName val="배수입상_6"/>
      <sheetName val="내역서_(3)6"/>
      <sheetName val="내역서_(4)6"/>
      <sheetName val="아파트_6"/>
      <sheetName val="2000년_공정표5"/>
      <sheetName val="IMP_(REACTOR)5"/>
      <sheetName val="1장_6"/>
      <sheetName val="1_개요_6"/>
      <sheetName val="2_조건_6"/>
      <sheetName val="3_공식붙임6"/>
      <sheetName val="4장_6"/>
      <sheetName val="1_AHU_6"/>
      <sheetName val="2_AHU-16"/>
      <sheetName val="2_FAN6"/>
      <sheetName val="1_급탕6"/>
      <sheetName val="6장_별첨6"/>
      <sheetName val="콤보박스와_리스트박스의_연결5"/>
      <sheetName val="0_갑지5"/>
      <sheetName val="1_공통가설공사5"/>
      <sheetName val="2_토목공사5"/>
      <sheetName val="3_건축공사5"/>
      <sheetName val="4_설비공사5"/>
      <sheetName val="5_전기공사5"/>
      <sheetName val="7_안전관리비5"/>
      <sheetName val="8_현장관리비5"/>
      <sheetName val="인원투입_계획표5"/>
      <sheetName val="공사계약현황_(기계설비))5"/>
      <sheetName val="공사계약현황_(전기)5"/>
      <sheetName val="2000_055"/>
      <sheetName val="추정공사비_산출결과6"/>
      <sheetName val="월별손익(용역)_6"/>
      <sheetName val="1-1_손익(온정각)6"/>
      <sheetName val="1-1_손익(관광식당)6"/>
      <sheetName val="1-1_손익(직원식당)6"/>
      <sheetName val="1-2_월별손익(온정각)6"/>
      <sheetName val="1-2_월별손익(관광식당)6"/>
      <sheetName val="1-2_월별손익(직원식당)6"/>
      <sheetName val="2-1_판관비(지원)6"/>
      <sheetName val="2-1_판관비(관광)6"/>
      <sheetName val="2-1_판관비(직원)_6"/>
      <sheetName val="2-1_판관비(온정각)6"/>
      <sheetName val="2-2_월별판관비(온정각)6"/>
      <sheetName val="2-2_월별판관비(지원)6"/>
      <sheetName val="2-2_월별판관비(직원)6"/>
      <sheetName val="2-2_월별판관비(휴게소)6"/>
      <sheetName val="2-2_월별판관비(스넥코너)6"/>
      <sheetName val="2-2_월별판관비(음료코너)6"/>
      <sheetName val="2-2_월별판관비(온천장)6"/>
      <sheetName val="5-1_인원(온정각)6"/>
      <sheetName val="99년누계_(월별)6"/>
      <sheetName val="1_설계조건5"/>
      <sheetName val="고효율_유도전동기_적용비율_계산서6"/>
      <sheetName val="건축실행__(5)5"/>
      <sheetName val="플랜트_설치5"/>
      <sheetName val="참고용_(2)5"/>
      <sheetName val="COMPARISON_TABLE5"/>
      <sheetName val="Eq__Mobilization5"/>
      <sheetName val="간접비_총괄표5"/>
      <sheetName val="6PILE__(돌출)5"/>
      <sheetName val="공사예산하조서(O_K)5"/>
      <sheetName val="C_배수관공5"/>
      <sheetName val="수목데이타_5"/>
      <sheetName val="정산서_5"/>
      <sheetName val="1_설계기준5"/>
      <sheetName val="역T형옹벽(3_0)5"/>
      <sheetName val="2_냉난방설비공사5"/>
      <sheetName val="7_자동제어공사5"/>
      <sheetName val="1_취수장5"/>
      <sheetName val="3_고급화검토5"/>
      <sheetName val="2_공사비_검토5"/>
      <sheetName val="5_공종별예산내역서5"/>
      <sheetName val="1_CB5"/>
      <sheetName val="1_CB_(2)5"/>
      <sheetName val="1_CB_(3)5"/>
      <sheetName val="C급보_5"/>
      <sheetName val="wage_Cal5"/>
      <sheetName val="Mech_CIF5"/>
      <sheetName val="신단가_(내진설치비)"/>
      <sheetName val="보일러_선정"/>
      <sheetName val="84A_(2)"/>
      <sheetName val="84B_(2)"/>
      <sheetName val="84C_(2)"/>
      <sheetName val="101A_(2)"/>
      <sheetName val="101B_(2)"/>
      <sheetName val="101C_(2)"/>
      <sheetName val="난방부하집계_(2)"/>
      <sheetName val="2_3_세대별난방부하집계_(2)"/>
      <sheetName val="보일러_선정_(2)"/>
      <sheetName val="4_급수설비"/>
      <sheetName val="4_2_급수입상배관"/>
      <sheetName val="4_3_급수횡주관"/>
      <sheetName val="5_1_열교환기"/>
      <sheetName val="12_17"/>
      <sheetName val="가스공사_"/>
      <sheetName val="건___축"/>
      <sheetName val="4_3__급수펌프선정"/>
      <sheetName val="4_3_2_급탕순환펌프"/>
      <sheetName val="4_3_3__배수펌프"/>
      <sheetName val="4_4__전기온수기"/>
      <sheetName val="4_5__보일러"/>
      <sheetName val="4_4__급탕탱크"/>
      <sheetName val="4_6__급탕탱크"/>
      <sheetName val="crude_SLAB_RE-bar"/>
      <sheetName val="Bag_Filter_Sizing"/>
      <sheetName val="BOX구조해석_설명서"/>
      <sheetName val="철근량_검토"/>
      <sheetName val="1_내역(청_하역장전등)"/>
      <sheetName val="내역서1999_8최종"/>
      <sheetName val="9,10월신제품_(2)"/>
      <sheetName val="1_공사개요(입력)"/>
      <sheetName val="6__안전관리비"/>
      <sheetName val="5__현장관리비(new)_"/>
      <sheetName val="LEGEND_i"/>
      <sheetName val="전화_인터넷(현장)"/>
      <sheetName val="3_0냉난방열원집계"/>
      <sheetName val="4_1AHU"/>
      <sheetName val="4_3_공기압축기"/>
      <sheetName val="4_7_전기라디에타_"/>
      <sheetName val="4_9_AC_"/>
      <sheetName val="4_11_FAN"/>
      <sheetName val="4_12_TANK_4_13_탈취기"/>
      <sheetName val="4_14_PUMP"/>
      <sheetName val="5_위생설비"/>
      <sheetName val="평형별_세대수"/>
      <sheetName val="G_R300경비"/>
      <sheetName val="정계약_현황"/>
      <sheetName val="1_기계_납품_진행__현황"/>
      <sheetName val="2_협력업체_담당자_및_연락처"/>
      <sheetName val="15_문제점"/>
      <sheetName val="블럭_손익"/>
      <sheetName val="_총괄표"/>
      <sheetName val="수배전반_을지"/>
      <sheetName val="Sheet2_(2)"/>
      <sheetName val="파주_운정지구_A8블럭"/>
      <sheetName val="3BL공동구_수량"/>
      <sheetName val="총_원가계산"/>
      <sheetName val="집계표(건축전기)"/>
      <sheetName val="내역서(기계)"/>
      <sheetName val="BOX전기내역"/>
      <sheetName val="토공사및_흙막이공사7"/>
      <sheetName val="써100_(A4)7"/>
      <sheetName val="F_C_U_ZONE집계7"/>
      <sheetName val="A_H_U_ZONE별집계7"/>
      <sheetName val="PAC_집계7"/>
      <sheetName val="1_가스소비량7"/>
      <sheetName val="1-3_가스관경계산-17"/>
      <sheetName val="1-4_가스관경계산-27"/>
      <sheetName val="1-5_가스관경계산-37"/>
      <sheetName val="1-6_가스관경계산-4_7"/>
      <sheetName val="1-7_가스관경계산-57"/>
      <sheetName val="1-7_가스차압산출7"/>
      <sheetName val="1_견적서목록7"/>
      <sheetName val="부하계산서_(영문)7"/>
      <sheetName val="PEND-ITEM_(2)7"/>
      <sheetName val="견적표지_(횡)7"/>
      <sheetName val="부하집계표_(2안)7"/>
      <sheetName val="부하계산서_7"/>
      <sheetName val="UNIT_COOLER_선정표7"/>
      <sheetName val="ACCUMULALOR_(2안)7"/>
      <sheetName val="동력집계표_(2안)7"/>
      <sheetName val="cooling_tower_(2)7"/>
      <sheetName val="cooling_water_pump7"/>
      <sheetName val="DEFROEST_PUMP7"/>
      <sheetName val="기기선정표_(2안)7"/>
      <sheetName val="cooling_tower7"/>
      <sheetName val="부하집계표_(2)7"/>
      <sheetName val="덕트_및_배기그릴선정7"/>
      <sheetName val="OCT_FDN7"/>
      <sheetName val="EXT_CHECK7"/>
      <sheetName val="P-127E1,E2_7"/>
      <sheetName val="P-123E1,E2_7"/>
      <sheetName val="P-128E_7"/>
      <sheetName val="（３）_7"/>
      <sheetName val="목차_(2)7"/>
      <sheetName val="1-1_손익(부문별)7"/>
      <sheetName val="1-2_손익(월별)7"/>
      <sheetName val="2-1_판관비(부문)7"/>
      <sheetName val="2-2_판관비(월별)7"/>
      <sheetName val="3-1_수익비용(부문별)7"/>
      <sheetName val="3-2_수익비용(월별)7"/>
      <sheetName val="4-1_투자(부문)7"/>
      <sheetName val="4-2_투자(월별)7"/>
      <sheetName val="5-1_인원(부문)7"/>
      <sheetName val="5-2_인원(월별)7"/>
      <sheetName val="6_산출근거7"/>
      <sheetName val="7_현금흐름7"/>
      <sheetName val="마케팅1_(2)7"/>
      <sheetName val="마케팅1_(3)7"/>
      <sheetName val="마케팅1_(4)7"/>
      <sheetName val="01_1담당매출계획27_8$7"/>
      <sheetName val="01매출계획_선용품7"/>
      <sheetName val="작업악성채권직원판매제외(거래선별)_7"/>
      <sheetName val="작업악성채권직원판매제외_(담당별종합)7"/>
      <sheetName val="작업악성채권직원판매제외_(담당별)7"/>
      <sheetName val="판촉비예산_7"/>
      <sheetName val="인테리어_시설7"/>
      <sheetName val="파_3층_특설_장치장식비7"/>
      <sheetName val="총괄_(03년11월)h&amp;s7"/>
      <sheetName val="총괄_(03년11월)여행7"/>
      <sheetName val="세부내용_(03년11월)여행7"/>
      <sheetName val="개인_세부내용_(03년11월)여행7"/>
      <sheetName val="동구일반상품_7"/>
      <sheetName val="남양시작동자105노65기1_3화1_27"/>
      <sheetName val="97_사업추정(WEKI)7"/>
      <sheetName val="TRE_TABLE7"/>
      <sheetName val="비교손익계산서_1"/>
      <sheetName val="2003_121"/>
      <sheetName val="2002_121"/>
      <sheetName val="1_수인터널6"/>
      <sheetName val="PE거푸집(1_2)7"/>
      <sheetName val="갑지_(2)6"/>
      <sheetName val="비목별_투자_집계6"/>
      <sheetName val="자재비내역_6"/>
      <sheetName val="운반비_내역6"/>
      <sheetName val="사무_용품비6"/>
      <sheetName val="지대_및_집세6"/>
      <sheetName val="갑지_2_(2)6"/>
      <sheetName val="갑지_26"/>
      <sheetName val="영업_일11"/>
      <sheetName val="표지_(2)7"/>
      <sheetName val="unit_47"/>
      <sheetName val="1차_내역서7"/>
      <sheetName val="BEND_LOSS7"/>
      <sheetName val="토목내역서_(도급단가)7"/>
      <sheetName val="3_건축(현장안)7"/>
      <sheetName val="A_LINE7"/>
      <sheetName val="WEIGHT_LIST7"/>
      <sheetName val="산#2-1_(2)7"/>
      <sheetName val="P_M_별7"/>
      <sheetName val="PUNCH_LIST7"/>
      <sheetName val="WELDING_JOINT_INSPECTION_STATU7"/>
      <sheetName val="토공(우물통,기타)_7"/>
      <sheetName val="2_2_10_샤시등7"/>
      <sheetName val="A3_공사비_검토7"/>
      <sheetName val="C3_토목_옹벽7"/>
      <sheetName val="A6_샤시등7"/>
      <sheetName val="전선_및_전선관7"/>
      <sheetName val="에너지성능지표검토서(기계,_전기,_신재생)7"/>
      <sheetName val="7_수지7"/>
      <sheetName val="TOWER_12TON7"/>
      <sheetName val="JIB_CRANE,HOIST7"/>
      <sheetName val="TOWER_10TON7"/>
      <sheetName val="BSD__2_7"/>
      <sheetName val="내역서_(2)7"/>
      <sheetName val="구조______6"/>
      <sheetName val="배수입상_7"/>
      <sheetName val="내역서_(3)7"/>
      <sheetName val="내역서_(4)7"/>
      <sheetName val="아파트_7"/>
      <sheetName val="2000년_공정표6"/>
      <sheetName val="IMP_(REACTOR)6"/>
      <sheetName val="1장_7"/>
      <sheetName val="1_개요_7"/>
      <sheetName val="2_조건_7"/>
      <sheetName val="3_공식붙임7"/>
      <sheetName val="4장_7"/>
      <sheetName val="1_AHU_7"/>
      <sheetName val="2_AHU-17"/>
      <sheetName val="2_FAN7"/>
      <sheetName val="1_급탕7"/>
      <sheetName val="6장_별첨7"/>
      <sheetName val="콤보박스와_리스트박스의_연결6"/>
      <sheetName val="0_갑지6"/>
      <sheetName val="1_공통가설공사6"/>
      <sheetName val="2_토목공사6"/>
      <sheetName val="3_건축공사6"/>
      <sheetName val="4_설비공사6"/>
      <sheetName val="5_전기공사6"/>
      <sheetName val="7_안전관리비6"/>
      <sheetName val="8_현장관리비6"/>
      <sheetName val="인원투입_계획표6"/>
      <sheetName val="공사계약현황_(기계설비))6"/>
      <sheetName val="공사계약현황_(전기)6"/>
      <sheetName val="2000_056"/>
      <sheetName val="추정공사비_산출결과7"/>
      <sheetName val="월별손익(용역)_7"/>
      <sheetName val="1-1_손익(온정각)7"/>
      <sheetName val="1-1_손익(관광식당)7"/>
      <sheetName val="1-1_손익(직원식당)7"/>
      <sheetName val="1-2_월별손익(온정각)7"/>
      <sheetName val="1-2_월별손익(관광식당)7"/>
      <sheetName val="1-2_월별손익(직원식당)7"/>
      <sheetName val="2-1_판관비(지원)7"/>
      <sheetName val="2-1_판관비(관광)7"/>
      <sheetName val="2-1_판관비(직원)_7"/>
      <sheetName val="2-1_판관비(온정각)7"/>
      <sheetName val="2-2_월별판관비(온정각)7"/>
      <sheetName val="2-2_월별판관비(지원)7"/>
      <sheetName val="2-2_월별판관비(직원)7"/>
      <sheetName val="2-2_월별판관비(휴게소)7"/>
      <sheetName val="2-2_월별판관비(스넥코너)7"/>
      <sheetName val="2-2_월별판관비(음료코너)7"/>
      <sheetName val="2-2_월별판관비(온천장)7"/>
      <sheetName val="5-1_인원(온정각)7"/>
      <sheetName val="99년누계_(월별)7"/>
      <sheetName val="1_설계조건6"/>
      <sheetName val="인건비_1"/>
      <sheetName val="2__공원조도1"/>
      <sheetName val="고효율_유도전동기_적용비율_계산서7"/>
      <sheetName val="건축실행__(5)6"/>
      <sheetName val="SEV_wiress4_Total1"/>
      <sheetName val="SEV_wireles_4__fire_fighting_1"/>
      <sheetName val="SEV_wireles_4__fire_Alarm1"/>
      <sheetName val="B_1-11"/>
      <sheetName val="B_1-21"/>
      <sheetName val="B_1-31"/>
      <sheetName val="B_1-41"/>
      <sheetName val="B_1-51"/>
      <sheetName val="B_1-61"/>
      <sheetName val="B_1-71"/>
      <sheetName val="B_21"/>
      <sheetName val="B_31"/>
      <sheetName val="B_41"/>
      <sheetName val="B_6-11"/>
      <sheetName val="B_6-21"/>
      <sheetName val="BSD_(2)1"/>
      <sheetName val="플랜트_설치6"/>
      <sheetName val="참고용_(2)6"/>
      <sheetName val="COMPARISON_TABLE6"/>
      <sheetName val="Eq__Mobilization6"/>
      <sheetName val="간접비_총괄표6"/>
      <sheetName val="6PILE__(돌출)6"/>
      <sheetName val="공사예산하조서(O_K)6"/>
      <sheetName val="C_배수관공6"/>
      <sheetName val="수목데이타_6"/>
      <sheetName val="정산서_6"/>
      <sheetName val="1_설계기준6"/>
      <sheetName val="역T형옹벽(3_0)6"/>
      <sheetName val="2_냉난방설비공사6"/>
      <sheetName val="7_자동제어공사6"/>
      <sheetName val="1_취수장6"/>
      <sheetName val="3_고급화검토6"/>
      <sheetName val="2_공사비_검토6"/>
      <sheetName val="5_공종별예산내역서6"/>
      <sheetName val="1_CB6"/>
      <sheetName val="1_CB_(2)6"/>
      <sheetName val="1_CB_(3)6"/>
      <sheetName val="C급보_6"/>
      <sheetName val="wage_Cal6"/>
      <sheetName val="일단의_주택지1"/>
      <sheetName val="단가_1"/>
      <sheetName val="하도내역_(철콘)1"/>
      <sheetName val="수량산출서_갑지1"/>
      <sheetName val="실행내역_1"/>
      <sheetName val="입출재고현황_(2)1"/>
      <sheetName val="Mech_CIF6"/>
      <sheetName val="승용C_S1"/>
      <sheetName val="상용C_S1"/>
      <sheetName val="환경기계공정표_(3)1"/>
      <sheetName val="신단가_(내진설치비)1"/>
      <sheetName val="1_집계표1"/>
      <sheetName val="2_공통가설공사1"/>
      <sheetName val="4_기계설비공사1"/>
      <sheetName val="7__안전관리비1"/>
      <sheetName val="식대_숙직비1"/>
      <sheetName val="프린트_(3)1"/>
      <sheetName val="간지-2_(2)1"/>
      <sheetName val="_1__개요1"/>
      <sheetName val="_2__난방설비1"/>
      <sheetName val="열관류율_계산서1"/>
      <sheetName val="2_3_세대별난방부하집계1"/>
      <sheetName val="보일러_선정1"/>
      <sheetName val="84A_(2)1"/>
      <sheetName val="84B_(2)1"/>
      <sheetName val="84C_(2)1"/>
      <sheetName val="101A_(2)1"/>
      <sheetName val="101B_(2)1"/>
      <sheetName val="101C_(2)1"/>
      <sheetName val="난방부하집계_(2)1"/>
      <sheetName val="2_3_세대별난방부하집계_(2)1"/>
      <sheetName val="보일러_선정_(2)1"/>
      <sheetName val="4_급수설비1"/>
      <sheetName val="4_2_급수입상배관1"/>
      <sheetName val="4_3_급수횡주관1"/>
      <sheetName val="5_1_열교환기1"/>
      <sheetName val="4-0_툫자1"/>
      <sheetName val="단위세대_개요1"/>
      <sheetName val="GEN_1"/>
      <sheetName val="1_구리중_(제조사A)1"/>
      <sheetName val="1_구리중_(제조사B)1"/>
      <sheetName val="1_구리중_(제조사C)1"/>
      <sheetName val="2_토평초(제조사A)1"/>
      <sheetName val="2_토평초(제조사B)1"/>
      <sheetName val="2_토평초(제조사C)1"/>
      <sheetName val="3_평내초(제조사A)1"/>
      <sheetName val="3_평내초(제조사B)1"/>
      <sheetName val="3_평내초(제조사C)1"/>
      <sheetName val="실외기_배관트레이1"/>
      <sheetName val="중앙콘트롤러설치용전선_1"/>
      <sheetName val="을_11"/>
      <sheetName val="을_21"/>
      <sheetName val="토목내역_(2)1"/>
      <sheetName val="DATA_입력란1"/>
      <sheetName val="1__설계조건_2_단면가정_3__하중계산1"/>
      <sheetName val="12_171"/>
      <sheetName val="가스공사_1"/>
      <sheetName val="3련_BOX1"/>
      <sheetName val="1_설계조건_1"/>
      <sheetName val="설계기준설명_1"/>
      <sheetName val="2_단면가정_(BASE)1"/>
      <sheetName val="3_하중및토압_(고정)1"/>
      <sheetName val="4_작용하중(고정)1"/>
      <sheetName val="5_안정검토(고정)(풍화암)1"/>
      <sheetName val="6_벽체계산1"/>
      <sheetName val="7_흉벽계산(ASCON)1"/>
      <sheetName val="8_FOOTING1"/>
      <sheetName val="9_날개벽1"/>
      <sheetName val="10_교좌받침1"/>
      <sheetName val="11_접속슬라브(ASCON)1"/>
      <sheetName val="EQUIPMENT_-21"/>
      <sheetName val="건___축1"/>
      <sheetName val="4_3__급수펌프선정1"/>
      <sheetName val="4_3_2_급탕순환펌프1"/>
      <sheetName val="4_3_3__배수펌프1"/>
      <sheetName val="4_4__전기온수기1"/>
      <sheetName val="4_5__보일러1"/>
      <sheetName val="4_4__급탕탱크1"/>
      <sheetName val="4_6__급탕탱크1"/>
      <sheetName val="crude_SLAB_RE-bar1"/>
      <sheetName val="자__재1"/>
      <sheetName val="Bag_Filter_Sizing1"/>
      <sheetName val="BOX구조해석_설명서1"/>
      <sheetName val="철근량_검토1"/>
      <sheetName val="1_내역(청_하역장전등)1"/>
      <sheetName val="내역서1999_8최종1"/>
      <sheetName val="9,10월신제품_(2)1"/>
      <sheetName val="1_공사개요(입력)1"/>
      <sheetName val="6__안전관리비1"/>
      <sheetName val="5__현장관리비(new)_1"/>
      <sheetName val="LEGEND_i1"/>
      <sheetName val="전화_인터넷(현장)1"/>
      <sheetName val="3_0냉난방열원집계1"/>
      <sheetName val="4_1AHU1"/>
      <sheetName val="4_3_공기압축기1"/>
      <sheetName val="4_7_전기라디에타_1"/>
      <sheetName val="4_9_AC_1"/>
      <sheetName val="4_11_FAN1"/>
      <sheetName val="4_12_TANK_4_13_탈취기1"/>
      <sheetName val="4_14_PUMP1"/>
      <sheetName val="5_위생설비1"/>
      <sheetName val="평형별_세대수1"/>
      <sheetName val="G_R300경비1"/>
      <sheetName val="정계약_현황1"/>
      <sheetName val="1_기계_납품_진행__현황1"/>
      <sheetName val="2_협력업체_담당자_및_연락처1"/>
      <sheetName val="15_문제점1"/>
      <sheetName val="블럭_손익1"/>
      <sheetName val="_총괄표1"/>
      <sheetName val="수배전반_을지1"/>
      <sheetName val="Sheet2_(2)1"/>
      <sheetName val="파주_운정지구_A8블럭1"/>
      <sheetName val="3BL공동구_수량1"/>
      <sheetName val="총_원가계산1"/>
      <sheetName val="토공사및_흙막이공사8"/>
      <sheetName val="써100_(A4)8"/>
      <sheetName val="F_C_U_ZONE집계8"/>
      <sheetName val="A_H_U_ZONE별집계8"/>
      <sheetName val="PAC_집계8"/>
      <sheetName val="1_가스소비량8"/>
      <sheetName val="1-3_가스관경계산-18"/>
      <sheetName val="1-4_가스관경계산-28"/>
      <sheetName val="1-5_가스관경계산-38"/>
      <sheetName val="1-6_가스관경계산-4_8"/>
      <sheetName val="1-7_가스관경계산-58"/>
      <sheetName val="1-7_가스차압산출8"/>
      <sheetName val="1_견적서목록8"/>
      <sheetName val="부하계산서_(영문)8"/>
      <sheetName val="PEND-ITEM_(2)8"/>
      <sheetName val="견적표지_(횡)8"/>
      <sheetName val="부하집계표_(2안)8"/>
      <sheetName val="부하계산서_8"/>
      <sheetName val="UNIT_COOLER_선정표8"/>
      <sheetName val="ACCUMULALOR_(2안)8"/>
      <sheetName val="동력집계표_(2안)8"/>
      <sheetName val="cooling_tower_(2)8"/>
      <sheetName val="cooling_water_pump8"/>
      <sheetName val="DEFROEST_PUMP8"/>
      <sheetName val="기기선정표_(2안)8"/>
      <sheetName val="cooling_tower8"/>
      <sheetName val="부하집계표_(2)8"/>
      <sheetName val="덕트_및_배기그릴선정8"/>
      <sheetName val="OCT_FDN8"/>
      <sheetName val="EXT_CHECK8"/>
      <sheetName val="P-127E1,E2_8"/>
      <sheetName val="P-123E1,E2_8"/>
      <sheetName val="P-128E_8"/>
      <sheetName val="（３）_8"/>
      <sheetName val="목차_(2)8"/>
      <sheetName val="1-1_손익(부문별)8"/>
      <sheetName val="1-2_손익(월별)8"/>
      <sheetName val="2-1_판관비(부문)8"/>
      <sheetName val="2-2_판관비(월별)8"/>
      <sheetName val="3-1_수익비용(부문별)8"/>
      <sheetName val="3-2_수익비용(월별)8"/>
      <sheetName val="4-1_투자(부문)8"/>
      <sheetName val="4-2_투자(월별)8"/>
      <sheetName val="5-1_인원(부문)8"/>
      <sheetName val="5-2_인원(월별)8"/>
      <sheetName val="6_산출근거8"/>
      <sheetName val="7_현금흐름8"/>
      <sheetName val="마케팅1_(2)8"/>
      <sheetName val="마케팅1_(3)8"/>
      <sheetName val="마케팅1_(4)8"/>
      <sheetName val="01_1담당매출계획27_8$8"/>
      <sheetName val="01매출계획_선용품8"/>
      <sheetName val="작업악성채권직원판매제외(거래선별)_8"/>
      <sheetName val="작업악성채권직원판매제외_(담당별종합)8"/>
      <sheetName val="작업악성채권직원판매제외_(담당별)8"/>
      <sheetName val="판촉비예산_8"/>
      <sheetName val="인테리어_시설8"/>
      <sheetName val="파_3층_특설_장치장식비8"/>
      <sheetName val="총괄_(03년11월)h&amp;s8"/>
      <sheetName val="총괄_(03년11월)여행8"/>
      <sheetName val="세부내용_(03년11월)여행8"/>
      <sheetName val="개인_세부내용_(03년11월)여행8"/>
      <sheetName val="동구일반상품_8"/>
      <sheetName val="남양시작동자105노65기1_3화1_28"/>
      <sheetName val="97_사업추정(WEKI)8"/>
      <sheetName val="TRE_TABLE8"/>
      <sheetName val="비교손익계산서_2"/>
      <sheetName val="2003_122"/>
      <sheetName val="2002_122"/>
      <sheetName val="1_수인터널7"/>
      <sheetName val="PE거푸집(1_2)8"/>
      <sheetName val="갑지_(2)7"/>
      <sheetName val="비목별_투자_집계7"/>
      <sheetName val="자재비내역_7"/>
      <sheetName val="운반비_내역7"/>
      <sheetName val="사무_용품비7"/>
      <sheetName val="지대_및_집세7"/>
      <sheetName val="갑지_2_(2)7"/>
      <sheetName val="갑지_27"/>
      <sheetName val="영업_일12"/>
      <sheetName val="표지_(2)8"/>
      <sheetName val="unit_48"/>
      <sheetName val="1차_내역서8"/>
      <sheetName val="BEND_LOSS8"/>
      <sheetName val="토목내역서_(도급단가)8"/>
      <sheetName val="3_건축(현장안)8"/>
      <sheetName val="A_LINE8"/>
      <sheetName val="WEIGHT_LIST8"/>
      <sheetName val="산#2-1_(2)8"/>
      <sheetName val="P_M_별8"/>
      <sheetName val="PUNCH_LIST8"/>
      <sheetName val="WELDING_JOINT_INSPECTION_STATU8"/>
      <sheetName val="토공(우물통,기타)_8"/>
      <sheetName val="2_2_10_샤시등8"/>
      <sheetName val="A3_공사비_검토8"/>
      <sheetName val="C3_토목_옹벽8"/>
      <sheetName val="A6_샤시등8"/>
      <sheetName val="전선_및_전선관8"/>
      <sheetName val="에너지성능지표검토서(기계,_전기,_신재생)8"/>
      <sheetName val="7_수지8"/>
      <sheetName val="TOWER_12TON8"/>
      <sheetName val="JIB_CRANE,HOIST8"/>
      <sheetName val="TOWER_10TON8"/>
      <sheetName val="BSD__2_8"/>
      <sheetName val="내역서_(2)8"/>
      <sheetName val="구조______7"/>
      <sheetName val="배수입상_8"/>
      <sheetName val="내역서_(3)8"/>
      <sheetName val="내역서_(4)8"/>
      <sheetName val="아파트_8"/>
      <sheetName val="2000년_공정표7"/>
      <sheetName val="IMP_(REACTOR)7"/>
      <sheetName val="1장_8"/>
      <sheetName val="1_개요_8"/>
      <sheetName val="2_조건_8"/>
      <sheetName val="3_공식붙임8"/>
      <sheetName val="4장_8"/>
      <sheetName val="1_AHU_8"/>
      <sheetName val="2_AHU-18"/>
      <sheetName val="2_FAN8"/>
      <sheetName val="1_급탕8"/>
      <sheetName val="6장_별첨8"/>
      <sheetName val="콤보박스와_리스트박스의_연결7"/>
      <sheetName val="0_갑지7"/>
      <sheetName val="1_공통가설공사7"/>
      <sheetName val="2_토목공사7"/>
      <sheetName val="3_건축공사7"/>
      <sheetName val="4_설비공사7"/>
      <sheetName val="5_전기공사7"/>
      <sheetName val="7_안전관리비7"/>
      <sheetName val="8_현장관리비7"/>
      <sheetName val="인원투입_계획표7"/>
      <sheetName val="공사계약현황_(기계설비))7"/>
      <sheetName val="공사계약현황_(전기)7"/>
      <sheetName val="2000_057"/>
      <sheetName val="추정공사비_산출결과8"/>
      <sheetName val="월별손익(용역)_8"/>
      <sheetName val="1-1_손익(온정각)8"/>
      <sheetName val="1-1_손익(관광식당)8"/>
      <sheetName val="1-1_손익(직원식당)8"/>
      <sheetName val="1-2_월별손익(온정각)8"/>
      <sheetName val="1-2_월별손익(관광식당)8"/>
      <sheetName val="1-2_월별손익(직원식당)8"/>
      <sheetName val="2-1_판관비(지원)8"/>
      <sheetName val="2-1_판관비(관광)8"/>
      <sheetName val="2-1_판관비(직원)_8"/>
      <sheetName val="2-1_판관비(온정각)8"/>
      <sheetName val="2-2_월별판관비(온정각)8"/>
      <sheetName val="2-2_월별판관비(지원)8"/>
      <sheetName val="2-2_월별판관비(직원)8"/>
      <sheetName val="2-2_월별판관비(휴게소)8"/>
      <sheetName val="2-2_월별판관비(스넥코너)8"/>
      <sheetName val="2-2_월별판관비(음료코너)8"/>
      <sheetName val="2-2_월별판관비(온천장)8"/>
      <sheetName val="5-1_인원(온정각)8"/>
      <sheetName val="99년누계_(월별)8"/>
      <sheetName val="1_설계조건7"/>
      <sheetName val="인건비_2"/>
      <sheetName val="2__공원조도2"/>
      <sheetName val="고효율_유도전동기_적용비율_계산서8"/>
      <sheetName val="건축실행__(5)7"/>
      <sheetName val="SEV_wiress4_Total2"/>
      <sheetName val="SEV_wireles_4__fire_fighting_2"/>
      <sheetName val="SEV_wireles_4__fire_Alarm2"/>
      <sheetName val="B_1-12"/>
      <sheetName val="B_1-22"/>
      <sheetName val="B_1-32"/>
      <sheetName val="B_1-42"/>
      <sheetName val="B_1-52"/>
      <sheetName val="B_1-62"/>
      <sheetName val="B_1-72"/>
      <sheetName val="B_22"/>
      <sheetName val="B_32"/>
      <sheetName val="B_42"/>
      <sheetName val="B_6-12"/>
      <sheetName val="B_6-22"/>
      <sheetName val="BSD_(2)2"/>
      <sheetName val="플랜트_설치7"/>
      <sheetName val="참고용_(2)7"/>
      <sheetName val="COMPARISON_TABLE7"/>
      <sheetName val="Eq__Mobilization7"/>
      <sheetName val="간접비_총괄표7"/>
      <sheetName val="6PILE__(돌출)7"/>
      <sheetName val="공사예산하조서(O_K)7"/>
      <sheetName val="C_배수관공7"/>
      <sheetName val="수목데이타_7"/>
      <sheetName val="정산서_7"/>
      <sheetName val="1_설계기준7"/>
      <sheetName val="역T형옹벽(3_0)7"/>
      <sheetName val="2_냉난방설비공사7"/>
      <sheetName val="7_자동제어공사7"/>
      <sheetName val="1_취수장7"/>
      <sheetName val="3_고급화검토7"/>
      <sheetName val="2_공사비_검토7"/>
      <sheetName val="5_공종별예산내역서7"/>
      <sheetName val="1_CB7"/>
      <sheetName val="1_CB_(2)7"/>
      <sheetName val="1_CB_(3)7"/>
      <sheetName val="C급보_7"/>
      <sheetName val="wage_Cal7"/>
      <sheetName val="일단의_주택지2"/>
      <sheetName val="단가_2"/>
      <sheetName val="하도내역_(철콘)2"/>
      <sheetName val="수량산출서_갑지2"/>
      <sheetName val="실행내역_2"/>
      <sheetName val="입출재고현황_(2)2"/>
      <sheetName val="Mech_CIF7"/>
      <sheetName val="승용C_S2"/>
      <sheetName val="상용C_S2"/>
      <sheetName val="환경기계공정표_(3)2"/>
      <sheetName val="신단가_(내진설치비)2"/>
      <sheetName val="1_집계표2"/>
      <sheetName val="2_공통가설공사2"/>
      <sheetName val="4_기계설비공사2"/>
      <sheetName val="7__안전관리비2"/>
      <sheetName val="식대_숙직비2"/>
      <sheetName val="프린트_(3)2"/>
      <sheetName val="간지-2_(2)2"/>
      <sheetName val="_1__개요2"/>
      <sheetName val="_2__난방설비2"/>
      <sheetName val="열관류율_계산서2"/>
      <sheetName val="2_3_세대별난방부하집계2"/>
      <sheetName val="보일러_선정2"/>
      <sheetName val="84A_(2)2"/>
      <sheetName val="84B_(2)2"/>
      <sheetName val="84C_(2)2"/>
      <sheetName val="101A_(2)2"/>
      <sheetName val="101B_(2)2"/>
      <sheetName val="101C_(2)2"/>
      <sheetName val="난방부하집계_(2)2"/>
      <sheetName val="2_3_세대별난방부하집계_(2)2"/>
      <sheetName val="보일러_선정_(2)2"/>
      <sheetName val="4_급수설비2"/>
      <sheetName val="4_2_급수입상배관2"/>
      <sheetName val="4_3_급수횡주관2"/>
      <sheetName val="5_1_열교환기2"/>
      <sheetName val="4-0_툫자2"/>
      <sheetName val="단위세대_개요2"/>
      <sheetName val="GEN_2"/>
      <sheetName val="1_구리중_(제조사A)2"/>
      <sheetName val="1_구리중_(제조사B)2"/>
      <sheetName val="1_구리중_(제조사C)2"/>
      <sheetName val="2_토평초(제조사A)2"/>
      <sheetName val="2_토평초(제조사B)2"/>
      <sheetName val="2_토평초(제조사C)2"/>
      <sheetName val="3_평내초(제조사A)2"/>
      <sheetName val="3_평내초(제조사B)2"/>
      <sheetName val="3_평내초(제조사C)2"/>
      <sheetName val="실외기_배관트레이2"/>
      <sheetName val="중앙콘트롤러설치용전선_2"/>
      <sheetName val="을_12"/>
      <sheetName val="을_22"/>
      <sheetName val="토목내역_(2)2"/>
      <sheetName val="DATA_입력란2"/>
      <sheetName val="1__설계조건_2_단면가정_3__하중계산2"/>
      <sheetName val="12_172"/>
      <sheetName val="가스공사_2"/>
      <sheetName val="3련_BOX2"/>
      <sheetName val="1_설계조건_2"/>
      <sheetName val="설계기준설명_2"/>
      <sheetName val="2_단면가정_(BASE)2"/>
      <sheetName val="3_하중및토압_(고정)2"/>
      <sheetName val="4_작용하중(고정)2"/>
      <sheetName val="5_안정검토(고정)(풍화암)2"/>
      <sheetName val="6_벽체계산2"/>
      <sheetName val="7_흉벽계산(ASCON)2"/>
      <sheetName val="8_FOOTING2"/>
      <sheetName val="9_날개벽2"/>
      <sheetName val="10_교좌받침2"/>
      <sheetName val="11_접속슬라브(ASCON)2"/>
      <sheetName val="EQUIPMENT_-22"/>
      <sheetName val="건___축2"/>
      <sheetName val="4_3__급수펌프선정2"/>
      <sheetName val="4_3_2_급탕순환펌프2"/>
      <sheetName val="4_3_3__배수펌프2"/>
      <sheetName val="4_4__전기온수기2"/>
      <sheetName val="4_5__보일러2"/>
      <sheetName val="4_4__급탕탱크2"/>
      <sheetName val="4_6__급탕탱크2"/>
      <sheetName val="crude_SLAB_RE-bar2"/>
      <sheetName val="자__재2"/>
      <sheetName val="Bag_Filter_Sizing2"/>
      <sheetName val="BOX구조해석_설명서2"/>
      <sheetName val="철근량_검토2"/>
      <sheetName val="1_내역(청_하역장전등)2"/>
      <sheetName val="내역서1999_8최종2"/>
      <sheetName val="9,10월신제품_(2)2"/>
      <sheetName val="1_공사개요(입력)2"/>
      <sheetName val="6__안전관리비2"/>
      <sheetName val="5__현장관리비(new)_2"/>
      <sheetName val="LEGEND_i2"/>
      <sheetName val="전화_인터넷(현장)2"/>
      <sheetName val="3_0냉난방열원집계2"/>
      <sheetName val="4_1AHU2"/>
      <sheetName val="4_3_공기압축기2"/>
      <sheetName val="4_7_전기라디에타_2"/>
      <sheetName val="4_9_AC_2"/>
      <sheetName val="4_11_FAN2"/>
      <sheetName val="4_12_TANK_4_13_탈취기2"/>
      <sheetName val="4_14_PUMP2"/>
      <sheetName val="5_위생설비2"/>
      <sheetName val="평형별_세대수2"/>
      <sheetName val="G_R300경비2"/>
      <sheetName val="정계약_현황2"/>
      <sheetName val="1_기계_납품_진행__현황2"/>
      <sheetName val="2_협력업체_담당자_및_연락처2"/>
      <sheetName val="15_문제점2"/>
      <sheetName val="블럭_손익2"/>
      <sheetName val="_총괄표2"/>
      <sheetName val="수배전반_을지2"/>
      <sheetName val="Sheet2_(2)2"/>
      <sheetName val="파주_운정지구_A8블럭2"/>
      <sheetName val="3BL공동구_수량2"/>
      <sheetName val="총_원가계산2"/>
      <sheetName val="list"/>
      <sheetName val="eq_data"/>
      <sheetName val="MC"/>
      <sheetName val="가격표"/>
      <sheetName val="간이2"/>
      <sheetName val="연결방지용"/>
      <sheetName val="차종별"/>
      <sheetName val="간이연락"/>
      <sheetName val="예산계획"/>
      <sheetName val="이름정의"/>
      <sheetName val="전체현황"/>
      <sheetName val="GRACE"/>
      <sheetName val="차수"/>
      <sheetName val="R&amp;D"/>
      <sheetName val="HP1AMLIST"/>
      <sheetName val="ML"/>
      <sheetName val="구동"/>
      <sheetName val="계열사현황종합"/>
      <sheetName val="CALENDAR"/>
      <sheetName val="재료율"/>
      <sheetName val="일괄인쇄"/>
      <sheetName val="B-III"/>
      <sheetName val="p2-1"/>
      <sheetName val="S커브"/>
      <sheetName val="설계서을"/>
      <sheetName val="구조물공1"/>
      <sheetName val="배수및구조물공1"/>
      <sheetName val="현장설명결의서"/>
      <sheetName val="견적갑지"/>
      <sheetName val="년도별노임표"/>
      <sheetName val="중기목록표"/>
      <sheetName val="H-PILE수량집계"/>
      <sheetName val="Tool"/>
      <sheetName val="단가산출2"/>
      <sheetName val="단가산출1"/>
      <sheetName val="내역서 "/>
      <sheetName val="공종단가"/>
      <sheetName val="노무비지급명세"/>
      <sheetName val="X17-TOTAL"/>
      <sheetName val="매출매입"/>
      <sheetName val="원가계산서(남측)"/>
      <sheetName val="현장대리인_말일"/>
      <sheetName val="사원증 제작"/>
      <sheetName val="메일, 웹하드"/>
      <sheetName val="보험"/>
      <sheetName val="협업, 협회"/>
      <sheetName val="최진한"/>
      <sheetName val="윤원섭"/>
      <sheetName val="본사인적사항"/>
      <sheetName val="현장인적사항"/>
      <sheetName val="현장기술자배치기준"/>
      <sheetName val="보유명단_건설기술인협회"/>
      <sheetName val="최초교육대상"/>
      <sheetName val="사후정산-사회보험edi"/>
      <sheetName val="협력업체"/>
      <sheetName val="사업자등록증"/>
      <sheetName val="면허등록증"/>
      <sheetName val="Sheet3 (2)"/>
      <sheetName val="견적공통"/>
      <sheetName val="백암비스타내역"/>
      <sheetName val="호표"/>
      <sheetName val="일위대가 집계표"/>
      <sheetName val="FCU선정"/>
      <sheetName val="냉온수유니트"/>
      <sheetName val="물집"/>
      <sheetName val="PIPE"/>
      <sheetName val="FLANGE"/>
      <sheetName val="VALVE"/>
      <sheetName val="Internal Floor"/>
      <sheetName val="MEEDCO Vehicle List"/>
      <sheetName val="FitOutConfCentre"/>
      <sheetName val="날개벽(시점좌측)"/>
      <sheetName val="물량내역서"/>
      <sheetName val="내역5"/>
      <sheetName val="에너지성능지표"/>
      <sheetName val="구리토평"/>
      <sheetName val="설계내역"/>
      <sheetName val="금리계산"/>
      <sheetName val="DATA-UPS"/>
      <sheetName val="포장공자재집계표"/>
      <sheetName val="Check List"/>
      <sheetName val="급수 (LPM)"/>
      <sheetName val="3-3.빙축열시스템부하"/>
      <sheetName val="근거(기밀댐퍼)"/>
      <sheetName val="간접비 _x0000__x0000__x0005_"/>
      <sheetName val="총투입계"/>
      <sheetName val="PRECIOS"/>
      <sheetName val="Macro"/>
      <sheetName val="안전시설내역서"/>
      <sheetName val="기술부대조건"/>
      <sheetName val="TANK견적대지"/>
      <sheetName val="급여인건비LS"/>
      <sheetName val="추정공사비계ꀀ"/>
      <sheetName val="[1.xls][1.xls]______C______99_8"/>
      <sheetName val="포장물량집계"/>
      <sheetName val="단가결정"/>
      <sheetName val="내역아"/>
      <sheetName val="울타리"/>
      <sheetName val="시설물일위"/>
      <sheetName val="달력"/>
      <sheetName val="산출서"/>
      <sheetName val="기본일위"/>
      <sheetName val="9-1차이내역"/>
      <sheetName val="[1.xls][1.xls]______P_H_S_ex_20"/>
      <sheetName val="[1.xls][1.XLS]______P_H_S_ex_19"/>
      <sheetName val="[1.XLS][1.XLS]______P_H_S_exc_4"/>
      <sheetName val="[1.XLS][1.XLS]______P_H_S_exc_2"/>
      <sheetName val="[1.XLS][1.XLS]______P_H_S_exc_3"/>
      <sheetName val="[1.XLS][1.XLS]______P_H_S_exc_5"/>
      <sheetName val="[1.XLS][1.XLS]______P_H_S_exc_8"/>
      <sheetName val="[1.XLS][1.XLS]______P_H_S_exc_7"/>
      <sheetName val="[1.XLS][1.XLS]______P_H_S_exc_6"/>
      <sheetName val="[1.XLS][1.XLS]______P_H_S_exc_9"/>
      <sheetName val="[1.XLS][1.XLS]______P_H_S_ex_11"/>
      <sheetName val="[1.XLS][1.XLS]______P_H_S_ex_10"/>
      <sheetName val="[1.XLS][1.XLS]______P_H_S_ex_13"/>
      <sheetName val="[1.XLS][1.XLS]______P_H_S_ex_12"/>
      <sheetName val="Q(&amp;F)_x0000__x0000_蓑_x0000__x0005__x0005_Ā_x000c_NateOn 정보(&amp;V)_x0000__x0000__x0000__x0003__x0005_"/>
      <sheetName val="_x000f_?"/>
      <sheetName val="거래명세표"/>
      <sheetName val="Q(&amp;F)"/>
      <sheetName val="월효율분석"/>
      <sheetName val="[1.xls][1.xls]______P_H_S_ex_15"/>
      <sheetName val="[1.xls][1.XLS]______P_H_S_ex_14"/>
      <sheetName val="[1.xls][1.XLS]______P_H_S_ex_16"/>
      <sheetName val="[1.xls][1.XLS]______P_H_S_ex_17"/>
      <sheetName val="[1.xls][1.XLS]______P_H_S_ex_18"/>
      <sheetName val="에너지성능지표セ迢颚_x0000_㘀窢"/>
      <sheetName val="공정표"/>
      <sheetName val="출고표"/>
      <sheetName val="추적성관리대장"/>
      <sheetName val="설치공정표"/>
      <sheetName val="[1.xls][1.xls]______P_H_S_ex_21"/>
      <sheetName val="[1.xls][1.xls]______P_H_S_ex_26"/>
      <sheetName val="[1.xls][1.xls]______P_H_S_ex_22"/>
      <sheetName val="[1.xls][1.xls]______P_H_S_ex_23"/>
      <sheetName val="[1.xls][1.xls]______P_H_S_ex_24"/>
      <sheetName val="[1.xls][1.xls]______P_H_S_ex_25"/>
      <sheetName val="[1.xls][1.xls]______P_H_S_ex_27"/>
      <sheetName val="s"/>
      <sheetName val="토공계산"/>
      <sheetName val="주요자재집계표지"/>
      <sheetName val="주요자재집계표"/>
      <sheetName val="골재집계"/>
      <sheetName val="레미콘집계"/>
      <sheetName val="배수공집계"/>
      <sheetName val="폴리머 배수로"/>
      <sheetName val="폴리머 집수정"/>
      <sheetName val="포장집계"/>
      <sheetName val="우레탄포장"/>
      <sheetName val="경계석"/>
      <sheetName val="철거공"/>
      <sheetName val="철거공집계"/>
      <sheetName val="육상트랙"/>
      <sheetName val="배수로"/>
      <sheetName val="총괄집계"/>
      <sheetName val="난간기초 (길이별)"/>
      <sheetName val="난간기초철근집계"/>
      <sheetName val="정자"/>
      <sheetName val="정자철근집계"/>
      <sheetName val="난간기초(개별)"/>
      <sheetName val="5.단면검토"/>
      <sheetName val="기초INPUT"/>
      <sheetName val="4.2유효폭의 계산"/>
      <sheetName val="일위대가목록"/>
      <sheetName val="일위대가_산근"/>
      <sheetName val="중기사용료목록"/>
      <sheetName val="중기기초자료"/>
      <sheetName val="전역변수"/>
      <sheetName val="자재조서"/>
      <sheetName val="중기전역변수"/>
      <sheetName val="기계경비일람"/>
      <sheetName val="횡배수관설치현황"/>
      <sheetName val="배수설비"/>
      <sheetName val="[1.xls][1.xls]______P_H_S_ex_52"/>
      <sheetName val="[1.xls][1.XLS]__박_석_P_H_S_exc_2"/>
      <sheetName val="[1.xls][1.xls]__박_석_P_H_S_exc_4"/>
      <sheetName val="[1.xls][1.XLS]__박_석_P_H_S_exc_3"/>
      <sheetName val="[1.xls][1.xls]__박_석_P_H_S_exc_7"/>
      <sheetName val="[1.xls][1.xls]__박_석_P_H_S_exc_5"/>
      <sheetName val="[1.xls][1.xls]__박_석_P_H_S_exc_6"/>
      <sheetName val="제2호단위수량"/>
      <sheetName val="공종별현황_공무팀자료"/>
      <sheetName val="CAUDIT"/>
      <sheetName val="전입"/>
      <sheetName val="[1.xls][1.xls]______P_H_S_ex_28"/>
      <sheetName val="[1.xls][1.xls]______P_H_S_ex_33"/>
      <sheetName val="[1.xls][1.xls]______P_H_S_ex_29"/>
      <sheetName val="[1.xls][1.xls]______P_H_S_ex_32"/>
      <sheetName val="[1.xls][1.xls]______P_H_S_ex_30"/>
      <sheetName val="[1.xls][1.xls]______P_H_S_ex_31"/>
      <sheetName val="[1.xls][1.xls]______P_H_S_ex_35"/>
      <sheetName val="[1.xls][1.xls]______P_H_S_ex_34"/>
      <sheetName val="[1.xls][1.xls]______P_H_S_ex_36"/>
      <sheetName val="[1.xls][1.xls]______P_H_S_ex_37"/>
      <sheetName val="[1.xls][1.xls]______P_H_S_ex_38"/>
      <sheetName val="[1.xls][1.xls]______P_H_S_ex_41"/>
      <sheetName val="[1.xls][1.xls]______P_H_S_ex_40"/>
      <sheetName val="[1.xls][1.xls]______P_H_S_ex_39"/>
      <sheetName val="[1.xls][1.xls]______P_H_S_ex_42"/>
      <sheetName val="[1.xls][1.xls]______P_H_S_ex_46"/>
      <sheetName val="[1.xls][1.xls]______P_H_S_ex_43"/>
      <sheetName val="[1.xls][1.xls]______P_H_S_ex_45"/>
      <sheetName val="[1.xls][1.xls]______P_H_S_ex_44"/>
      <sheetName val="[1.xls][1.xls]______P_H_S_ex_47"/>
      <sheetName val="[1.xls][1.xls]______P_H_S_ex_48"/>
      <sheetName val="급쉸ᘡ"/>
      <sheetName val="제-노임"/>
      <sheetName val="[1.xls][1.xls]______P_H_S_ex_54"/>
      <sheetName val="연결관단위"/>
      <sheetName val="단기차입금(200006)"/>
      <sheetName val="11고객별 담당자"/>
      <sheetName val="99생산계획 (1,300)"/>
      <sheetName val="분양금할인"/>
      <sheetName val="계산근거"/>
      <sheetName val="물량산출근거"/>
      <sheetName val="암거단위-1련"/>
      <sheetName val="1호맨홀토공"/>
      <sheetName val="신청서"/>
      <sheetName val="unitpric"/>
      <sheetName val="5흙막이"/>
      <sheetName val="[1.xls][1.xls]______P_H_S_ex_49"/>
      <sheetName val="[1.xls][1.xls]______P_H_S_ex_50"/>
      <sheetName val="[1.xls][1.xls]______P_H_S_ex_51"/>
      <sheetName val="[1.xls][1.xls]______P_H_S_ex_53"/>
      <sheetName val="[1.xls][1.xls]______P_H_S_ex_73"/>
      <sheetName val="[1.xls][1.xls]______P_H_S_ex_55"/>
      <sheetName val="[1.xls][1.xls]______P_H_S_ex_56"/>
      <sheetName val="[1.xls][1.xls]______P_H_S_ex_57"/>
      <sheetName val="[1.xls][1.xls]______P_H_S_ex_58"/>
      <sheetName val="[1.xls][1.xls]______P_H_S_ex_60"/>
      <sheetName val="[1.xls][1.xls]______P_H_S_ex_59"/>
      <sheetName val="[1.xls][1.xls]______P_H_S_ex_61"/>
      <sheetName val="[1.xls][1.xls]______P_H_S_ex_62"/>
      <sheetName val="[1.xls][1.xls]______P_H_S_ex_63"/>
      <sheetName val="[1.xls][1.xls]______P_H_S_ex_64"/>
      <sheetName val="[1.xls][1.xls]______P_H_S_ex_65"/>
      <sheetName val="[1.xls][1.xls]______P_H_S_ex_66"/>
      <sheetName val="[1.xls][1.xls]______P_H_S_ex_67"/>
      <sheetName val="[1.xls][1.xls]______P_H_S_ex_68"/>
      <sheetName val="의무사항(1면)"/>
      <sheetName val="에너지성능지표검토서(건축)(2면)"/>
      <sheetName val="분류표"/>
      <sheetName val="유리"/>
      <sheetName val="[1.xls][1.xls]______P_H_S_ex_69"/>
      <sheetName val="[1.xls][1.xls]______P_H_S_ex_70"/>
      <sheetName val="[1.xls][1.xls]______P_H_S_ex_71"/>
      <sheetName val="[1.xls][1.xls]______P_H_S_ex_72"/>
      <sheetName val="기준단가"/>
      <sheetName val="결과조달"/>
      <sheetName val="에너지성능지표검토서(기계, 전기, 신재생)(3~5면)"/>
      <sheetName val="위생설비"/>
      <sheetName val="부대"/>
      <sheetName val="[1.xls][1.xls]______C______99_9"/>
      <sheetName val="[1.xls][1.xls]______C______9_10"/>
      <sheetName val="건축2"/>
      <sheetName val="월별"/>
      <sheetName val="[1.xls][1.xls]___희석_P_H_S_exc_3"/>
      <sheetName val="[1.xls][1.XLS]___희석_P_H_S_exc_2"/>
      <sheetName val="⑤항목별2"/>
      <sheetName val="실행(표지,갑,을)"/>
      <sheetName val="[1.xls][1.xls]______P_H_S_ex_79"/>
      <sheetName val="[1.xls][1.xls]______P_H_S_ex_74"/>
      <sheetName val="[1.xls][1.xls]______P_H_S_ex_75"/>
      <sheetName val="[1.xls][1.xls]______P_H_S_ex_76"/>
      <sheetName val="[1.xls][1.xls]______P_H_S_ex_77"/>
      <sheetName val="[1.xls][1.xls]______P_H_S_ex_78"/>
      <sheetName val="[1.xls][1.xls]______P_H_S_ex_82"/>
      <sheetName val="[1.xls][1.xls]______P_H_S_ex_80"/>
      <sheetName val="[1.xls][1.xls]______P_H_S_ex_81"/>
      <sheetName val="[1.xls][1.xls]______P_H_S_ex_84"/>
      <sheetName val="[1.xls][1.xls]______P_H_S_ex_83"/>
      <sheetName val="중기가격"/>
      <sheetName val="하도정산계약분"/>
      <sheetName val="계실5-1"/>
      <sheetName val="계수시트"/>
      <sheetName val="가설공사"/>
      <sheetName val="1,2공구원가계산서"/>
      <sheetName val="인발시험"/>
      <sheetName val="5지진시"/>
      <sheetName val="[1.xls][1.xls]______P_H_S_ex_85"/>
      <sheetName val="영업소_x0005_"/>
      <sheetName val="[1.xls][1.xls]___희__P_H_S_exc_4"/>
      <sheetName val="[1.xls][1.xls]___희__P_H_S_exc_3"/>
      <sheetName val="[1.xls][1.xls]___희__P_H_S_exc_2"/>
      <sheetName val=" 표준양식 - 파일산출서.xlsx"/>
      <sheetName val="각입중량산출서"/>
      <sheetName val="부하(성남)"/>
      <sheetName val="[1.xls][1.xls]______P_H_S_e_115"/>
      <sheetName val="[1.xls][1.xls]______P_H_S_e_114"/>
      <sheetName val="[1.xls][1.XLS]______P_H_S_e_113"/>
      <sheetName val="기초Ȓ_x0000_"/>
      <sheetName val="loading"/>
      <sheetName val="BOQ(전체)"/>
      <sheetName val="전기혼잡제경비(45)"/>
      <sheetName val="Bill1. Block 2 - KC mong"/>
      <sheetName val="제출계산서"/>
      <sheetName val="Elemental Breakdown+20%"/>
      <sheetName val="K2 (K2M) (K2A)"/>
      <sheetName val="Bill 01 - CTN"/>
      <sheetName val="Cash2"/>
      <sheetName val="Z"/>
      <sheetName val="전기일위대가"/>
      <sheetName val="[1.xls][1.XLS]______P_H_S_e_111"/>
      <sheetName val="[1.xls][1.xls]______P_H_S_ex_86"/>
      <sheetName val="[1.xls][1.xls]______P_H_S_ex_88"/>
      <sheetName val="[1.xls][1.xls]______P_H_S_ex_87"/>
      <sheetName val="[1.xls][1.xls]______P_H_S_ex_89"/>
      <sheetName val="[1.xls][1.xls]______P_H_S_ex_90"/>
      <sheetName val="[1.xls][1.xls]______P_H_S_ex_93"/>
      <sheetName val="[1.xls][1.xls]______P_H_S_ex_91"/>
      <sheetName val="[1.xls][1.xls]______P_H_S_ex_92"/>
      <sheetName val="[1.xls][1.xls]______P_H_S_ex_95"/>
      <sheetName val="[1.xls][1.xls]______P_H_S_ex_94"/>
      <sheetName val="[1.xls][1.xls]______P_H_S_ex_99"/>
      <sheetName val="[1.xls][1.xls]______P_H_S_ex_96"/>
      <sheetName val="[1.xls][1.xls]______P_H_S_ex_97"/>
      <sheetName val="[1.xls][1.xls]______P_H_S_ex_98"/>
      <sheetName val="[1.xls][1.xls]______P_H_S_e_107"/>
      <sheetName val="[1.xls][1.XLS]______P_H_S_e_100"/>
      <sheetName val="[1.xls][1.xls]______P_H_S_e_101"/>
      <sheetName val="[1.xls][1.xls]______P_H_S_e_102"/>
      <sheetName val="[1.xls][1.xls]______P_H_S_e_103"/>
      <sheetName val="[1.xls][1.xls]______P_H_S_e_104"/>
      <sheetName val="[1.xls][1.xls]______P_H_S_e_105"/>
      <sheetName val="[1.xls][1.xls]______P_H_S_e_106"/>
      <sheetName val="[1.xls][1.xls]______P_H_S_e_108"/>
      <sheetName val="[1.xls][1.xls]______P_H_S_e_109"/>
      <sheetName val="[1.xls][1.xls]______P_H_S_e_110"/>
      <sheetName val="[1.xls][1.XLS]______P_H_S_e_112"/>
      <sheetName val="[1.xls][1.xls]______P_H_S_e_116"/>
      <sheetName val="[1.xls][1.xls]______P_H_S_e_118"/>
      <sheetName val="[1.xls][1.XLS]______P_H_S_e_117"/>
      <sheetName val="[1.xls][1.xls]______P_H_S_e_122"/>
      <sheetName val="[1.xls][1.xls]______P_H_S_e_119"/>
      <sheetName val="[1.xls][1.xls]______P_H_S_e_120"/>
      <sheetName val="[1.xls][1.xls]______P_H_S_e_121"/>
      <sheetName val="간접비 "/>
      <sheetName val="에너지성능지표セ迢颚"/>
      <sheetName val="[1.xls][1.xls]______P_H_S_e_192"/>
      <sheetName val="[1.xls][1.XLS]______P_H_S_e_191"/>
      <sheetName val="[1.xls][1.xls]______P_H_S_e_181"/>
      <sheetName val="[1.xls][1.XLS]______P_H_S_e_180"/>
      <sheetName val="Direct_MP_Updated"/>
      <sheetName val="5월_평균일수"/>
      <sheetName val="에너지성능지표℀쀀︪⇈"/>
      <sheetName val="1_공통가설"/>
      <sheetName val="태화42_"/>
      <sheetName val="BCA_INDEX"/>
      <sheetName val="에너지성능지표Ⴛ뎔迲"/>
      <sheetName val="[1.xls][1.xls]______P_H_S_e_140"/>
      <sheetName val="[1.xls][1.xls]______P_H_S_e_134"/>
      <sheetName val="[1.xls][1.xls]______P_H_S_e_133"/>
      <sheetName val="[1.xls][1.xls]______P_H_S_e_123"/>
      <sheetName val="[1.xls][1.xls]______P_H_S_e_128"/>
      <sheetName val="[1.xls][1.XLS]______P_H_S_e_125"/>
      <sheetName val="[1.xls][1.xls]______P_H_S_e_124"/>
      <sheetName val="[1.xls][1.xls]______P_H_S_e_127"/>
      <sheetName val="[1.xls][1.xls]______P_H_S_e_126"/>
      <sheetName val="[1.xls][1.xls]______P_H_S_e_129"/>
      <sheetName val="[1.xls][1.xls]______P_H_S_e_131"/>
      <sheetName val="[1.xls][1.xls]______P_H_S_e_130"/>
      <sheetName val="[1.xls][1.xls]______P_H_S_e_132"/>
      <sheetName val="[1.xls][1.xls]______P_H_S_e_135"/>
      <sheetName val="[1.xls][1.xls]______P_H_S_e_136"/>
      <sheetName val="[1.xls][1.xls]______P_H_S_e_137"/>
      <sheetName val="[1.xls][1.xls]______P_H_S_e_138"/>
      <sheetName val="[1.xls][1.xls]______P_H_S_e_139"/>
      <sheetName val="[1.xls][1.xls]______P_H_S_e_150"/>
      <sheetName val="[1.xls][1.XLS]______P_H_S_e_149"/>
      <sheetName val="[1.xls][1.XLS]______P_H_S_e_141"/>
      <sheetName val="[1.xls][1.XLS]______P_H_S_e_142"/>
      <sheetName val="[1.xls][1.XLS]______P_H_S_e_143"/>
      <sheetName val="[1.xls][1.xls]______P_H_S_e_146"/>
      <sheetName val="[1.xls][1.xls]______P_H_S_e_144"/>
      <sheetName val="[1.xls][1.xls]______P_H_S_e_145"/>
      <sheetName val="[1.xls][1.XLS]______P_H_S_e_147"/>
      <sheetName val="[1.xls][1.XLS]______P_H_S_e_148"/>
      <sheetName val="[1.xls][1.xls]______P_H_S_e_154"/>
      <sheetName val="[1.xls][1.xls]______P_H_S_e_151"/>
      <sheetName val="[1.xls][1.xls]______P_H_S_e_159"/>
      <sheetName val="[1.xls][1.xls]______P_H_S_e_152"/>
      <sheetName val="[1.xls][1.xls]______P_H_S_e_153"/>
      <sheetName val="[1.xls][1.xls]______P_H_S_e_160"/>
      <sheetName val="[1.xls][1.xls]______P_H_S_e_155"/>
      <sheetName val="[1.xls][1.xls]______P_H_S_e_157"/>
      <sheetName val="[1.xls][1.xls]______P_H_S_e_156"/>
      <sheetName val="[1.xls][1.xls]______P_H_S_e_158"/>
      <sheetName val="[1.xls][1.xls]______P_H_S_e_161"/>
      <sheetName val="해외(원화)"/>
      <sheetName val="[1.xls][1.xls]______P_H_S_e_165"/>
      <sheetName val="[1.xls][1.XLS]______P_H_S_e_164"/>
      <sheetName val="[1.xls][1.xls]______P_H_S_e_162"/>
      <sheetName val="[1.xls][1.XLS]______P_H_S_e_163"/>
      <sheetName val="[1.xls][1.xls]__박희__P_H_S_exc_4"/>
      <sheetName val="[1.xls][1.XLS]__박희__P_H_S_exc_3"/>
      <sheetName val="[1.xls][1.XLS]__박희__P_H_S_exc_2"/>
      <sheetName val="[1.xls][1.xls]__박희__P_H_S_exc_6"/>
      <sheetName val="[1.xls][1.XLS]__박희__P_H_S_exc_5"/>
      <sheetName val="[1.xls][1.xls]______P_H_S_e_166"/>
      <sheetName val="[1.xls][1.xls]______P_H_S_e_167"/>
      <sheetName val="[1.xls][1.xls]______P_H_S_e_168"/>
      <sheetName val="[1.xls][1.XLS]______P_H_S_e_169"/>
      <sheetName val="시계열"/>
      <sheetName val="[1.xls][1.XLS]____석_P_H_S_exc_2"/>
      <sheetName val="[1.xls][1.xls]______P_H_S_e_179"/>
      <sheetName val="[1.xls][1.XLS]______P_H_S_e_177"/>
      <sheetName val="[1.xls][1.xls]______P_H_S_e_170"/>
      <sheetName val="[1.xls][1.xls]______P_H_S_e_174"/>
      <sheetName val="[1.xls][1.XLS]______P_H_S_e_173"/>
      <sheetName val="[1.xls][1.xls]______P_H_S_e_171"/>
      <sheetName val="[1.xls][1.XLS]______P_H_S_e_172"/>
      <sheetName val="[1.xls][1.xls]______P_H_S_e_176"/>
      <sheetName val="[1.xls][1.XLS]______P_H_S_e_175"/>
      <sheetName val="[1.xls][1.xls]______P_H_S_e_178"/>
      <sheetName val="[1.xls][1.xls]______P_H_S_e_182"/>
      <sheetName val="[1.xls][1.xls]______P_H_S_e_190"/>
      <sheetName val="[1.xls][1.XLS]______P_H_S_e_189"/>
      <sheetName val="일위대가표(유단가)"/>
      <sheetName val="[1.xls][1.xls]______P_H_S_e_187"/>
      <sheetName val="[1.xls][1.xls]______P_H_S_e_184"/>
      <sheetName val="[1.xls][1.xls]______P_H_S_e_183"/>
      <sheetName val="[1.xls][1.xls]______P_H_S_e_185"/>
      <sheetName val="[1.xls][1.xls]______P_H_S_e_186"/>
      <sheetName val="D1"/>
      <sheetName val="D8 underpass WP-D592"/>
      <sheetName val="D10 "/>
      <sheetName val="D14"/>
      <sheetName val="WP-NW01"/>
      <sheetName val="WP-SN01-01 &amp; 02"/>
      <sheetName val="WP-WE02"/>
      <sheetName val="D16"/>
      <sheetName val="D17"/>
      <sheetName val="D18"/>
      <sheetName val="E1"/>
      <sheetName val="WP-EW01"/>
      <sheetName val="WP-NS-01"/>
      <sheetName val="WP-NS-02"/>
      <sheetName val="[1.xls][1.XLS]______P_H_S_e_188"/>
      <sheetName val="[1.xls][1.xls]______P_H_S_e_194"/>
      <sheetName val="[1.xls][1.xls]______P_H_S_e_193"/>
      <sheetName val="[1.xls][1.xls]______P_H_S_e_197"/>
      <sheetName val="[1.xls][1.xls]______P_H_S_e_195"/>
      <sheetName val="[1.xls][1.xls]______P_H_S_e_196"/>
      <sheetName val="[1.xls][1.xls]______P_H_S_e_201"/>
      <sheetName val="[1.xls][1.XLS]______P_H_S_e_199"/>
      <sheetName val="[1.xls][1.XLS]______P_H_S_e_198"/>
      <sheetName val="[1.xls][1.xls]______P_H_S_e_200"/>
      <sheetName val="[1.xls][1.xls]______P_H_S_e_203"/>
      <sheetName val="[1.xls][1.xls]______P_H_S_e_202"/>
      <sheetName val="[1.xls][1.XLS]__박___P_H_S_exc_2"/>
      <sheetName val="[1.xls][1.xls]__박___P_H_S_exc_3"/>
      <sheetName val="업무처리전"/>
      <sheetName val="[1.xls][1.xls]______P_H_S_e_205"/>
      <sheetName val="[1.xls][1.XLS]______P_H_S_e_204"/>
      <sheetName val="[1.xls][1.xls]______P_H_S_e_214"/>
      <sheetName val="[1.xls][1.XLS]______P_H_S_e_211"/>
      <sheetName val="[1.xls][1.XLS]______P_H_S_e_206"/>
      <sheetName val="[1.xls][1.XLS]______P_H_S_e_207"/>
      <sheetName val="[1.xls][1.XLS]______P_H_S_e_208"/>
      <sheetName val="[1.xls][1.XLS]______P_H_S_e_209"/>
      <sheetName val="[1.xls][1.XLS]______P_H_S_e_210"/>
      <sheetName val="[1.xls][1.xls]______P_H_S_e_212"/>
      <sheetName val="[1.xls][1.xls]______P_H_S_e_213"/>
      <sheetName val="[1.xls][1.xls]______P_H_S_e_216"/>
      <sheetName val="[1.xls][1.XLS]______P_H_S_e_215"/>
      <sheetName val="[1.xls][1.xls]______P_H_S_e_217"/>
      <sheetName val="[1.xls][1.xls]______P_H_S_e_219"/>
      <sheetName val="[1.xls][1.xls]______P_H_S_e_218"/>
      <sheetName val="[1.xls][1.xls]______P_H_S_e_220"/>
      <sheetName val="SORCE1"/>
      <sheetName val="[1.xls][1.XLS]__박희석_P_H_S_exc_4"/>
      <sheetName val="[1.xls][1.xls]__박희석_P_H_S_exc_3"/>
      <sheetName val="[1.xls][1.XLS]__박희석_P_H_S_exc_2"/>
      <sheetName val="차트작업"/>
      <sheetName val="[1.xls][1.xls]______P_H_S_e_222"/>
      <sheetName val="[1.xls][1.xls]______P_H_S_e_221"/>
      <sheetName val="[1.xls][1.xls]______P_H_S_e_223"/>
      <sheetName val="[1.xls][1.xls]______P_H_S_e_225"/>
      <sheetName val="[1.xls][1.xls]______P_H_S_e_224"/>
      <sheetName val="[1.xls][1.xls]__박___P_H_S_exc_4"/>
      <sheetName val="광주전남"/>
      <sheetName val="전통건설"/>
      <sheetName val="공주-교대(A1)"/>
      <sheetName val="[1.xls][1.xls]______P_H_S_e_277"/>
      <sheetName val="[1.xls][1.XLS]______P_H_S_e_275"/>
      <sheetName val="국내조달(통합-1)"/>
      <sheetName val="차체부품 INS REPORT(갑)"/>
      <sheetName val="[1.xls][1.xls]______P_H_S_e_262"/>
      <sheetName val="[1.xls][1.XLS]______P_H_S_e_260"/>
      <sheetName val="[1.xls][1.xls]__박_석_P_H_S_exc_8"/>
      <sheetName val="[1.xls][1.xls]______P_H_S_e_248"/>
      <sheetName val="[1.xls][1.XLS]______P_H_S_e_247"/>
      <sheetName val="[1.xls][1.xls]______P_H_S_e_226"/>
      <sheetName val="[1.xls][1.xls]______P_H_S_e_227"/>
      <sheetName val="____"/>
      <sheetName val="[1.xls][1.xls]______P_H_S_e_246"/>
      <sheetName val="[1.xls][1.XLS]______P_H_S_e_245"/>
      <sheetName val="[1.xls][1.xls]______P_H_S_e_232"/>
      <sheetName val="[1.xls][1.XLS]______P_H_S_e_230"/>
      <sheetName val="[1.xls][1.xls]______P_H_S_e_229"/>
      <sheetName val="[1.xls][1.xls]______P_H_S_e_228"/>
      <sheetName val="[1.xls][1.xls]______P_H_S_e_231"/>
      <sheetName val="[1.xls][1.xls]______P_H_S_e_235"/>
      <sheetName val="[1.xls][1.XLS]______P_H_S_e_233"/>
      <sheetName val="[1.xls][1.xls]______P_H_S_e_234"/>
      <sheetName val="[1.xls][1.xls]______P_H_S_e_236"/>
      <sheetName val="[1.xls][1.xls]______P_H_S_e_240"/>
      <sheetName val="[1.xls][1.xls]______P_H_S_e_237"/>
      <sheetName val="[1.xls][1.xls]______P_H_S_e_238"/>
      <sheetName val="[1.xls][1.xls]______P_H_S_e_239"/>
      <sheetName val="[1.xls][1.xls]______P_H_S_e_241"/>
      <sheetName val="[1.xls][1.xls]______P_H_S_e_244"/>
      <sheetName val="[1.xls][1.xls]______P_H_S_e_242"/>
      <sheetName val="[1.xls][1.XLS]______P_H_S_e_243"/>
      <sheetName val="[1.xls][1.xls]______P_H_S_e_249"/>
      <sheetName val="[1.xls][1.xls]______P_H_S_e_254"/>
      <sheetName val="[1.xls][1.xls]______P_H_S_e_250"/>
      <sheetName val="[1.xls][1.xls]______P_H_S_e_252"/>
      <sheetName val="[1.xls][1.XLS]______P_H_S_e_251"/>
      <sheetName val="[1.xls][1.xls]______P_H_S_e_255"/>
      <sheetName val="[1.xls][1.xls]______P_H_S_e_253"/>
      <sheetName val="[1.xls][1.xls]______P_H_S_e_258"/>
      <sheetName val="[1.xls][1.XLS]______P_H_S_e_256"/>
      <sheetName val="[1.xls][1.xls]______P_H_S_e_259"/>
      <sheetName val="[1.xls][1.xls]______P_H_S_e_257"/>
      <sheetName val="[1.xls][1.xls]______P_H_S_e_261"/>
      <sheetName val="[1.xls][1.xls]______P_H_S_e_263"/>
      <sheetName val="[1.xls][1.xls]______P_H_S_e_264"/>
      <sheetName val="[1.xls][1.xls]______P_H_S_e_265"/>
      <sheetName val="[1.xls][1.xls]______P_H_S_e_267"/>
      <sheetName val="[1.xls][1.xls]______P_H_S_e_269"/>
      <sheetName val="[1.xls][1.xls]______P_H_S_e_266"/>
      <sheetName val="[1.xls][1.xls]______P_H_S_e_268"/>
      <sheetName val="[1.xls][1.xls]______P_H_S_e_270"/>
      <sheetName val="[1.xls][1.xls]______P_H_S_e_271"/>
      <sheetName val="[1.xls][1.xls]______P_H_S_e_272"/>
      <sheetName val="[1.xls][1.XLS]______P_H_S_e_273"/>
      <sheetName val="[1.xls][1.XLS]______P_H_S_e_274"/>
      <sheetName val="[1.xls][1.xls]______P_H_S_e_276"/>
      <sheetName val="AHU硘Ï"/>
      <sheetName val="__MIGA_______TOWER_P_KBLEE____3"/>
      <sheetName val="중연"/>
      <sheetName val="손익총괄"/>
      <sheetName val="조정명세"/>
      <sheetName val="광주"/>
      <sheetName val="당해년도분석"/>
      <sheetName val="총매출액증감"/>
      <sheetName val="PU경상이익증감"/>
      <sheetName val="전략적목표REVIEW"/>
      <sheetName val="´ë±¸"/>
      <sheetName val="¾ð¾ç"/>
      <sheetName val="¿ë¿¬"/>
      <sheetName val="¿ï»ê"/>
      <sheetName val="Áß¿¬"/>
      <sheetName val="ÁøÃµ"/>
      <sheetName val="¼ÕÀÍÃÑ°ý"/>
      <sheetName val="Á¶Á¤¸í¼¼"/>
      <sheetName val="±¸¹Ì"/>
      <sheetName val="±¤ÁÖ"/>
      <sheetName val="Ç¥Áö"/>
      <sheetName val="´çÇØ³âµµºÐ¼®"/>
      <sheetName val="¼ÕÀÍºÐ¼®"/>
      <sheetName val="ÃÑ¸ÅÃâ¾×Áõ°¨"/>
      <sheetName val="PU°æ»óÀÌÀÍÁõ°¨"/>
      <sheetName val="Àü·«Àû¸ñÇ¥REVIEW"/>
      <sheetName val="¹°°¡ÀÚ·áºñ±³"/>
      <sheetName val="3»ç´Ü°¡ºñ±³"/>
      <sheetName val="´ëµ¿"/>
      <sheetName val="¼º¸²"/>
      <sheetName val="±Ý°­"/>
      <sheetName val="기초코드"/>
      <sheetName val="수로단위수량"/>
      <sheetName val="내장공사"/>
      <sheetName val="[1.xls][1.xls]______P_H_S_e_278"/>
      <sheetName val="단가조사표"/>
      <sheetName val="일위대가목록표"/>
      <sheetName val="예산내역서"/>
      <sheetName val="[1.xls][1.xls]______P_H_S_e_466"/>
      <sheetName val="[1.xls][1.XLS]______P_H_S_e_408"/>
      <sheetName val="12.재이용"/>
      <sheetName val="적산자료"/>
      <sheetName val="자재_계약일(2013_09_16)"/>
      <sheetName val="공통_계약일(2013_09_16)"/>
      <sheetName val="E.S적용금액 - 9차"/>
      <sheetName val="업체코드"/>
      <sheetName val="각 파트합본(제외업체삭제)"/>
      <sheetName val="[1.xls][1.xls]______P_H_S_e_293"/>
      <sheetName val="[1.xls][1.XLS]______P_H_S_e_292"/>
      <sheetName val="[1.xls][1.xls]______P_H_S_e_291"/>
      <sheetName val="[1.xls][1.XLS]______P_H_S_e_289"/>
      <sheetName val="협조전"/>
      <sheetName val="면적표"/>
      <sheetName val="[1.xls][1.xls]______P_H_S_e_288"/>
      <sheetName val="[1.xls][1.xls]______P_H_S_e_286"/>
      <sheetName val="[1.xls][1.XLS]______P_H_S_e_279"/>
      <sheetName val="[1.xls][1.xls]______P_H_S_e_280"/>
      <sheetName val="[1.xls][1.xls]______P_H_S_e_282"/>
      <sheetName val="[1.xls][1.xls]______P_H_S_e_283"/>
      <sheetName val="[1.xls][1.xls]______P_H_S_e_281"/>
      <sheetName val="[1.xls][1.xls]______P_H_S_e_285"/>
      <sheetName val="[1.xls][1.xls]______P_H_S_e_284"/>
      <sheetName val="[1.xls][1.xls]______P_H_S_e_287"/>
      <sheetName val="[1.xls][1.xls]______P_H_S_e_290"/>
      <sheetName val="[1.xls][1.xls]______P_H_S_e_294"/>
      <sheetName val="[1.xls][1.xls]______P_H_S_e_295"/>
      <sheetName val="[1.xls][1.xls]______P_H_S_e_296"/>
      <sheetName val="[1.xls][1.xls]______P_H_S_e_300"/>
      <sheetName val="[1.xls][1.XLS]______P_H_S_e_298"/>
      <sheetName val="[1.xls][1.XLS]______P_H_S_e_297"/>
      <sheetName val="[1.xls][1.xls]______P_H_S_e_299"/>
      <sheetName val="[1.xls][1.xls]______P_H_S_e_301"/>
      <sheetName val="[1.xls][1.xls]______P_H_S_e_302"/>
      <sheetName val="[1.xls][1.xls]______P_H_S_e_303"/>
      <sheetName val="[1.xls][1.XLS]______P_H_S_e_304"/>
      <sheetName val="[1.xls][1.xls]______P_H_S_e_306"/>
      <sheetName val="[1.xls][1.XLS]______P_H_S_e_305"/>
      <sheetName val="[1.xls][1.xls]______P_H_S_e_389"/>
      <sheetName val="[1.xls][1.XLS]______P_H_S_e_388"/>
      <sheetName val="A갑지"/>
      <sheetName val="비계,CON'C"/>
      <sheetName val="[1.XLS][1.XLS]___________exc_23"/>
      <sheetName val="[1.XLS][1.XLS]\\박근환\광주공장\excel\"/>
      <sheetName val="[1.XLS][1.XLS]___________exce_3"/>
      <sheetName val="[1.XLS][1.XLS]___________exce_2"/>
      <sheetName val="[1.XLS][1.XLS]___________exce_6"/>
      <sheetName val="[1.XLS][1.XLS]___________exce_4"/>
      <sheetName val="[1.XLS][1.XLS]___________exce_5"/>
      <sheetName val="[1.XLS][1.XLS]___________exce_7"/>
      <sheetName val="[1.XLS][1.XLS]___________exce_9"/>
      <sheetName val="[1.XLS][1.XLS]___________exce_8"/>
      <sheetName val="[1.XLS][1.XLS]___________exc_10"/>
      <sheetName val="[1.XLS][1.XLS]___________exc_11"/>
      <sheetName val="[1.XLS][1.XLS]___________exc_15"/>
      <sheetName val="[1.XLS][1.XLS]___________exc_14"/>
      <sheetName val="[1.XLS][1.XLS]___________exc_13"/>
      <sheetName val="[1.XLS][1.XLS]___________exc_12"/>
      <sheetName val="[1.XLS][1.XLS]___________exc_17"/>
      <sheetName val="[1.XLS][1.XLS]___________exc_16"/>
      <sheetName val="[1.XLS][1.XLS]___________exc_21"/>
      <sheetName val="[1.XLS][1.XLS]___________exc_20"/>
      <sheetName val="[1.XLS][1.XLS]___________exc_19"/>
      <sheetName val="[1.XLS][1.XLS]___________exc_18"/>
      <sheetName val="[1.XLS][1.XLS]___________exc_22"/>
      <sheetName val="[1.XLS][1.XLS]___________exc_36"/>
      <sheetName val="[1.XLS][1.XLS]___________exc_35"/>
      <sheetName val="[1.XLS][1.XLS]___________exc_24"/>
      <sheetName val="[1.XLS][1.XLS]___________exc_26"/>
      <sheetName val="[1.XLS][1.XLS]___________exc_25"/>
      <sheetName val="[1.XLS][1.XLS]___________exc_28"/>
      <sheetName val="[1.XLS][1.XLS]___________exc_27"/>
      <sheetName val="[1.XLS][1.XLS]___________exc_29"/>
      <sheetName val="[1.XLS][1.XLS]___________exc_30"/>
      <sheetName val="[1.XLS][1.XLS]___________exc_32"/>
      <sheetName val="[1.XLS][1.XLS]___________exc_31"/>
      <sheetName val="[1.XLS][1.XLS]___________exc_34"/>
      <sheetName val="[1.XLS][1.XLS]___________exc_33"/>
      <sheetName val="[1.XLS][1.XLS]___________exc_37"/>
      <sheetName val="[1.xls][1.XLS]___________exc_38"/>
      <sheetName val="[1.xls][1.XLS]___________exc_39"/>
      <sheetName val="[1.xls][1.XLS]___________exc_40"/>
      <sheetName val="[1.xls][1.XLS]______P_H_S_e_348"/>
      <sheetName val="공사비지불 (2)"/>
      <sheetName val="[1.xls][1.xls]______P_H_S_e_340"/>
      <sheetName val="[1.xls][1.xls]______P_H_S_e_338"/>
      <sheetName val="[1.xls][1.XLS]______P_H_S_e_336"/>
      <sheetName val="에너지성능지표က뎔迲_x0000_㸀蠿"/>
      <sheetName val="[1.xls][1.xls]__박_석_P_H_S_ex_10"/>
      <sheetName val="[1.xls][1.XLS]__박_석_P_H_S_exc_9"/>
      <sheetName val="[1.xls][1.xls]__박_석_P_H_S_ex_11"/>
      <sheetName val="[1.xls][1.xls]__박_석_P_H_S_ex_13"/>
      <sheetName val="[1.xls][1.XLS]__박_석_P_H_S_ex_12"/>
      <sheetName val="[1.xls][1.xls]__박_석_P_H_S_ex_14"/>
      <sheetName val="[1.xls][1.xls]__박_석_P_H_S_ex_15"/>
      <sheetName val="[1.xls][1.xls]__박_석_P_H_S_ex_17"/>
      <sheetName val="[1.xls][1.XLS]__박_석_P_H_S_ex_16"/>
      <sheetName val="[1.xls][1.xls]____석_P_H_S_exc_3"/>
      <sheetName val="[1.xls][1.xls]______P_H_S_e_333"/>
      <sheetName val="[1.xls][1.XLS]______P_H_S_e_326"/>
      <sheetName val="[1.xls][1.xls]______P_H_S_e_315"/>
      <sheetName val="[1.xls][1.XLS]______P_H_S_e_312"/>
      <sheetName val="[1.xls][1.xls]______P_H_S_e_311"/>
      <sheetName val="[1.xls][1.xls]______P_H_S_e_307"/>
      <sheetName val="[1.xls][1.xls]______P_H_S_e_308"/>
      <sheetName val="[1.xls][1.xls]______P_H_S_e_309"/>
      <sheetName val="영업소諠"/>
      <sheetName val="[1.xls][1.xls]______P_H_S_e_310"/>
      <sheetName val="[1.xls][1.xls]______P_H_S_e_317"/>
      <sheetName val="[1.xls][1.xls]______P_H_S_e_313"/>
      <sheetName val="[1.xls][1.xls]______P_H_S_e_314"/>
      <sheetName val="[1.xls][1.xls]______P_H_S_e_319"/>
      <sheetName val="[1.xls][1.xls]______P_H_S_e_316"/>
      <sheetName val="[1.xls][1.xls]______P_H_S_e_322"/>
      <sheetName val="[1.xls][1.xls]______P_H_S_e_318"/>
      <sheetName val="[1.xls][1.xls]______P_H_S_e_320"/>
      <sheetName val="[1.xls][1.xls]______P_H_S_e_321"/>
      <sheetName val="[1.xls][1.xls]______P_H_S_e_325"/>
      <sheetName val="[1.xls][1.xls]______P_H_S_e_323"/>
      <sheetName val="[1.xls][1.xls]______P_H_S_e_324"/>
      <sheetName val="[1.xls][1.xls]______P_H_S_e_327"/>
      <sheetName val="[1.xls][1.xls]______P_H_S_e_328"/>
      <sheetName val="[1.xls][1.xls]______P_H_S_e_330"/>
      <sheetName val="[1.xls][1.xls]______P_H_S_e_329"/>
      <sheetName val="[1.xls][1.xls]______P_H_S_e_331"/>
      <sheetName val="[1.xls][1.xls]______P_H_S_e_332"/>
      <sheetName val="[1.xls][1.xls]______P_H_S_e_334"/>
      <sheetName val="[1.xls][1.XLS]______P_H_S_e_335"/>
      <sheetName val="[1.xls][1.xls]______P_H_S_e_337"/>
      <sheetName val="[1.xls][1.xls]______P_H_S_e_339"/>
      <sheetName val="[1.xls][1.XLS]__박희__P_H_S_exc_7"/>
      <sheetName val="[1.xls][1.xls]______P_H_S_e_345"/>
      <sheetName val="96월별PL"/>
      <sheetName val="본부요청사항(개보수)"/>
      <sheetName val="2001년12월말"/>
      <sheetName val="[1.xls][1.xls]____석_P_H_S_exc_4"/>
      <sheetName val="3_7교축하중"/>
      <sheetName val="[1_xls][1_xls]______C______99_4"/>
      <sheetName val="[1_xls][1_xls]______C______99_3"/>
      <sheetName val="[1_xls][1_xls]______C______99_2"/>
      <sheetName val="[1_xls][1_xls]______C______99_7"/>
      <sheetName val="[1_xls][1_xls]______C______99_6"/>
      <sheetName val="[1_xls][1_xls]______C______99_5"/>
      <sheetName val="2-1__경관조명_내역총괄표"/>
      <sheetName val="돌담교_상부수량"/>
      <sheetName val="MAIN_GATE_HOUSE"/>
      <sheetName val="CRUDE_RE-bar"/>
      <sheetName val="[1.xls][1.xls]______P_H_S_e_343"/>
      <sheetName val="[1.xls][1.XLS]______P_H_S_e_342"/>
      <sheetName val="[1.xls][1.XLS]______P_H_S_e_341"/>
      <sheetName val="[1.xls][1.xls]______P_H_S_e_344"/>
      <sheetName val="[1.xls][1.xls]______P_H_S_e_347"/>
      <sheetName val="[1.xls][1.xls]______P_H_S_e_346"/>
      <sheetName val="물가시세표"/>
      <sheetName val="_x005f_x000f__x005f_x0000_"/>
      <sheetName val="구조물공총"/>
      <sheetName val="돌붙임계"/>
      <sheetName val="돌붙임단위"/>
      <sheetName val="옹벽조서"/>
      <sheetName val="반중력식옹벽수량"/>
      <sheetName val="신축이음"/>
      <sheetName val="18˗"/>
      <sheetName val="[1.xls][1.xls]______P_H_S_e_349"/>
      <sheetName val="[1.xls][1.xls]______P_H_S_e_384"/>
      <sheetName val="[1.xls][1.XLS]______P_H_S_e_383"/>
      <sheetName val="[1.xls][1.xls]______P_H_S_e_356"/>
      <sheetName val="[1.xls][1.xls]______P_H_S_e_357"/>
      <sheetName val="[1.xls][1.xls]______P_H_S_e_350"/>
      <sheetName val="[1.xls][1.xls]______P_H_S_e_352"/>
      <sheetName val="[1.xls][1.xls]______P_H_S_e_355"/>
      <sheetName val="[1.xls][1.xls]______P_H_S_e_351"/>
      <sheetName val="[1.xls][1.xls]______P_H_S_e_353"/>
      <sheetName val="[1.xls][1.xls]______P_H_S_e_354"/>
      <sheetName val="[1.xls][1.xls]______P_H_S_e_362"/>
      <sheetName val="[1.xls][1.XLS]______P_H_S_e_361"/>
      <sheetName val="[1.xls][1.XLS]______P_H_S_e_358"/>
      <sheetName val="[1.xls][1.XLS]______P_H_S_e_359"/>
      <sheetName val="[1.xls][1.XLS]______P_H_S_e_360"/>
      <sheetName val="[1.xls][1.xls]______P_H_S_e_363"/>
      <sheetName val="[1.xls][1.xls]______P_H_S_e_364"/>
      <sheetName val="[1.xls][1.xls]______P_H_S_e_365"/>
      <sheetName val="[1.xls][1.xls]______P_H_S_e_366"/>
      <sheetName val="[1.xls][1.xls]______P_H_S_e_375"/>
      <sheetName val="[1.xls][1.xls]______P_H_S_e_372"/>
      <sheetName val="[1.xls][1.xls]______P_H_S_e_367"/>
      <sheetName val="[1.xls][1.xls]______P_H_S_e_368"/>
      <sheetName val="[1.xls][1.xls]______P_H_S_e_369"/>
      <sheetName val="[1.xls][1.XLS]______P_H_S_e_370"/>
      <sheetName val="[1.xls][1.XLS]______P_H_S_e_371"/>
      <sheetName val="[1.xls][1.xls]______P_H_S_e_373"/>
      <sheetName val="[1.xls][1.xls]______P_H_S_e_374"/>
      <sheetName val="[1.xls][1.xls]______P_H_S_e_382"/>
      <sheetName val="[1.xls][1.xls]______P_H_S_e_376"/>
      <sheetName val="[1.xls][1.xls]______P_H_S_e_377"/>
      <sheetName val="[1.xls][1.xls]______P_H_S_e_378"/>
      <sheetName val="[1.xls][1.xls]______P_H_S_e_379"/>
      <sheetName val="[1.xls][1.xls]______P_H_S_e_380"/>
      <sheetName val="[1.xls][1.xls]______P_H_S_e_381"/>
      <sheetName val="[1.xls][1.xls]______P_H_S_e_386"/>
      <sheetName val="[1.xls][1.xls]______P_H_S_e_387"/>
      <sheetName val="[1.xls][1.xls]______P_H_S_e_385"/>
      <sheetName val="[1.xls][1.xls]______P_H_S_e_390"/>
      <sheetName val="[1.xls][1.xls]______P_H_S_e_391"/>
      <sheetName val="[1.xls][1.xls]______P_H_S_e_392"/>
      <sheetName val="[1.xls][1.xls]______P_H_S_e_393"/>
      <sheetName val="[1.xls][1.XLS]______P_H_S_e_394"/>
      <sheetName val="[1.xls][1.xls]______P_H_S_e_407"/>
      <sheetName val="[1.xls][1.XLS]______P_H_S_e_406"/>
      <sheetName val="[1.xls][1.xls]______P_H_S_e_405"/>
      <sheetName val="[1.xls][1.XLS]______P_H_S_e_404"/>
      <sheetName val="[1.xls][1.xls]______P_H_S_e_402"/>
      <sheetName val="[1.xls][1.XLS]______P_H_S_e_401"/>
      <sheetName val="[1.xls][1.xls]______P_H_S_e_399"/>
      <sheetName val="정릉_xdaf8_缡_x0000_"/>
      <sheetName val="[1.xls][1.xls]______P_H_S_e_396"/>
      <sheetName val="[1.xls][1.xls]______P_H_S_e_395"/>
      <sheetName val="[1.xls][1.xls]______P_H_S_e_398"/>
      <sheetName val="[1.xls][1.xls]______P_H_S_e_397"/>
      <sheetName val="[1.xls][1.xls]______P_H_S_e_400"/>
      <sheetName val="[1.xls][1.xls]______P_H_S_e_403"/>
      <sheetName val="[1.xls][1.XLS]___희석_P_H_S_exc_4"/>
      <sheetName val="[1.xls][1.xls]__박희석_P_H_S_exc_5"/>
      <sheetName val="[1.xls][1.xls]______P_H_S_e_467"/>
      <sheetName val="[1.xls][1.XLS]___________exc_41"/>
      <sheetName val="[1.xls][1.XLS]___________exc_42"/>
      <sheetName val="[1.xls][1.XLS]___________exc_43"/>
      <sheetName val="수량조서"/>
      <sheetName val="손익구조"/>
      <sheetName val="재무자료"/>
      <sheetName val="[1.xls][1.xls]______P_H_S_e_409"/>
      <sheetName val="[1.xls][1.xls]______P_H_S_e_420"/>
      <sheetName val="[1.xls][1.xls]______P_H_S_e_418"/>
      <sheetName val="[1.xls][1.xls]______P_H_S_e_417"/>
      <sheetName val="[1.xls][1.xls]______P_H_S_e_412"/>
      <sheetName val="[1.xls][1.xls]______P_H_S_e_411"/>
      <sheetName val="[1.xls][1.xls]______P_H_S_e_410"/>
      <sheetName val="[1.xls][1.XLS]______P_H_S_e_416"/>
      <sheetName val="[1.xls][1.xls]______P_H_S_e_413"/>
      <sheetName val="[1.xls][1.XLS]______P_H_S_e_414"/>
      <sheetName val="[1.xls][1.XLS]______P_H_S_e_415"/>
      <sheetName val="[1.xls][1.XLS]______P_H_S_e_419"/>
      <sheetName val="[1.xls][1.xls]______P_H_S_e_421"/>
      <sheetName val="[1.xls][1.XLS]______P_H_S_e_426"/>
      <sheetName val="[1.xls][1.xls]______P_H_S_e_422"/>
      <sheetName val="[1.xls][1.XLS]______P_H_S_e_424"/>
      <sheetName val="[1.xls][1.xls]______P_H_S_e_423"/>
      <sheetName val="[1.xls][1.XLS]______P_H_S_e_425"/>
      <sheetName val="[1.xls][1.xls]__박희석_P_H_S_exc_6"/>
      <sheetName val="[1.xls][1.xls]______P_H_S_e_439"/>
      <sheetName val="[1.xls][1.xls]______P_H_S_e_431"/>
      <sheetName val="[1.xls][1.xls]______P_H_S_e_429"/>
      <sheetName val="[1.xls][1.xls]______P_H_S_e_430"/>
      <sheetName val="[1.xls][1.xls]______P_H_S_e_428"/>
      <sheetName val="[1.xls][1.xls]______P_H_S_e_427"/>
      <sheetName val="3. KC - PODIUM"/>
      <sheetName val="1.개요입력"/>
      <sheetName val="[1.xls][1.xls]______P_H_S_e_432"/>
      <sheetName val="[1.xls][1.xls]______P_H_S_e_433"/>
      <sheetName val="[1.xls][1.xls]______P_H_S_e_434"/>
      <sheetName val="[1.xls][1.xls]______P_H_S_e_435"/>
      <sheetName val="[1.xls][1.xls]______P_H_S_e_437"/>
      <sheetName val="[1.xls][1.xls]______P_H_S_e_436"/>
      <sheetName val="[1.xls][1.xls]______P_H_S_e_438"/>
      <sheetName val="[1.xls][1.xls]______P_H_S_e_440"/>
      <sheetName val="[1.xls][1.xls]______P_H_S_e_441"/>
      <sheetName val="[1.xls][1.xls]______P_H_S_e_443"/>
      <sheetName val="[1.xls][1.xls]______P_H_S_e_442"/>
      <sheetName val="[1.xls][1.xls]______P_H_S_e_444"/>
      <sheetName val="[1.xls][1.xls]______P_H_S_e_445"/>
      <sheetName val="[1.xls][1.xls]______P_H_S_e_448"/>
      <sheetName val="[1.xls][1.xls]______P_H_S_e_447"/>
      <sheetName val="[1.xls][1.xls]______P_H_S_e_446"/>
      <sheetName val="[1.xls][1.xls]______P_H_S_e_450"/>
      <sheetName val="[1.xls][1.xls]______P_H_S_e_451"/>
      <sheetName val="[1.xls][1.XLS]______P_H_S_e_449"/>
      <sheetName val="전년,계획,실적(작업)"/>
      <sheetName val="[1.xls][1.xls]______P_H_S_e_452"/>
      <sheetName val="[1.xls][1.xls]______P_H_S_e_453"/>
      <sheetName val="[1.xls][1.xls]______P_H_S_e_454"/>
      <sheetName val="[1.xls][1.xls]______P_H_S_e_458"/>
      <sheetName val="[1.xls][1.XLS]______P_H_S_e_456"/>
      <sheetName val="[1.xls][1.XLS]______P_H_S_e_455"/>
      <sheetName val="[1.xls][1.xls]______P_H_S_e_457"/>
      <sheetName val="[1.xls][1.xls]______P_H_S_e_459"/>
      <sheetName val="[1.xls][1.xls]______P_H_S_e_465"/>
      <sheetName val="[1.xls][1.xls]______P_H_S_e_460"/>
      <sheetName val="[1.xls][1.xls]______P_H_S_e_461"/>
      <sheetName val="[1.xls][1.xls]______P_H_S_e_462"/>
      <sheetName val="[1.xls][1.xls]______P_H_S_e_463"/>
      <sheetName val="[1.xls][1.xls]______P_H_S_e_464"/>
      <sheetName val="[1.xls][1.xls]______P_H_S_e_468"/>
      <sheetName val="관경"/>
      <sheetName val="1.건물개요"/>
      <sheetName val="2.설계조건"/>
      <sheetName val="4. 열원설비"/>
      <sheetName val="5.환기설비"/>
      <sheetName val="5.3환기팬선정"/>
      <sheetName val="6-1급수"/>
      <sheetName val="6-2급탕"/>
      <sheetName val="6-3 배수"/>
      <sheetName val="6-4 위생용 펌프선정"/>
      <sheetName val="위생기구"/>
      <sheetName val="전기실 풍량"/>
      <sheetName val="증기열원의집계"/>
      <sheetName val="보일러의선정"/>
      <sheetName val="8-3 환기유니트"/>
      <sheetName val="업협"/>
      <sheetName val="열린교실"/>
      <sheetName val="토공집계표"/>
      <sheetName val="주민복지관"/>
      <sheetName val="산출금액내역"/>
      <sheetName val="토공사및_흙막이공사9"/>
      <sheetName val="써100_(A4)9"/>
      <sheetName val="남양시작동자105노65기1_3화1_29"/>
      <sheetName val="97_사업추정(WEKI)9"/>
      <sheetName val="표지_(2)9"/>
      <sheetName val="unit_49"/>
      <sheetName val="F_C_U_ZONE집계9"/>
      <sheetName val="A_H_U_ZONE별집계9"/>
      <sheetName val="PAC_집계9"/>
      <sheetName val="1_가스소비량9"/>
      <sheetName val="1-3_가스관경계산-19"/>
      <sheetName val="1-4_가스관경계산-29"/>
      <sheetName val="1-5_가스관경계산-39"/>
      <sheetName val="1-6_가스관경계산-4_9"/>
      <sheetName val="1-7_가스관경계산-59"/>
      <sheetName val="1-7_가스차압산출9"/>
      <sheetName val="덕트_및_배기그릴선정9"/>
      <sheetName val="OCT_FDN9"/>
      <sheetName val="EXT_CHECK9"/>
      <sheetName val="P-127E1,E2_9"/>
      <sheetName val="P-123E1,E2_9"/>
      <sheetName val="P-128E_9"/>
      <sheetName val="1_견적서목록9"/>
      <sheetName val="부하계산서_(영문)9"/>
      <sheetName val="PEND-ITEM_(2)9"/>
      <sheetName val="견적표지_(횡)9"/>
      <sheetName val="부하집계표_(2안)9"/>
      <sheetName val="부하계산서_9"/>
      <sheetName val="UNIT_COOLER_선정표9"/>
      <sheetName val="ACCUMULALOR_(2안)9"/>
      <sheetName val="동력집계표_(2안)9"/>
      <sheetName val="cooling_tower_(2)9"/>
      <sheetName val="cooling_water_pump9"/>
      <sheetName val="DEFROEST_PUMP9"/>
      <sheetName val="기기선정표_(2안)9"/>
      <sheetName val="cooling_tower9"/>
      <sheetName val="부하집계표_(2)9"/>
      <sheetName val="토목내역서_(도급단가)9"/>
      <sheetName val="BEND_LOSS9"/>
      <sheetName val="（３）_9"/>
      <sheetName val="목차_(2)9"/>
      <sheetName val="1-1_손익(부문별)9"/>
      <sheetName val="1-2_손익(월별)9"/>
      <sheetName val="2-1_판관비(부문)9"/>
      <sheetName val="2-2_판관비(월별)9"/>
      <sheetName val="3-1_수익비용(부문별)9"/>
      <sheetName val="3-2_수익비용(월별)9"/>
      <sheetName val="4-1_투자(부문)9"/>
      <sheetName val="4-2_투자(월별)9"/>
      <sheetName val="5-1_인원(부문)9"/>
      <sheetName val="5-2_인원(월별)9"/>
      <sheetName val="6_산출근거9"/>
      <sheetName val="7_현금흐름9"/>
      <sheetName val="마케팅1_(2)9"/>
      <sheetName val="마케팅1_(3)9"/>
      <sheetName val="마케팅1_(4)9"/>
      <sheetName val="01_1담당매출계획27_8$9"/>
      <sheetName val="01매출계획_선용품9"/>
      <sheetName val="작업악성채권직원판매제외(거래선별)_9"/>
      <sheetName val="작업악성채권직원판매제외_(담당별종합)9"/>
      <sheetName val="작업악성채권직원판매제외_(담당별)9"/>
      <sheetName val="판촉비예산_9"/>
      <sheetName val="인테리어_시설9"/>
      <sheetName val="파_3층_특설_장치장식비9"/>
      <sheetName val="총괄_(03년11월)h&amp;s9"/>
      <sheetName val="총괄_(03년11월)여행9"/>
      <sheetName val="세부내용_(03년11월)여행9"/>
      <sheetName val="개인_세부내용_(03년11월)여행9"/>
      <sheetName val="동구일반상품_9"/>
      <sheetName val="TRE_TABLE9"/>
      <sheetName val="PE거푸집(1_2)9"/>
      <sheetName val="PUNCH_LIST9"/>
      <sheetName val="WELDING_JOINT_INSPECTION_STATU9"/>
      <sheetName val="WEIGHT_LIST9"/>
      <sheetName val="산#2-1_(2)9"/>
      <sheetName val="P_M_별9"/>
      <sheetName val="1차_내역서9"/>
      <sheetName val="3_건축(현장안)9"/>
      <sheetName val="A_LINE9"/>
      <sheetName val="2_2_10_샤시등9"/>
      <sheetName val="A3_공사비_검토9"/>
      <sheetName val="C3_토목_옹벽9"/>
      <sheetName val="A6_샤시등9"/>
      <sheetName val="7_수지9"/>
      <sheetName val="TOWER_12TON9"/>
      <sheetName val="JIB_CRANE,HOIST9"/>
      <sheetName val="TOWER_10TON9"/>
      <sheetName val="토공(우물통,기타)_9"/>
      <sheetName val="BSD__2_9"/>
      <sheetName val="내역서_(2)9"/>
      <sheetName val="배수입상_9"/>
      <sheetName val="1장_9"/>
      <sheetName val="1_개요_9"/>
      <sheetName val="2_조건_9"/>
      <sheetName val="3_공식붙임9"/>
      <sheetName val="4장_9"/>
      <sheetName val="1_AHU_9"/>
      <sheetName val="2_AHU-19"/>
      <sheetName val="2_FAN9"/>
      <sheetName val="1_급탕9"/>
      <sheetName val="6장_별첨9"/>
      <sheetName val="내역서_(3)9"/>
      <sheetName val="내역서_(4)9"/>
      <sheetName val="전선_및_전선관9"/>
      <sheetName val="추정공사비_산출결과9"/>
      <sheetName val="에너지성능지표검토서(기계,_전기,_신재생)9"/>
      <sheetName val="월별손익(용역)_9"/>
      <sheetName val="1-1_손익(온정각)9"/>
      <sheetName val="1-1_손익(관광식당)9"/>
      <sheetName val="1-1_손익(직원식당)9"/>
      <sheetName val="1-2_월별손익(온정각)9"/>
      <sheetName val="1-2_월별손익(관광식당)9"/>
      <sheetName val="1-2_월별손익(직원식당)9"/>
      <sheetName val="2-1_판관비(지원)9"/>
      <sheetName val="2-1_판관비(관광)9"/>
      <sheetName val="2-1_판관비(직원)_9"/>
      <sheetName val="2-1_판관비(온정각)9"/>
      <sheetName val="2000년_공정표8"/>
      <sheetName val="2-2_월별판관비(온정각)9"/>
      <sheetName val="구조______8"/>
      <sheetName val="IMP_(REACTOR)8"/>
      <sheetName val="아파트_9"/>
      <sheetName val="1_수인터널8"/>
      <sheetName val="갑지_(2)8"/>
      <sheetName val="비목별_투자_집계8"/>
      <sheetName val="자재비내역_8"/>
      <sheetName val="운반비_내역8"/>
      <sheetName val="사무_용품비8"/>
      <sheetName val="지대_및_집세8"/>
      <sheetName val="갑지_2_(2)8"/>
      <sheetName val="갑지_28"/>
      <sheetName val="2-2_월별판관비(지원)9"/>
      <sheetName val="2-2_월별판관비(직원)9"/>
      <sheetName val="2-2_월별판관비(휴게소)9"/>
      <sheetName val="2-2_월별판관비(스넥코너)9"/>
      <sheetName val="2-2_월별판관비(음료코너)9"/>
      <sheetName val="2-2_월별판관비(온천장)9"/>
      <sheetName val="5-1_인원(온정각)9"/>
      <sheetName val="99년누계_(월별)9"/>
      <sheetName val="플랜트_설치8"/>
      <sheetName val="콤보박스와_리스트박스의_연결8"/>
      <sheetName val="0_갑지8"/>
      <sheetName val="1_공통가설공사8"/>
      <sheetName val="2_토목공사8"/>
      <sheetName val="3_건축공사8"/>
      <sheetName val="4_설비공사8"/>
      <sheetName val="5_전기공사8"/>
      <sheetName val="7_안전관리비8"/>
      <sheetName val="8_현장관리비8"/>
      <sheetName val="인원투입_계획표8"/>
      <sheetName val="공사계약현황_(기계설비))8"/>
      <sheetName val="공사계약현황_(전기)8"/>
      <sheetName val="2000_058"/>
      <sheetName val="1_설계조건8"/>
      <sheetName val="공사예산하조서(O_K)8"/>
      <sheetName val="C_배수관공8"/>
      <sheetName val="수목데이타_8"/>
      <sheetName val="고효율_유도전동기_적용비율_계산서9"/>
      <sheetName val="정산서_8"/>
      <sheetName val="역T형옹벽(3_0)8"/>
      <sheetName val="1_설계기준8"/>
      <sheetName val="5_공종별예산내역서8"/>
      <sheetName val="건축실행__(5)8"/>
      <sheetName val="참고용_(2)8"/>
      <sheetName val="COMPARISON_TABLE8"/>
      <sheetName val="Eq__Mobilization8"/>
      <sheetName val="간접비_총괄표8"/>
      <sheetName val="1_CB8"/>
      <sheetName val="1_CB_(2)8"/>
      <sheetName val="1_CB_(3)8"/>
      <sheetName val="2_냉난방설비공사8"/>
      <sheetName val="7_자동제어공사8"/>
      <sheetName val="1_취수장8"/>
      <sheetName val="3_고급화검토8"/>
      <sheetName val="2_공사비_검토8"/>
      <sheetName val="6PILE__(돌출)8"/>
      <sheetName val="C급보_8"/>
      <sheetName val="wage_Cal8"/>
      <sheetName val="단가_3"/>
      <sheetName val="수량산출서_갑지3"/>
      <sheetName val="일단의_주택지3"/>
      <sheetName val="실행내역_3"/>
      <sheetName val="입출재고현황_(2)3"/>
      <sheetName val="4-3_보온_기본물량집계3"/>
      <sheetName val="하도내역_(철콘)3"/>
      <sheetName val="Mech_CIF8"/>
      <sheetName val="비교손익계산서_3"/>
      <sheetName val="2003_123"/>
      <sheetName val="2002_123"/>
      <sheetName val="영업_일13"/>
      <sheetName val="환경기계공정표_(3)3"/>
      <sheetName val="SEV_wiress4_Total3"/>
      <sheetName val="SEV_wireles_4__fire_fighting_3"/>
      <sheetName val="SEV_wireles_4__fire_Alarm3"/>
      <sheetName val="B_1-13"/>
      <sheetName val="B_1-23"/>
      <sheetName val="B_1-33"/>
      <sheetName val="B_1-43"/>
      <sheetName val="B_1-53"/>
      <sheetName val="B_1-63"/>
      <sheetName val="B_1-73"/>
      <sheetName val="B_23"/>
      <sheetName val="B_33"/>
      <sheetName val="B_43"/>
      <sheetName val="B_6-13"/>
      <sheetName val="B_6-23"/>
      <sheetName val="7_경제성결과3"/>
      <sheetName val="2_대외공문3"/>
      <sheetName val="인건비_3"/>
      <sheetName val="2__공원조도3"/>
      <sheetName val="4-0_툫자3"/>
      <sheetName val="단위세대_개요3"/>
      <sheetName val="1_집계표3"/>
      <sheetName val="2_공통가설공사3"/>
      <sheetName val="4_기계설비공사3"/>
      <sheetName val="7__안전관리비3"/>
      <sheetName val="식대_숙직비3"/>
      <sheetName val="DATA_입력란3"/>
      <sheetName val="1__설계조건_2_단면가정_3__하중계산3"/>
      <sheetName val="3련_BOX3"/>
      <sheetName val="1_설계조건_3"/>
      <sheetName val="설계기준설명_3"/>
      <sheetName val="2_단면가정_(BASE)3"/>
      <sheetName val="3_하중및토압_(고정)3"/>
      <sheetName val="4_작용하중(고정)3"/>
      <sheetName val="5_안정검토(고정)(풍화암)3"/>
      <sheetName val="6_벽체계산3"/>
      <sheetName val="7_흉벽계산(ASCON)3"/>
      <sheetName val="8_FOOTING3"/>
      <sheetName val="9_날개벽3"/>
      <sheetName val="10_교좌받침3"/>
      <sheetName val="11_접속슬라브(ASCON)3"/>
      <sheetName val="1_구리중_(제조사A)3"/>
      <sheetName val="1_구리중_(제조사B)3"/>
      <sheetName val="1_구리중_(제조사C)3"/>
      <sheetName val="2_토평초(제조사A)3"/>
      <sheetName val="2_토평초(제조사B)3"/>
      <sheetName val="2_토평초(제조사C)3"/>
      <sheetName val="3_평내초(제조사A)3"/>
      <sheetName val="3_평내초(제조사B)3"/>
      <sheetName val="3_평내초(제조사C)3"/>
      <sheetName val="실외기_배관트레이3"/>
      <sheetName val="중앙콘트롤러설치용전선_3"/>
      <sheetName val="토목내역_(2)3"/>
      <sheetName val="EQUIPMENT_-23"/>
      <sheetName val="할증_3"/>
      <sheetName val="승용C_S3"/>
      <sheetName val="상용C_S3"/>
      <sheetName val="BSD_(2)3"/>
      <sheetName val="프린트_(3)3"/>
      <sheetName val="간지-2_(2)3"/>
      <sheetName val="_1__개요3"/>
      <sheetName val="_2__난방설비3"/>
      <sheetName val="열관류율_계산서3"/>
      <sheetName val="2_3_세대별난방부하집계3"/>
      <sheetName val="GEN_3"/>
      <sheetName val="을_13"/>
      <sheetName val="을_23"/>
      <sheetName val="신단가_(내진설치비)3"/>
      <sheetName val="보일러_선정3"/>
      <sheetName val="84A_(2)3"/>
      <sheetName val="84B_(2)3"/>
      <sheetName val="84C_(2)3"/>
      <sheetName val="101A_(2)3"/>
      <sheetName val="101B_(2)3"/>
      <sheetName val="101C_(2)3"/>
      <sheetName val="난방부하집계_(2)3"/>
      <sheetName val="2_3_세대별난방부하집계_(2)3"/>
      <sheetName val="보일러_선정_(2)3"/>
      <sheetName val="4_급수설비3"/>
      <sheetName val="4_2_급수입상배관3"/>
      <sheetName val="4_3_급수횡주관3"/>
      <sheetName val="5_1_열교환기3"/>
      <sheetName val="9,10월신제품_(2)3"/>
      <sheetName val="건___축3"/>
      <sheetName val="crude_SLAB_RE-bar3"/>
      <sheetName val="자__재3"/>
      <sheetName val="12_173"/>
      <sheetName val="가스공사_3"/>
      <sheetName val="내역서1999_8최종3"/>
      <sheetName val="수배전반_을지3"/>
      <sheetName val="Bag_Filter_Sizing3"/>
      <sheetName val="BOX구조해석_설명서3"/>
      <sheetName val="철근량_검토3"/>
      <sheetName val="1_공사개요(입력)3"/>
      <sheetName val="LEGEND_i3"/>
      <sheetName val="4_3__급수펌프선정3"/>
      <sheetName val="4_3_2_급탕순환펌프3"/>
      <sheetName val="4_3_3__배수펌프3"/>
      <sheetName val="4_4__전기온수기3"/>
      <sheetName val="4_5__보일러3"/>
      <sheetName val="4_4__급탕탱크3"/>
      <sheetName val="4_6__급탕탱크3"/>
      <sheetName val="준검_내역서3"/>
      <sheetName val="1_내역(청_하역장전등)3"/>
      <sheetName val="G_R300경비3"/>
      <sheetName val="3BL공동구_수량3"/>
      <sheetName val="집_계_표3"/>
      <sheetName val="전화_인터넷(현장)3"/>
      <sheetName val="3_0냉난방열원집계3"/>
      <sheetName val="4_1AHU3"/>
      <sheetName val="4_3_공기압축기3"/>
      <sheetName val="4_7_전기라디에타_3"/>
      <sheetName val="4_9_AC_3"/>
      <sheetName val="4_11_FAN3"/>
      <sheetName val="4_12_TANK_4_13_탈취기3"/>
      <sheetName val="4_14_PUMP3"/>
      <sheetName val="5_위생설비3"/>
      <sheetName val="15_문제점3"/>
      <sheetName val="8_PILE__(돌출)3"/>
      <sheetName val="Sheet2_(2)3"/>
      <sheetName val="6__안전관리비3"/>
      <sheetName val="5__현장관리비(new)_3"/>
      <sheetName val="평형별_세대수3"/>
      <sheetName val="정계약_현황3"/>
      <sheetName val="1_기계_납품_진행__현황3"/>
      <sheetName val="2_협력업체_담당자_및_연락처3"/>
      <sheetName val="파주_운정지구_A8블럭3"/>
      <sheetName val="_총괄표3"/>
      <sheetName val="블럭_손익3"/>
      <sheetName val="총_원가계산3"/>
      <sheetName val="5_세운W-A3"/>
      <sheetName val="현장관리비_산출내역"/>
      <sheetName val="Internal_Floor"/>
      <sheetName val="MEEDCO_Vehicle_List"/>
      <sheetName val="내역서_"/>
      <sheetName val="Check_List"/>
      <sheetName val="사원증_제작"/>
      <sheetName val="메일,_웹하드"/>
      <sheetName val="협업,_협회"/>
      <sheetName val="Sheet3_(2)"/>
      <sheetName val="일위대가_집계표"/>
      <sheetName val="간접비_"/>
      <sheetName val="급수_(LPM)"/>
      <sheetName val="3-3_빙축열시스템부하"/>
      <sheetName val="[1_xls][1_xls]______C______99_8"/>
      <sheetName val="[1_xls][1_xls]______P_H_S_ex_17"/>
      <sheetName val="[1_xls][1_XLS]______P_H_S_ex_14"/>
      <sheetName val="[1_XLS][1_XLS]______P_H_S_exc_4"/>
      <sheetName val="[1_XLS][1_XLS]______P_H_S_exc_2"/>
      <sheetName val="[1_XLS][1_XLS]______P_H_S_exc_3"/>
      <sheetName val="[1_XLS][1_XLS]______P_H_S_exc_5"/>
      <sheetName val="[1_XLS][1_XLS]______P_H_S_exc_8"/>
      <sheetName val="[1_XLS][1_XLS]______P_H_S_exc_7"/>
      <sheetName val="[1_XLS][1_XLS]______P_H_S_exc_6"/>
      <sheetName val="[1_XLS][1_XLS]______P_H_S_exc_9"/>
      <sheetName val="[1_XLS][1_XLS]______P_H_S_ex_11"/>
      <sheetName val="[1_XLS][1_XLS]______P_H_S_ex_10"/>
      <sheetName val="[1_XLS][1_XLS]______P_H_S_ex_13"/>
      <sheetName val="[1_XLS][1_XLS]______P_H_S_ex_12"/>
      <sheetName val="[1_xls][1_xls]______P_H_S_ex_15"/>
      <sheetName val="[1_xls][1_xls]______P_H_S_ex_16"/>
      <sheetName val="[1_xls][1_xls]______P_H_S_ex_50"/>
      <sheetName val="[1_xls][1_xls]______P_H_S_ex_18"/>
      <sheetName val="Q(&amp;F)蓑ĀNateOn_정보(&amp;V)"/>
      <sheetName val="?"/>
      <sheetName val="[1_xls][1_xls]______P_H_S_ex_19"/>
      <sheetName val="[1_xls][1_xls]______P_H_S_ex_20"/>
      <sheetName val="[1_xls][1_xls]______P_H_S_ex_21"/>
      <sheetName val="[1_xls][1_xls]______P_H_S_ex_22"/>
      <sheetName val="[1_xls][1_xls]______P_H_S_ex_23"/>
      <sheetName val="[1_xls][1_xls]______P_H_S_ex_24"/>
      <sheetName val="[1_xls][1_xls]______P_H_S_ex_25"/>
      <sheetName val="[1_xls][1_xls]______P_H_S_ex_26"/>
      <sheetName val="[1_xls][1_xls]______P_H_S_ex_27"/>
      <sheetName val="[1_xls][1_xls]______P_H_S_ex_28"/>
      <sheetName val="[1_xls][1_xls]______P_H_S_ex_30"/>
      <sheetName val="[1_xls][1_xls]______P_H_S_ex_29"/>
      <sheetName val="[1_xls][1_xls]______P_H_S_ex_31"/>
      <sheetName val="[1_xls][1_xls]______P_H_S_ex_32"/>
      <sheetName val="[1_xls][1_xls]______P_H_S_ex_33"/>
      <sheetName val="[1_xls][1_xls]______P_H_S_ex_34"/>
      <sheetName val="[1_xls][1_xls]______P_H_S_ex_35"/>
      <sheetName val="[1_xls][1_xls]______P_H_S_ex_36"/>
      <sheetName val="[1_xls][1_xls]______P_H_S_ex_37"/>
      <sheetName val="[1_xls][1_xls]______P_H_S_ex_38"/>
      <sheetName val="[1_xls][1_xls]______P_H_S_ex_39"/>
      <sheetName val="[1_xls][1_xls]______P_H_S_ex_40"/>
      <sheetName val="[1_xls][1_xls]______P_H_S_ex_41"/>
      <sheetName val="[1_xls][1_xls]______P_H_S_ex_42"/>
      <sheetName val="[1_xls][1_xls]______P_H_S_ex_43"/>
      <sheetName val="[1_xls][1_xls]______P_H_S_ex_44"/>
      <sheetName val="[1_xls][1_xls]______P_H_S_ex_45"/>
      <sheetName val="[1_xls][1_xls]______P_H_S_ex_46"/>
      <sheetName val="[1_xls][1_xls]______P_H_S_ex_47"/>
      <sheetName val="[1_xls][1_xls]______P_H_S_ex_48"/>
      <sheetName val="[1_xls][1_xls]______P_H_S_ex_49"/>
      <sheetName val="[1_xls][1_xls]______P_H_S_ex_71"/>
      <sheetName val="[1_xls][1_xls]______P_H_S_ex_51"/>
      <sheetName val="중기조종사_단위단가"/>
      <sheetName val="[1_xls][1_xls]______P_H_S_ex_52"/>
      <sheetName val="[1_xls][1_xls]______P_H_S_ex_54"/>
      <sheetName val="[1_xls][1_xls]______P_H_S_ex_55"/>
      <sheetName val="난간기초_(길이별)"/>
      <sheetName val="[1_xls][1_xls]______P_H_S_ex_53"/>
      <sheetName val="[1_xls][1_xls]______P_H_S_ex_56"/>
      <sheetName val="[1_xls][1_xls]______P_H_S_ex_57"/>
      <sheetName val="[1_xls][1_xls]______P_H_S_ex_58"/>
      <sheetName val="[1_xls][1_xls]______P_H_S_ex_60"/>
      <sheetName val="[1_xls][1_xls]______P_H_S_ex_59"/>
      <sheetName val="[1_xls][1_xls]______P_H_S_ex_61"/>
      <sheetName val="[1_xls][1_xls]______P_H_S_ex_62"/>
      <sheetName val="[1_xls][1_xls]______P_H_S_ex_63"/>
      <sheetName val="[1_xls][1_xls]______P_H_S_ex_64"/>
      <sheetName val="[1_xls][1_xls]______P_H_S_ex_65"/>
      <sheetName val="[1_xls][1_xls]______P_H_S_ex_66"/>
      <sheetName val="[1_xls][1_xls]______P_H_S_ex_67"/>
      <sheetName val="[1_xls][1_xls]______P_H_S_ex_68"/>
      <sheetName val="99생산계획_(1,300)"/>
      <sheetName val="[1_xls][1_xls]______P_H_S_ex_69"/>
      <sheetName val="[1_xls][1_xls]______P_H_S_ex_70"/>
      <sheetName val="[1_xls][1_xls]______P_H_S_ex_72"/>
      <sheetName val="[1_xls][1_xls]______P_H_S_ex_74"/>
      <sheetName val="[1_xls][1_XLS]______P_H_S_ex_73"/>
      <sheetName val="[1_xls][1_xls]______P_H_S_ex_75"/>
      <sheetName val="[1_xls][1_xls]______P_H_S_ex_77"/>
      <sheetName val="[1_xls][1_XLS]______P_H_S_ex_76"/>
      <sheetName val="[1_xls][1_xls]______P_H_S_ex_78"/>
      <sheetName val="[1_xls][1_xls]______P_H_S_ex_80"/>
      <sheetName val="[1_xls][1_XLS]______P_H_S_ex_79"/>
      <sheetName val="[1_xls][1_xls]______P_H_S_ex_90"/>
      <sheetName val="[1_xls][1_xls]______P_H_S_ex_81"/>
      <sheetName val="[1_xls][1_xls]______P_H_S_ex_82"/>
      <sheetName val="[1_xls][1_xls]______P_H_S_ex_83"/>
      <sheetName val="[1_xls][1_xls]______P_H_S_ex_84"/>
      <sheetName val="[1_xls][1_xls]______P_H_S_ex_85"/>
      <sheetName val="[1_xls][1_xls]______P_H_S_ex_86"/>
      <sheetName val="[1_xls][1_xls]______P_H_S_ex_87"/>
      <sheetName val="[1_xls][1_xls]______P_H_S_ex_88"/>
      <sheetName val="[1_xls][1_xls]______P_H_S_ex_89"/>
      <sheetName val="[1_xls][1_xls]______P_H_S_ex_91"/>
      <sheetName val="40총괄"/>
      <sheetName val="40집계"/>
      <sheetName val="주식"/>
      <sheetName val="변경후"/>
      <sheetName val="DETAIL SHEET"/>
      <sheetName val="_REF"/>
      <sheetName val="File_관급"/>
      <sheetName val="공정집계"/>
      <sheetName val="건축(내역)"/>
      <sheetName val="[1.xls][1.xls]______P_H_S_e_469"/>
      <sheetName val="[1.xls][1.xls]______P_H_S_e_470"/>
      <sheetName val="공통가설(기준안)"/>
      <sheetName val="4-0.툫자_x005f_x0000__x005f_x0000_문)"/>
      <sheetName val="_x005f_x0000_"/>
      <sheetName val="_x005f_x0000__x005f_x0008__x005f_x0000_ꪀᗈ_x005f_x0000_"/>
      <sheetName val="구리토평_x005f_x0000__x005f_x0000_Ԁ"/>
      <sheetName val="________x005f_x0000__x005f_x0000___x005f_x0002__2"/>
      <sheetName val="급殘⿗_x005f_x0000_"/>
      <sheetName val="영업소_x005f_x0000_"/>
      <sheetName val="1.공통가설_x005f_x0000__x005f_x0000_"/>
      <sheetName val="간접비 _x005f_x0000__x005f_x0000__x005f_x0005_"/>
      <sheetName val="_인사관~1.XLS__인사관~1.XLS__인___1__2"/>
      <sheetName val="_인사관~1.XLS__인사관~1_XLS__인___1__2"/>
      <sheetName val="장비명"/>
      <sheetName val="비목별_ꦡ_x001d_㊄Ȗ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>
        <row r="2">
          <cell r="A2" t="str">
            <v>실     명</v>
          </cell>
        </row>
      </sheetData>
      <sheetData sheetId="1076"/>
      <sheetData sheetId="1077">
        <row r="2">
          <cell r="A2" t="str">
            <v>실     명</v>
          </cell>
        </row>
      </sheetData>
      <sheetData sheetId="1078">
        <row r="2">
          <cell r="A2" t="str">
            <v>실     명</v>
          </cell>
        </row>
      </sheetData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/>
      <sheetData sheetId="1126"/>
      <sheetData sheetId="1127"/>
      <sheetData sheetId="1128"/>
      <sheetData sheetId="1129">
        <row r="2">
          <cell r="A2" t="str">
            <v>실     명</v>
          </cell>
        </row>
      </sheetData>
      <sheetData sheetId="1130"/>
      <sheetData sheetId="1131"/>
      <sheetData sheetId="1132"/>
      <sheetData sheetId="1133"/>
      <sheetData sheetId="1134">
        <row r="2">
          <cell r="A2" t="str">
            <v>실     명</v>
          </cell>
        </row>
      </sheetData>
      <sheetData sheetId="1135">
        <row r="2">
          <cell r="A2" t="str">
            <v>실     명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>
        <row r="2">
          <cell r="A2" t="str">
            <v>실     명</v>
          </cell>
        </row>
      </sheetData>
      <sheetData sheetId="1151"/>
      <sheetData sheetId="1152"/>
      <sheetData sheetId="1153"/>
      <sheetData sheetId="1154"/>
      <sheetData sheetId="1155"/>
      <sheetData sheetId="1156"/>
      <sheetData sheetId="1157">
        <row r="2">
          <cell r="A2" t="str">
            <v>실     명</v>
          </cell>
        </row>
      </sheetData>
      <sheetData sheetId="1158"/>
      <sheetData sheetId="1159"/>
      <sheetData sheetId="1160">
        <row r="2">
          <cell r="A2" t="str">
            <v>실     명</v>
          </cell>
        </row>
      </sheetData>
      <sheetData sheetId="1161"/>
      <sheetData sheetId="1162"/>
      <sheetData sheetId="1163">
        <row r="2">
          <cell r="A2" t="str">
            <v>실     명</v>
          </cell>
        </row>
      </sheetData>
      <sheetData sheetId="1164"/>
      <sheetData sheetId="1165"/>
      <sheetData sheetId="1166"/>
      <sheetData sheetId="1167"/>
      <sheetData sheetId="1168"/>
      <sheetData sheetId="1169">
        <row r="2">
          <cell r="A2" t="str">
            <v>실     명</v>
          </cell>
        </row>
      </sheetData>
      <sheetData sheetId="1170"/>
      <sheetData sheetId="1171">
        <row r="2">
          <cell r="A2" t="str">
            <v>실     명</v>
          </cell>
        </row>
      </sheetData>
      <sheetData sheetId="1172"/>
      <sheetData sheetId="1173">
        <row r="2">
          <cell r="A2" t="str">
            <v>실     명</v>
          </cell>
        </row>
      </sheetData>
      <sheetData sheetId="1174"/>
      <sheetData sheetId="1175"/>
      <sheetData sheetId="1176"/>
      <sheetData sheetId="1177"/>
      <sheetData sheetId="1178">
        <row r="2">
          <cell r="A2" t="str">
            <v>실     명</v>
          </cell>
        </row>
      </sheetData>
      <sheetData sheetId="1179"/>
      <sheetData sheetId="1180"/>
      <sheetData sheetId="1181"/>
      <sheetData sheetId="1182"/>
      <sheetData sheetId="1183"/>
      <sheetData sheetId="1184"/>
      <sheetData sheetId="1185">
        <row r="2">
          <cell r="A2" t="str">
            <v>실     명</v>
          </cell>
        </row>
      </sheetData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/>
      <sheetData sheetId="1315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/>
      <sheetData sheetId="1338"/>
      <sheetData sheetId="1339" refreshError="1"/>
      <sheetData sheetId="1340" refreshError="1"/>
      <sheetData sheetId="1341"/>
      <sheetData sheetId="1342"/>
      <sheetData sheetId="1343"/>
      <sheetData sheetId="1344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/>
      <sheetData sheetId="1440" refreshError="1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 refreshError="1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>
        <row r="2">
          <cell r="A2" t="str">
            <v>실     명</v>
          </cell>
        </row>
      </sheetData>
      <sheetData sheetId="1511"/>
      <sheetData sheetId="1512">
        <row r="2">
          <cell r="A2" t="str">
            <v>실     명</v>
          </cell>
        </row>
      </sheetData>
      <sheetData sheetId="1513">
        <row r="2">
          <cell r="A2" t="str">
            <v>실     명</v>
          </cell>
        </row>
      </sheetData>
      <sheetData sheetId="1514">
        <row r="2">
          <cell r="A2" t="str">
            <v>실     명</v>
          </cell>
        </row>
      </sheetData>
      <sheetData sheetId="1515"/>
      <sheetData sheetId="1516">
        <row r="2">
          <cell r="A2" t="str">
            <v>실     명</v>
          </cell>
        </row>
      </sheetData>
      <sheetData sheetId="1517"/>
      <sheetData sheetId="1518"/>
      <sheetData sheetId="1519"/>
      <sheetData sheetId="1520"/>
      <sheetData sheetId="1521"/>
      <sheetData sheetId="1522">
        <row r="2">
          <cell r="A2" t="str">
            <v>실     명</v>
          </cell>
        </row>
      </sheetData>
      <sheetData sheetId="1523"/>
      <sheetData sheetId="1524">
        <row r="2">
          <cell r="A2" t="str">
            <v>실     명</v>
          </cell>
        </row>
      </sheetData>
      <sheetData sheetId="1525"/>
      <sheetData sheetId="1526"/>
      <sheetData sheetId="1527"/>
      <sheetData sheetId="1528"/>
      <sheetData sheetId="1529">
        <row r="2">
          <cell r="A2" t="str">
            <v>실     명</v>
          </cell>
        </row>
      </sheetData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>
        <row r="2">
          <cell r="A2" t="str">
            <v>실     명</v>
          </cell>
        </row>
      </sheetData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/>
      <sheetData sheetId="1553"/>
      <sheetData sheetId="1554"/>
      <sheetData sheetId="1555"/>
      <sheetData sheetId="1556">
        <row r="2">
          <cell r="A2" t="str">
            <v>실     명</v>
          </cell>
        </row>
      </sheetData>
      <sheetData sheetId="1557"/>
      <sheetData sheetId="1558">
        <row r="2">
          <cell r="A2" t="str">
            <v>실     명</v>
          </cell>
        </row>
      </sheetData>
      <sheetData sheetId="1559"/>
      <sheetData sheetId="1560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/>
      <sheetData sheetId="1582"/>
      <sheetData sheetId="1583"/>
      <sheetData sheetId="1584"/>
      <sheetData sheetId="1585"/>
      <sheetData sheetId="1586"/>
      <sheetData sheetId="1587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 refreshError="1"/>
      <sheetData sheetId="1603" refreshError="1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>
        <row r="2">
          <cell r="A2" t="str">
            <v>실     명</v>
          </cell>
        </row>
      </sheetData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>
        <row r="2">
          <cell r="A2" t="str">
            <v>실     명</v>
          </cell>
        </row>
      </sheetData>
      <sheetData sheetId="1634"/>
      <sheetData sheetId="1635">
        <row r="2">
          <cell r="A2" t="str">
            <v>실     명</v>
          </cell>
        </row>
      </sheetData>
      <sheetData sheetId="1636">
        <row r="2">
          <cell r="A2" t="str">
            <v>실     명</v>
          </cell>
        </row>
      </sheetData>
      <sheetData sheetId="1637">
        <row r="2">
          <cell r="A2" t="str">
            <v>실     명</v>
          </cell>
        </row>
      </sheetData>
      <sheetData sheetId="1638">
        <row r="2">
          <cell r="A2" t="str">
            <v>실     명</v>
          </cell>
        </row>
      </sheetData>
      <sheetData sheetId="1639">
        <row r="2">
          <cell r="A2" t="str">
            <v>실     명</v>
          </cell>
        </row>
      </sheetData>
      <sheetData sheetId="1640"/>
      <sheetData sheetId="1641">
        <row r="2">
          <cell r="A2" t="str">
            <v>실     명</v>
          </cell>
        </row>
      </sheetData>
      <sheetData sheetId="1642"/>
      <sheetData sheetId="1643">
        <row r="2">
          <cell r="A2" t="str">
            <v>실     명</v>
          </cell>
        </row>
      </sheetData>
      <sheetData sheetId="1644"/>
      <sheetData sheetId="1645"/>
      <sheetData sheetId="1646"/>
      <sheetData sheetId="1647">
        <row r="2">
          <cell r="A2" t="str">
            <v>실     명</v>
          </cell>
        </row>
      </sheetData>
      <sheetData sheetId="1648"/>
      <sheetData sheetId="1649">
        <row r="2">
          <cell r="A2" t="str">
            <v>실     명</v>
          </cell>
        </row>
      </sheetData>
      <sheetData sheetId="1650">
        <row r="2">
          <cell r="A2" t="str">
            <v>실     명</v>
          </cell>
        </row>
      </sheetData>
      <sheetData sheetId="1651"/>
      <sheetData sheetId="1652">
        <row r="2">
          <cell r="A2" t="str">
            <v>실     명</v>
          </cell>
        </row>
      </sheetData>
      <sheetData sheetId="1653"/>
      <sheetData sheetId="1654"/>
      <sheetData sheetId="1655"/>
      <sheetData sheetId="1656"/>
      <sheetData sheetId="1657"/>
      <sheetData sheetId="1658">
        <row r="2">
          <cell r="A2" t="str">
            <v>실     명</v>
          </cell>
        </row>
      </sheetData>
      <sheetData sheetId="1659"/>
      <sheetData sheetId="1660"/>
      <sheetData sheetId="1661"/>
      <sheetData sheetId="1662"/>
      <sheetData sheetId="1663"/>
      <sheetData sheetId="1664">
        <row r="2">
          <cell r="A2" t="str">
            <v>실     명</v>
          </cell>
        </row>
      </sheetData>
      <sheetData sheetId="1665">
        <row r="2">
          <cell r="A2" t="str">
            <v>실     명</v>
          </cell>
        </row>
      </sheetData>
      <sheetData sheetId="1666"/>
      <sheetData sheetId="1667"/>
      <sheetData sheetId="1668"/>
      <sheetData sheetId="1669">
        <row r="2">
          <cell r="A2" t="str">
            <v>실     명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 refreshError="1"/>
      <sheetData sheetId="1680" refreshError="1"/>
      <sheetData sheetId="1681" refreshError="1"/>
      <sheetData sheetId="1682"/>
      <sheetData sheetId="1683" refreshError="1"/>
      <sheetData sheetId="1684"/>
      <sheetData sheetId="1685"/>
      <sheetData sheetId="1686"/>
      <sheetData sheetId="1687"/>
      <sheetData sheetId="1688">
        <row r="2">
          <cell r="A2" t="str">
            <v>실     명</v>
          </cell>
        </row>
      </sheetData>
      <sheetData sheetId="1689"/>
      <sheetData sheetId="1690"/>
      <sheetData sheetId="1691"/>
      <sheetData sheetId="1692"/>
      <sheetData sheetId="1693"/>
      <sheetData sheetId="1694">
        <row r="2">
          <cell r="A2" t="str">
            <v>실     명</v>
          </cell>
        </row>
      </sheetData>
      <sheetData sheetId="1695"/>
      <sheetData sheetId="1696">
        <row r="2">
          <cell r="A2" t="str">
            <v>실     명</v>
          </cell>
        </row>
      </sheetData>
      <sheetData sheetId="1697">
        <row r="2">
          <cell r="A2" t="str">
            <v>실     명</v>
          </cell>
        </row>
      </sheetData>
      <sheetData sheetId="1698"/>
      <sheetData sheetId="1699"/>
      <sheetData sheetId="1700"/>
      <sheetData sheetId="1701"/>
      <sheetData sheetId="1702">
        <row r="2">
          <cell r="A2" t="str">
            <v>실     명</v>
          </cell>
        </row>
      </sheetData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>
        <row r="2">
          <cell r="A2" t="str">
            <v>실     명</v>
          </cell>
        </row>
      </sheetData>
      <sheetData sheetId="1717">
        <row r="2">
          <cell r="A2" t="str">
            <v>실     명</v>
          </cell>
        </row>
      </sheetData>
      <sheetData sheetId="1718"/>
      <sheetData sheetId="1719"/>
      <sheetData sheetId="1720">
        <row r="2">
          <cell r="A2" t="str">
            <v>실     명</v>
          </cell>
        </row>
      </sheetData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 refreshError="1"/>
      <sheetData sheetId="1734" refreshError="1"/>
      <sheetData sheetId="1735"/>
      <sheetData sheetId="1736" refreshError="1"/>
      <sheetData sheetId="1737" refreshError="1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2">
          <cell r="A2" t="str">
            <v>실     명</v>
          </cell>
        </row>
      </sheetData>
      <sheetData sheetId="1849">
        <row r="2">
          <cell r="A2" t="str">
            <v>실     명</v>
          </cell>
        </row>
      </sheetData>
      <sheetData sheetId="1850">
        <row r="2">
          <cell r="A2" t="str">
            <v>실     명</v>
          </cell>
        </row>
      </sheetData>
      <sheetData sheetId="1851">
        <row r="2">
          <cell r="A2" t="str">
            <v>실     명</v>
          </cell>
        </row>
      </sheetData>
      <sheetData sheetId="1852">
        <row r="2">
          <cell r="A2" t="str">
            <v>실     명</v>
          </cell>
        </row>
      </sheetData>
      <sheetData sheetId="1853">
        <row r="2">
          <cell r="A2" t="str">
            <v>실     명</v>
          </cell>
        </row>
      </sheetData>
      <sheetData sheetId="1854">
        <row r="2">
          <cell r="A2" t="str">
            <v>실     명</v>
          </cell>
        </row>
      </sheetData>
      <sheetData sheetId="1855">
        <row r="2">
          <cell r="A2" t="str">
            <v>실     명</v>
          </cell>
        </row>
      </sheetData>
      <sheetData sheetId="1856">
        <row r="2">
          <cell r="A2" t="str">
            <v>실     명</v>
          </cell>
        </row>
      </sheetData>
      <sheetData sheetId="1857">
        <row r="2">
          <cell r="A2" t="str">
            <v>실     명</v>
          </cell>
        </row>
      </sheetData>
      <sheetData sheetId="1858">
        <row r="2">
          <cell r="A2" t="str">
            <v>실     명</v>
          </cell>
        </row>
      </sheetData>
      <sheetData sheetId="1859">
        <row r="2">
          <cell r="A2" t="str">
            <v>실     명</v>
          </cell>
        </row>
      </sheetData>
      <sheetData sheetId="1860">
        <row r="2">
          <cell r="A2" t="str">
            <v>실     명</v>
          </cell>
        </row>
      </sheetData>
      <sheetData sheetId="1861">
        <row r="2">
          <cell r="A2" t="str">
            <v>실     명</v>
          </cell>
        </row>
      </sheetData>
      <sheetData sheetId="1862">
        <row r="2">
          <cell r="A2" t="str">
            <v>실     명</v>
          </cell>
        </row>
      </sheetData>
      <sheetData sheetId="1863">
        <row r="2">
          <cell r="A2" t="str">
            <v>실     명</v>
          </cell>
        </row>
      </sheetData>
      <sheetData sheetId="1864">
        <row r="2">
          <cell r="A2" t="str">
            <v>실     명</v>
          </cell>
        </row>
      </sheetData>
      <sheetData sheetId="1865">
        <row r="2">
          <cell r="A2" t="str">
            <v>실     명</v>
          </cell>
        </row>
      </sheetData>
      <sheetData sheetId="1866">
        <row r="2">
          <cell r="A2" t="str">
            <v>실     명</v>
          </cell>
        </row>
      </sheetData>
      <sheetData sheetId="1867">
        <row r="2">
          <cell r="A2" t="str">
            <v>실     명</v>
          </cell>
        </row>
      </sheetData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>
        <row r="2">
          <cell r="A2" t="str">
            <v>실     명</v>
          </cell>
        </row>
      </sheetData>
      <sheetData sheetId="1875">
        <row r="2">
          <cell r="A2" t="str">
            <v>실     명</v>
          </cell>
        </row>
      </sheetData>
      <sheetData sheetId="1876">
        <row r="2">
          <cell r="A2" t="str">
            <v>실     명</v>
          </cell>
        </row>
      </sheetData>
      <sheetData sheetId="1877">
        <row r="2">
          <cell r="A2" t="str">
            <v>실     명</v>
          </cell>
        </row>
      </sheetData>
      <sheetData sheetId="1878">
        <row r="2">
          <cell r="A2" t="str">
            <v>실     명</v>
          </cell>
        </row>
      </sheetData>
      <sheetData sheetId="1879">
        <row r="2">
          <cell r="A2" t="str">
            <v>실     명</v>
          </cell>
        </row>
      </sheetData>
      <sheetData sheetId="1880">
        <row r="2">
          <cell r="A2" t="str">
            <v>실     명</v>
          </cell>
        </row>
      </sheetData>
      <sheetData sheetId="1881">
        <row r="2">
          <cell r="A2" t="str">
            <v>실     명</v>
          </cell>
        </row>
      </sheetData>
      <sheetData sheetId="1882">
        <row r="2">
          <cell r="A2" t="str">
            <v>실     명</v>
          </cell>
        </row>
      </sheetData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>
        <row r="2">
          <cell r="A2" t="str">
            <v>실     명</v>
          </cell>
        </row>
      </sheetData>
      <sheetData sheetId="1921">
        <row r="2">
          <cell r="A2" t="str">
            <v>실     명</v>
          </cell>
        </row>
      </sheetData>
      <sheetData sheetId="1922">
        <row r="2">
          <cell r="A2" t="str">
            <v>실     명</v>
          </cell>
        </row>
      </sheetData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>
        <row r="2">
          <cell r="A2" t="str">
            <v>실     명</v>
          </cell>
        </row>
      </sheetData>
      <sheetData sheetId="1955" refreshError="1"/>
      <sheetData sheetId="1956" refreshError="1"/>
      <sheetData sheetId="1957" refreshError="1"/>
      <sheetData sheetId="1958">
        <row r="2">
          <cell r="A2" t="str">
            <v>실     명</v>
          </cell>
        </row>
      </sheetData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>
        <row r="2">
          <cell r="A2" t="str">
            <v>실     명</v>
          </cell>
        </row>
      </sheetData>
      <sheetData sheetId="1992">
        <row r="2">
          <cell r="A2" t="str">
            <v>실     명</v>
          </cell>
        </row>
      </sheetData>
      <sheetData sheetId="1993">
        <row r="2">
          <cell r="A2" t="str">
            <v>실     명</v>
          </cell>
        </row>
      </sheetData>
      <sheetData sheetId="1994">
        <row r="2">
          <cell r="A2" t="str">
            <v>실     명</v>
          </cell>
        </row>
      </sheetData>
      <sheetData sheetId="1995">
        <row r="2">
          <cell r="A2" t="str">
            <v>실     명</v>
          </cell>
        </row>
      </sheetData>
      <sheetData sheetId="1996">
        <row r="2">
          <cell r="A2" t="str">
            <v>실     명</v>
          </cell>
        </row>
      </sheetData>
      <sheetData sheetId="1997">
        <row r="2">
          <cell r="A2" t="str">
            <v>실     명</v>
          </cell>
        </row>
      </sheetData>
      <sheetData sheetId="1998">
        <row r="2">
          <cell r="A2" t="str">
            <v>실     명</v>
          </cell>
        </row>
      </sheetData>
      <sheetData sheetId="1999">
        <row r="2">
          <cell r="A2" t="str">
            <v>실     명</v>
          </cell>
        </row>
      </sheetData>
      <sheetData sheetId="2000">
        <row r="2">
          <cell r="A2" t="str">
            <v>실     명</v>
          </cell>
        </row>
      </sheetData>
      <sheetData sheetId="2001">
        <row r="2">
          <cell r="A2" t="str">
            <v>실     명</v>
          </cell>
        </row>
      </sheetData>
      <sheetData sheetId="2002">
        <row r="2">
          <cell r="A2" t="str">
            <v>실     명</v>
          </cell>
        </row>
      </sheetData>
      <sheetData sheetId="2003">
        <row r="2">
          <cell r="A2" t="str">
            <v>실     명</v>
          </cell>
        </row>
      </sheetData>
      <sheetData sheetId="2004">
        <row r="2">
          <cell r="A2" t="str">
            <v>실     명</v>
          </cell>
        </row>
      </sheetData>
      <sheetData sheetId="2005">
        <row r="2">
          <cell r="A2" t="str">
            <v>실     명</v>
          </cell>
        </row>
      </sheetData>
      <sheetData sheetId="2006">
        <row r="2">
          <cell r="A2" t="str">
            <v>실     명</v>
          </cell>
        </row>
      </sheetData>
      <sheetData sheetId="2007">
        <row r="2">
          <cell r="A2" t="str">
            <v>실     명</v>
          </cell>
        </row>
      </sheetData>
      <sheetData sheetId="2008">
        <row r="2">
          <cell r="A2" t="str">
            <v>실     명</v>
          </cell>
        </row>
      </sheetData>
      <sheetData sheetId="2009">
        <row r="2">
          <cell r="A2" t="str">
            <v>실     명</v>
          </cell>
        </row>
      </sheetData>
      <sheetData sheetId="2010">
        <row r="2">
          <cell r="A2" t="str">
            <v>실     명</v>
          </cell>
        </row>
      </sheetData>
      <sheetData sheetId="2011">
        <row r="2">
          <cell r="A2" t="str">
            <v>실     명</v>
          </cell>
        </row>
      </sheetData>
      <sheetData sheetId="2012">
        <row r="2">
          <cell r="A2" t="str">
            <v>실     명</v>
          </cell>
        </row>
      </sheetData>
      <sheetData sheetId="2013">
        <row r="2">
          <cell r="A2" t="str">
            <v>실     명</v>
          </cell>
        </row>
      </sheetData>
      <sheetData sheetId="2014">
        <row r="2">
          <cell r="A2" t="str">
            <v>실     명</v>
          </cell>
        </row>
      </sheetData>
      <sheetData sheetId="2015">
        <row r="2">
          <cell r="A2" t="str">
            <v>실     명</v>
          </cell>
        </row>
      </sheetData>
      <sheetData sheetId="2016">
        <row r="2">
          <cell r="A2" t="str">
            <v>실     명</v>
          </cell>
        </row>
      </sheetData>
      <sheetData sheetId="2017">
        <row r="2">
          <cell r="A2" t="str">
            <v>실     명</v>
          </cell>
        </row>
      </sheetData>
      <sheetData sheetId="2018">
        <row r="2">
          <cell r="A2" t="str">
            <v>실     명</v>
          </cell>
        </row>
      </sheetData>
      <sheetData sheetId="2019">
        <row r="2">
          <cell r="A2" t="str">
            <v>실     명</v>
          </cell>
        </row>
      </sheetData>
      <sheetData sheetId="2020">
        <row r="2">
          <cell r="A2" t="str">
            <v>실     명</v>
          </cell>
        </row>
      </sheetData>
      <sheetData sheetId="2021">
        <row r="2">
          <cell r="A2" t="str">
            <v>실     명</v>
          </cell>
        </row>
      </sheetData>
      <sheetData sheetId="2022">
        <row r="2">
          <cell r="A2" t="str">
            <v>실     명</v>
          </cell>
        </row>
      </sheetData>
      <sheetData sheetId="2023">
        <row r="2">
          <cell r="A2" t="str">
            <v>실     명</v>
          </cell>
        </row>
      </sheetData>
      <sheetData sheetId="2024">
        <row r="2">
          <cell r="A2" t="str">
            <v>실     명</v>
          </cell>
        </row>
      </sheetData>
      <sheetData sheetId="2025">
        <row r="2">
          <cell r="A2" t="str">
            <v>실     명</v>
          </cell>
        </row>
      </sheetData>
      <sheetData sheetId="2026">
        <row r="2">
          <cell r="A2" t="str">
            <v>실     명</v>
          </cell>
        </row>
      </sheetData>
      <sheetData sheetId="2027">
        <row r="2">
          <cell r="A2" t="str">
            <v>실     명</v>
          </cell>
        </row>
      </sheetData>
      <sheetData sheetId="2028">
        <row r="2">
          <cell r="A2" t="str">
            <v>실     명</v>
          </cell>
        </row>
      </sheetData>
      <sheetData sheetId="2029">
        <row r="2">
          <cell r="A2" t="str">
            <v>실     명</v>
          </cell>
        </row>
      </sheetData>
      <sheetData sheetId="2030">
        <row r="2">
          <cell r="A2" t="str">
            <v>실     명</v>
          </cell>
        </row>
      </sheetData>
      <sheetData sheetId="2031">
        <row r="2">
          <cell r="A2" t="str">
            <v>실     명</v>
          </cell>
        </row>
      </sheetData>
      <sheetData sheetId="2032">
        <row r="2">
          <cell r="A2" t="str">
            <v>실     명</v>
          </cell>
        </row>
      </sheetData>
      <sheetData sheetId="2033">
        <row r="2">
          <cell r="A2" t="str">
            <v>실     명</v>
          </cell>
        </row>
      </sheetData>
      <sheetData sheetId="2034">
        <row r="2">
          <cell r="A2" t="str">
            <v>실     명</v>
          </cell>
        </row>
      </sheetData>
      <sheetData sheetId="2035">
        <row r="2">
          <cell r="A2" t="str">
            <v>실     명</v>
          </cell>
        </row>
      </sheetData>
      <sheetData sheetId="2036">
        <row r="2">
          <cell r="A2" t="str">
            <v>실     명</v>
          </cell>
        </row>
      </sheetData>
      <sheetData sheetId="2037">
        <row r="2">
          <cell r="A2" t="str">
            <v>실     명</v>
          </cell>
        </row>
      </sheetData>
      <sheetData sheetId="2038">
        <row r="2">
          <cell r="A2" t="str">
            <v>실     명</v>
          </cell>
        </row>
      </sheetData>
      <sheetData sheetId="2039">
        <row r="2">
          <cell r="A2" t="str">
            <v>실     명</v>
          </cell>
        </row>
      </sheetData>
      <sheetData sheetId="2040">
        <row r="2">
          <cell r="A2" t="str">
            <v>실     명</v>
          </cell>
        </row>
      </sheetData>
      <sheetData sheetId="2041">
        <row r="2">
          <cell r="A2" t="str">
            <v>실     명</v>
          </cell>
        </row>
      </sheetData>
      <sheetData sheetId="2042">
        <row r="2">
          <cell r="A2" t="str">
            <v>실     명</v>
          </cell>
        </row>
      </sheetData>
      <sheetData sheetId="2043">
        <row r="2">
          <cell r="A2" t="str">
            <v>실     명</v>
          </cell>
        </row>
      </sheetData>
      <sheetData sheetId="2044">
        <row r="2">
          <cell r="A2" t="str">
            <v>실     명</v>
          </cell>
        </row>
      </sheetData>
      <sheetData sheetId="2045">
        <row r="2">
          <cell r="A2" t="str">
            <v>실     명</v>
          </cell>
        </row>
      </sheetData>
      <sheetData sheetId="2046">
        <row r="2">
          <cell r="A2" t="str">
            <v>실     명</v>
          </cell>
        </row>
      </sheetData>
      <sheetData sheetId="2047">
        <row r="2">
          <cell r="A2" t="str">
            <v>실     명</v>
          </cell>
        </row>
      </sheetData>
      <sheetData sheetId="2048">
        <row r="2">
          <cell r="A2" t="str">
            <v>실     명</v>
          </cell>
        </row>
      </sheetData>
      <sheetData sheetId="2049">
        <row r="2">
          <cell r="A2" t="str">
            <v>실     명</v>
          </cell>
        </row>
      </sheetData>
      <sheetData sheetId="2050">
        <row r="2">
          <cell r="A2" t="str">
            <v>실     명</v>
          </cell>
        </row>
      </sheetData>
      <sheetData sheetId="2051">
        <row r="2">
          <cell r="A2" t="str">
            <v>실     명</v>
          </cell>
        </row>
      </sheetData>
      <sheetData sheetId="2052">
        <row r="2">
          <cell r="A2" t="str">
            <v>실     명</v>
          </cell>
        </row>
      </sheetData>
      <sheetData sheetId="2053">
        <row r="2">
          <cell r="A2" t="str">
            <v>실     명</v>
          </cell>
        </row>
      </sheetData>
      <sheetData sheetId="2054">
        <row r="2">
          <cell r="A2" t="str">
            <v>실     명</v>
          </cell>
        </row>
      </sheetData>
      <sheetData sheetId="2055">
        <row r="2">
          <cell r="A2" t="str">
            <v>실     명</v>
          </cell>
        </row>
      </sheetData>
      <sheetData sheetId="2056">
        <row r="2">
          <cell r="A2" t="str">
            <v>실     명</v>
          </cell>
        </row>
      </sheetData>
      <sheetData sheetId="2057">
        <row r="2">
          <cell r="A2" t="str">
            <v>실     명</v>
          </cell>
        </row>
      </sheetData>
      <sheetData sheetId="2058">
        <row r="2">
          <cell r="A2" t="str">
            <v>실     명</v>
          </cell>
        </row>
      </sheetData>
      <sheetData sheetId="2059">
        <row r="2">
          <cell r="A2" t="str">
            <v>실     명</v>
          </cell>
        </row>
      </sheetData>
      <sheetData sheetId="2060">
        <row r="2">
          <cell r="A2" t="str">
            <v>실     명</v>
          </cell>
        </row>
      </sheetData>
      <sheetData sheetId="2061">
        <row r="2">
          <cell r="A2" t="str">
            <v>실     명</v>
          </cell>
        </row>
      </sheetData>
      <sheetData sheetId="2062">
        <row r="2">
          <cell r="A2" t="str">
            <v>실     명</v>
          </cell>
        </row>
      </sheetData>
      <sheetData sheetId="2063">
        <row r="2">
          <cell r="A2" t="str">
            <v>실     명</v>
          </cell>
        </row>
      </sheetData>
      <sheetData sheetId="2064">
        <row r="2">
          <cell r="A2" t="str">
            <v>실     명</v>
          </cell>
        </row>
      </sheetData>
      <sheetData sheetId="2065">
        <row r="2">
          <cell r="A2" t="str">
            <v>실     명</v>
          </cell>
        </row>
      </sheetData>
      <sheetData sheetId="2066">
        <row r="2">
          <cell r="A2" t="str">
            <v>실     명</v>
          </cell>
        </row>
      </sheetData>
      <sheetData sheetId="2067">
        <row r="2">
          <cell r="A2" t="str">
            <v>실     명</v>
          </cell>
        </row>
      </sheetData>
      <sheetData sheetId="2068">
        <row r="2">
          <cell r="A2" t="str">
            <v>실     명</v>
          </cell>
        </row>
      </sheetData>
      <sheetData sheetId="2069">
        <row r="2">
          <cell r="A2" t="str">
            <v>실     명</v>
          </cell>
        </row>
      </sheetData>
      <sheetData sheetId="2070">
        <row r="2">
          <cell r="A2" t="str">
            <v>실     명</v>
          </cell>
        </row>
      </sheetData>
      <sheetData sheetId="2071">
        <row r="2">
          <cell r="A2" t="str">
            <v>실     명</v>
          </cell>
        </row>
      </sheetData>
      <sheetData sheetId="2072">
        <row r="2">
          <cell r="A2" t="str">
            <v>실     명</v>
          </cell>
        </row>
      </sheetData>
      <sheetData sheetId="2073">
        <row r="2">
          <cell r="A2" t="str">
            <v>실     명</v>
          </cell>
        </row>
      </sheetData>
      <sheetData sheetId="2074">
        <row r="2">
          <cell r="A2" t="str">
            <v>실     명</v>
          </cell>
        </row>
      </sheetData>
      <sheetData sheetId="2075">
        <row r="2">
          <cell r="A2" t="str">
            <v>실     명</v>
          </cell>
        </row>
      </sheetData>
      <sheetData sheetId="2076">
        <row r="2">
          <cell r="A2" t="str">
            <v>실     명</v>
          </cell>
        </row>
      </sheetData>
      <sheetData sheetId="2077">
        <row r="2">
          <cell r="A2" t="str">
            <v>실     명</v>
          </cell>
        </row>
      </sheetData>
      <sheetData sheetId="2078">
        <row r="2">
          <cell r="A2" t="str">
            <v>실     명</v>
          </cell>
        </row>
      </sheetData>
      <sheetData sheetId="2079">
        <row r="2">
          <cell r="A2" t="str">
            <v>실     명</v>
          </cell>
        </row>
      </sheetData>
      <sheetData sheetId="2080">
        <row r="2">
          <cell r="A2" t="str">
            <v>실     명</v>
          </cell>
        </row>
      </sheetData>
      <sheetData sheetId="2081">
        <row r="2">
          <cell r="A2" t="str">
            <v>실     명</v>
          </cell>
        </row>
      </sheetData>
      <sheetData sheetId="2082">
        <row r="2">
          <cell r="A2" t="str">
            <v>실     명</v>
          </cell>
        </row>
      </sheetData>
      <sheetData sheetId="2083">
        <row r="2">
          <cell r="A2" t="str">
            <v>실     명</v>
          </cell>
        </row>
      </sheetData>
      <sheetData sheetId="2084">
        <row r="2">
          <cell r="A2" t="str">
            <v>실     명</v>
          </cell>
        </row>
      </sheetData>
      <sheetData sheetId="2085">
        <row r="2">
          <cell r="A2" t="str">
            <v>실     명</v>
          </cell>
        </row>
      </sheetData>
      <sheetData sheetId="2086">
        <row r="2">
          <cell r="A2" t="str">
            <v>실     명</v>
          </cell>
        </row>
      </sheetData>
      <sheetData sheetId="2087">
        <row r="2">
          <cell r="A2" t="str">
            <v>실     명</v>
          </cell>
        </row>
      </sheetData>
      <sheetData sheetId="2088">
        <row r="2">
          <cell r="A2" t="str">
            <v>실     명</v>
          </cell>
        </row>
      </sheetData>
      <sheetData sheetId="2089">
        <row r="2">
          <cell r="A2" t="str">
            <v>실     명</v>
          </cell>
        </row>
      </sheetData>
      <sheetData sheetId="2090">
        <row r="2">
          <cell r="A2" t="str">
            <v>실     명</v>
          </cell>
        </row>
      </sheetData>
      <sheetData sheetId="2091">
        <row r="2">
          <cell r="A2" t="str">
            <v>실     명</v>
          </cell>
        </row>
      </sheetData>
      <sheetData sheetId="2092">
        <row r="2">
          <cell r="A2" t="str">
            <v>실     명</v>
          </cell>
        </row>
      </sheetData>
      <sheetData sheetId="2093">
        <row r="2">
          <cell r="A2" t="str">
            <v>실     명</v>
          </cell>
        </row>
      </sheetData>
      <sheetData sheetId="2094">
        <row r="2">
          <cell r="A2" t="str">
            <v>실     명</v>
          </cell>
        </row>
      </sheetData>
      <sheetData sheetId="2095">
        <row r="2">
          <cell r="A2" t="str">
            <v>실     명</v>
          </cell>
        </row>
      </sheetData>
      <sheetData sheetId="2096">
        <row r="2">
          <cell r="A2" t="str">
            <v>실     명</v>
          </cell>
        </row>
      </sheetData>
      <sheetData sheetId="2097">
        <row r="2">
          <cell r="A2" t="str">
            <v>실     명</v>
          </cell>
        </row>
      </sheetData>
      <sheetData sheetId="2098" refreshError="1"/>
      <sheetData sheetId="2099">
        <row r="2">
          <cell r="A2" t="str">
            <v>실     명</v>
          </cell>
        </row>
      </sheetData>
      <sheetData sheetId="2100">
        <row r="2">
          <cell r="A2" t="str">
            <v>실     명</v>
          </cell>
        </row>
      </sheetData>
      <sheetData sheetId="2101">
        <row r="2">
          <cell r="A2" t="str">
            <v>실     명</v>
          </cell>
        </row>
      </sheetData>
      <sheetData sheetId="2102">
        <row r="2">
          <cell r="A2" t="str">
            <v>실     명</v>
          </cell>
        </row>
      </sheetData>
      <sheetData sheetId="2103">
        <row r="2">
          <cell r="A2" t="str">
            <v>실     명</v>
          </cell>
        </row>
      </sheetData>
      <sheetData sheetId="2104">
        <row r="2">
          <cell r="A2" t="str">
            <v>실     명</v>
          </cell>
        </row>
      </sheetData>
      <sheetData sheetId="2105">
        <row r="2">
          <cell r="A2" t="str">
            <v>실     명</v>
          </cell>
        </row>
      </sheetData>
      <sheetData sheetId="2106">
        <row r="2">
          <cell r="A2" t="str">
            <v>실     명</v>
          </cell>
        </row>
      </sheetData>
      <sheetData sheetId="2107">
        <row r="2">
          <cell r="A2" t="str">
            <v>실     명</v>
          </cell>
        </row>
      </sheetData>
      <sheetData sheetId="2108">
        <row r="2">
          <cell r="A2" t="str">
            <v>실     명</v>
          </cell>
        </row>
      </sheetData>
      <sheetData sheetId="2109">
        <row r="2">
          <cell r="A2" t="str">
            <v>실     명</v>
          </cell>
        </row>
      </sheetData>
      <sheetData sheetId="2110">
        <row r="2">
          <cell r="A2" t="str">
            <v>실     명</v>
          </cell>
        </row>
      </sheetData>
      <sheetData sheetId="2111">
        <row r="2">
          <cell r="A2" t="str">
            <v>실     명</v>
          </cell>
        </row>
      </sheetData>
      <sheetData sheetId="2112">
        <row r="2">
          <cell r="A2" t="str">
            <v>실     명</v>
          </cell>
        </row>
      </sheetData>
      <sheetData sheetId="2113">
        <row r="2">
          <cell r="A2" t="str">
            <v>실     명</v>
          </cell>
        </row>
      </sheetData>
      <sheetData sheetId="2114">
        <row r="2">
          <cell r="A2" t="str">
            <v>실     명</v>
          </cell>
        </row>
      </sheetData>
      <sheetData sheetId="2115">
        <row r="2">
          <cell r="A2" t="str">
            <v>실     명</v>
          </cell>
        </row>
      </sheetData>
      <sheetData sheetId="2116">
        <row r="2">
          <cell r="A2" t="str">
            <v>실     명</v>
          </cell>
        </row>
      </sheetData>
      <sheetData sheetId="2117" refreshError="1"/>
      <sheetData sheetId="2118" refreshError="1"/>
      <sheetData sheetId="2119">
        <row r="2">
          <cell r="A2" t="str">
            <v>실     명</v>
          </cell>
        </row>
      </sheetData>
      <sheetData sheetId="2120">
        <row r="2">
          <cell r="A2" t="str">
            <v>실     명</v>
          </cell>
        </row>
      </sheetData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2">
          <cell r="A2" t="str">
            <v>실     명</v>
          </cell>
        </row>
      </sheetData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2">
          <cell r="A2" t="str">
            <v>실     명</v>
          </cell>
        </row>
      </sheetData>
      <sheetData sheetId="2240" refreshError="1"/>
      <sheetData sheetId="2241" refreshError="1"/>
      <sheetData sheetId="2242" refreshError="1"/>
      <sheetData sheetId="2243">
        <row r="2">
          <cell r="A2" t="str">
            <v>실     명</v>
          </cell>
        </row>
      </sheetData>
      <sheetData sheetId="2244">
        <row r="2">
          <cell r="A2" t="str">
            <v>실     명</v>
          </cell>
        </row>
      </sheetData>
      <sheetData sheetId="2245">
        <row r="2">
          <cell r="A2" t="str">
            <v>실     명</v>
          </cell>
        </row>
      </sheetData>
      <sheetData sheetId="2246">
        <row r="2">
          <cell r="A2" t="str">
            <v>실     명</v>
          </cell>
        </row>
      </sheetData>
      <sheetData sheetId="2247">
        <row r="2">
          <cell r="A2" t="str">
            <v>실     명</v>
          </cell>
        </row>
      </sheetData>
      <sheetData sheetId="2248">
        <row r="2">
          <cell r="A2" t="str">
            <v>실     명</v>
          </cell>
        </row>
      </sheetData>
      <sheetData sheetId="2249">
        <row r="2">
          <cell r="A2" t="str">
            <v>실     명</v>
          </cell>
        </row>
      </sheetData>
      <sheetData sheetId="2250">
        <row r="2">
          <cell r="A2" t="str">
            <v>실     명</v>
          </cell>
        </row>
      </sheetData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>
        <row r="2">
          <cell r="A2" t="str">
            <v>실     명</v>
          </cell>
        </row>
      </sheetData>
      <sheetData sheetId="2365">
        <row r="2">
          <cell r="A2" t="str">
            <v>실     명</v>
          </cell>
        </row>
      </sheetData>
      <sheetData sheetId="2366">
        <row r="2">
          <cell r="A2" t="str">
            <v>실     명</v>
          </cell>
        </row>
      </sheetData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>
        <row r="2">
          <cell r="A2" t="str">
            <v>실     명</v>
          </cell>
        </row>
      </sheetData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>
        <row r="2">
          <cell r="A2" t="str">
            <v>실     명</v>
          </cell>
        </row>
      </sheetData>
      <sheetData sheetId="2463">
        <row r="2">
          <cell r="A2" t="str">
            <v>실     명</v>
          </cell>
        </row>
      </sheetData>
      <sheetData sheetId="2464" refreshError="1"/>
      <sheetData sheetId="2465">
        <row r="2">
          <cell r="A2" t="str">
            <v>실     명</v>
          </cell>
        </row>
      </sheetData>
      <sheetData sheetId="2466">
        <row r="2">
          <cell r="A2" t="str">
            <v>실     명</v>
          </cell>
        </row>
      </sheetData>
      <sheetData sheetId="2467">
        <row r="2">
          <cell r="A2" t="str">
            <v>실     명</v>
          </cell>
        </row>
      </sheetData>
      <sheetData sheetId="2468">
        <row r="2">
          <cell r="A2" t="str">
            <v>실     명</v>
          </cell>
        </row>
      </sheetData>
      <sheetData sheetId="2469">
        <row r="2">
          <cell r="A2" t="str">
            <v>실     명</v>
          </cell>
        </row>
      </sheetData>
      <sheetData sheetId="2470">
        <row r="2">
          <cell r="A2" t="str">
            <v>실     명</v>
          </cell>
        </row>
      </sheetData>
      <sheetData sheetId="2471">
        <row r="2">
          <cell r="A2" t="str">
            <v>실     명</v>
          </cell>
        </row>
      </sheetData>
      <sheetData sheetId="2472">
        <row r="2">
          <cell r="A2" t="str">
            <v>실     명</v>
          </cell>
        </row>
      </sheetData>
      <sheetData sheetId="2473">
        <row r="2">
          <cell r="A2" t="str">
            <v>실     명</v>
          </cell>
        </row>
      </sheetData>
      <sheetData sheetId="2474">
        <row r="2">
          <cell r="A2" t="str">
            <v>실     명</v>
          </cell>
        </row>
      </sheetData>
      <sheetData sheetId="2475">
        <row r="2">
          <cell r="A2" t="str">
            <v>실     명</v>
          </cell>
        </row>
      </sheetData>
      <sheetData sheetId="2476">
        <row r="2">
          <cell r="A2" t="str">
            <v>실     명</v>
          </cell>
        </row>
      </sheetData>
      <sheetData sheetId="2477">
        <row r="2">
          <cell r="A2" t="str">
            <v>실     명</v>
          </cell>
        </row>
      </sheetData>
      <sheetData sheetId="2478">
        <row r="2">
          <cell r="A2" t="str">
            <v>실     명</v>
          </cell>
        </row>
      </sheetData>
      <sheetData sheetId="2479">
        <row r="2">
          <cell r="A2" t="str">
            <v>실     명</v>
          </cell>
        </row>
      </sheetData>
      <sheetData sheetId="2480">
        <row r="2">
          <cell r="A2" t="str">
            <v>실     명</v>
          </cell>
        </row>
      </sheetData>
      <sheetData sheetId="2481">
        <row r="2">
          <cell r="A2" t="str">
            <v>실     명</v>
          </cell>
        </row>
      </sheetData>
      <sheetData sheetId="2482">
        <row r="2">
          <cell r="A2" t="str">
            <v>실     명</v>
          </cell>
        </row>
      </sheetData>
      <sheetData sheetId="2483">
        <row r="2">
          <cell r="A2" t="str">
            <v>실     명</v>
          </cell>
        </row>
      </sheetData>
      <sheetData sheetId="2484">
        <row r="2">
          <cell r="A2" t="str">
            <v>실     명</v>
          </cell>
        </row>
      </sheetData>
      <sheetData sheetId="2485">
        <row r="2">
          <cell r="A2" t="str">
            <v>실     명</v>
          </cell>
        </row>
      </sheetData>
      <sheetData sheetId="2486">
        <row r="2">
          <cell r="A2" t="str">
            <v>실     명</v>
          </cell>
        </row>
      </sheetData>
      <sheetData sheetId="2487">
        <row r="2">
          <cell r="A2" t="str">
            <v>실     명</v>
          </cell>
        </row>
      </sheetData>
      <sheetData sheetId="2488">
        <row r="2">
          <cell r="A2" t="str">
            <v>실     명</v>
          </cell>
        </row>
      </sheetData>
      <sheetData sheetId="2489">
        <row r="2">
          <cell r="A2" t="str">
            <v>실     명</v>
          </cell>
        </row>
      </sheetData>
      <sheetData sheetId="2490">
        <row r="2">
          <cell r="A2" t="str">
            <v>실     명</v>
          </cell>
        </row>
      </sheetData>
      <sheetData sheetId="2491">
        <row r="2">
          <cell r="A2" t="str">
            <v>실     명</v>
          </cell>
        </row>
      </sheetData>
      <sheetData sheetId="2492">
        <row r="2">
          <cell r="A2" t="str">
            <v>실     명</v>
          </cell>
        </row>
      </sheetData>
      <sheetData sheetId="2493">
        <row r="2">
          <cell r="A2" t="str">
            <v>실     명</v>
          </cell>
        </row>
      </sheetData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>
        <row r="2">
          <cell r="A2" t="str">
            <v>실     명</v>
          </cell>
        </row>
      </sheetData>
      <sheetData sheetId="2573">
        <row r="2">
          <cell r="A2" t="str">
            <v>실     명</v>
          </cell>
        </row>
      </sheetData>
      <sheetData sheetId="2574">
        <row r="2">
          <cell r="A2" t="str">
            <v>실     명</v>
          </cell>
        </row>
      </sheetData>
      <sheetData sheetId="2575">
        <row r="2">
          <cell r="A2" t="str">
            <v>실     명</v>
          </cell>
        </row>
      </sheetData>
      <sheetData sheetId="2576">
        <row r="2">
          <cell r="A2" t="str">
            <v>실     명</v>
          </cell>
        </row>
      </sheetData>
      <sheetData sheetId="2577">
        <row r="2">
          <cell r="A2" t="str">
            <v>실     명</v>
          </cell>
        </row>
      </sheetData>
      <sheetData sheetId="2578">
        <row r="2">
          <cell r="A2" t="str">
            <v>실     명</v>
          </cell>
        </row>
      </sheetData>
      <sheetData sheetId="2579">
        <row r="2">
          <cell r="A2" t="str">
            <v>실     명</v>
          </cell>
        </row>
      </sheetData>
      <sheetData sheetId="2580">
        <row r="2">
          <cell r="A2" t="str">
            <v>실     명</v>
          </cell>
        </row>
      </sheetData>
      <sheetData sheetId="2581">
        <row r="2">
          <cell r="A2" t="str">
            <v>실     명</v>
          </cell>
        </row>
      </sheetData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>
        <row r="2">
          <cell r="A2" t="str">
            <v>실     명</v>
          </cell>
        </row>
      </sheetData>
      <sheetData sheetId="2700">
        <row r="2">
          <cell r="A2" t="str">
            <v>실     명</v>
          </cell>
        </row>
      </sheetData>
      <sheetData sheetId="2701">
        <row r="2">
          <cell r="A2" t="str">
            <v>실     명</v>
          </cell>
        </row>
      </sheetData>
      <sheetData sheetId="2702">
        <row r="2">
          <cell r="A2" t="str">
            <v>실     명</v>
          </cell>
        </row>
      </sheetData>
      <sheetData sheetId="2703">
        <row r="2">
          <cell r="A2" t="str">
            <v>실     명</v>
          </cell>
        </row>
      </sheetData>
      <sheetData sheetId="2704">
        <row r="2">
          <cell r="A2" t="str">
            <v>B¹</v>
          </cell>
        </row>
      </sheetData>
      <sheetData sheetId="2705" refreshError="1"/>
      <sheetData sheetId="2706" refreshError="1"/>
      <sheetData sheetId="2707"/>
      <sheetData sheetId="2708">
        <row r="2">
          <cell r="A2" t="str">
            <v>실     명</v>
          </cell>
        </row>
      </sheetData>
      <sheetData sheetId="2709" refreshError="1"/>
      <sheetData sheetId="2710" refreshError="1"/>
      <sheetData sheetId="2711">
        <row r="2">
          <cell r="A2" t="str">
            <v>실     명</v>
          </cell>
        </row>
      </sheetData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>
        <row r="2">
          <cell r="A2" t="str">
            <v>실     명</v>
          </cell>
        </row>
      </sheetData>
      <sheetData sheetId="2733">
        <row r="2">
          <cell r="A2" t="str">
            <v>실     명</v>
          </cell>
        </row>
      </sheetData>
      <sheetData sheetId="2734">
        <row r="2">
          <cell r="A2" t="str">
            <v>실     명</v>
          </cell>
        </row>
      </sheetData>
      <sheetData sheetId="2735"/>
      <sheetData sheetId="2736" refreshError="1"/>
      <sheetData sheetId="2737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>
        <row r="2">
          <cell r="A2" t="str">
            <v>실     명</v>
          </cell>
        </row>
      </sheetData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2">
          <cell r="A2" t="str">
            <v>실     명</v>
          </cell>
        </row>
      </sheetData>
      <sheetData sheetId="2796">
        <row r="2">
          <cell r="A2" t="str">
            <v>실     명</v>
          </cell>
        </row>
      </sheetData>
      <sheetData sheetId="2797">
        <row r="2">
          <cell r="A2" t="str">
            <v>실     명</v>
          </cell>
        </row>
      </sheetData>
      <sheetData sheetId="2798">
        <row r="2">
          <cell r="A2" t="str">
            <v>실     명</v>
          </cell>
        </row>
      </sheetData>
      <sheetData sheetId="2799">
        <row r="2">
          <cell r="A2" t="str">
            <v>실     명</v>
          </cell>
        </row>
      </sheetData>
      <sheetData sheetId="2800">
        <row r="2">
          <cell r="A2" t="str">
            <v>실     명</v>
          </cell>
        </row>
      </sheetData>
      <sheetData sheetId="2801">
        <row r="2">
          <cell r="A2" t="str">
            <v>실     명</v>
          </cell>
        </row>
      </sheetData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>
        <row r="2">
          <cell r="A2" t="str">
            <v>실     명</v>
          </cell>
        </row>
      </sheetData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>
        <row r="2">
          <cell r="A2" t="str">
            <v>실     명</v>
          </cell>
        </row>
      </sheetData>
      <sheetData sheetId="2920" refreshError="1"/>
      <sheetData sheetId="2921">
        <row r="2">
          <cell r="A2" t="str">
            <v>실     명</v>
          </cell>
        </row>
      </sheetData>
      <sheetData sheetId="2922">
        <row r="2">
          <cell r="A2" t="str">
            <v>실     명</v>
          </cell>
        </row>
      </sheetData>
      <sheetData sheetId="2923">
        <row r="2">
          <cell r="A2" t="str">
            <v>실     명</v>
          </cell>
        </row>
      </sheetData>
      <sheetData sheetId="2924">
        <row r="2">
          <cell r="A2" t="str">
            <v>실     명</v>
          </cell>
        </row>
      </sheetData>
      <sheetData sheetId="2925">
        <row r="2">
          <cell r="A2" t="str">
            <v>실     명</v>
          </cell>
        </row>
      </sheetData>
      <sheetData sheetId="2926">
        <row r="2">
          <cell r="A2" t="str">
            <v>실     명</v>
          </cell>
        </row>
      </sheetData>
      <sheetData sheetId="2927">
        <row r="2">
          <cell r="A2" t="str">
            <v>실     명</v>
          </cell>
        </row>
      </sheetData>
      <sheetData sheetId="2928">
        <row r="2">
          <cell r="A2" t="str">
            <v>실     명</v>
          </cell>
        </row>
      </sheetData>
      <sheetData sheetId="2929">
        <row r="2">
          <cell r="A2" t="str">
            <v>실     명</v>
          </cell>
        </row>
      </sheetData>
      <sheetData sheetId="2930">
        <row r="2">
          <cell r="A2" t="str">
            <v>실     명</v>
          </cell>
        </row>
      </sheetData>
      <sheetData sheetId="2931">
        <row r="2">
          <cell r="A2" t="str">
            <v>실     명</v>
          </cell>
        </row>
      </sheetData>
      <sheetData sheetId="2932">
        <row r="2">
          <cell r="A2" t="str">
            <v>실     명</v>
          </cell>
        </row>
      </sheetData>
      <sheetData sheetId="2933">
        <row r="2">
          <cell r="A2" t="str">
            <v>실     명</v>
          </cell>
        </row>
      </sheetData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>
        <row r="2">
          <cell r="A2" t="str">
            <v>실     명</v>
          </cell>
        </row>
      </sheetData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>
        <row r="2">
          <cell r="A2" t="str">
            <v>B¹</v>
          </cell>
        </row>
      </sheetData>
      <sheetData sheetId="3050">
        <row r="2">
          <cell r="A2" t="str">
            <v>$</v>
          </cell>
        </row>
      </sheetData>
      <sheetData sheetId="3051">
        <row r="2">
          <cell r="A2" t="str">
            <v>Y</v>
          </cell>
        </row>
      </sheetData>
      <sheetData sheetId="3052">
        <row r="2">
          <cell r="A2" t="str">
            <v>레미콘</v>
          </cell>
        </row>
      </sheetData>
      <sheetData sheetId="3053">
        <row r="2">
          <cell r="A2" t="str">
            <v>실     명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>
        <row r="2">
          <cell r="A2" t="str">
            <v>실     명</v>
          </cell>
        </row>
      </sheetData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>
        <row r="2">
          <cell r="A2" t="str">
            <v>실     명</v>
          </cell>
        </row>
      </sheetData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>
        <row r="2">
          <cell r="A2" t="str">
            <v>실     명</v>
          </cell>
        </row>
      </sheetData>
      <sheetData sheetId="3118">
        <row r="2">
          <cell r="A2" t="str">
            <v>실     명</v>
          </cell>
        </row>
      </sheetData>
      <sheetData sheetId="3119">
        <row r="2">
          <cell r="A2" t="str">
            <v>실     명</v>
          </cell>
        </row>
      </sheetData>
      <sheetData sheetId="3120">
        <row r="2">
          <cell r="A2" t="str">
            <v>실     명</v>
          </cell>
        </row>
      </sheetData>
      <sheetData sheetId="3121">
        <row r="2">
          <cell r="A2" t="str">
            <v>실     명</v>
          </cell>
        </row>
      </sheetData>
      <sheetData sheetId="3122">
        <row r="2">
          <cell r="A2" t="str">
            <v>실     명</v>
          </cell>
        </row>
      </sheetData>
      <sheetData sheetId="3123">
        <row r="2">
          <cell r="A2" t="str">
            <v>실     명</v>
          </cell>
        </row>
      </sheetData>
      <sheetData sheetId="3124">
        <row r="2">
          <cell r="A2" t="str">
            <v>실     명</v>
          </cell>
        </row>
      </sheetData>
      <sheetData sheetId="3125">
        <row r="2">
          <cell r="A2" t="str">
            <v>실     명</v>
          </cell>
        </row>
      </sheetData>
      <sheetData sheetId="3126">
        <row r="2">
          <cell r="A2" t="str">
            <v>실     명</v>
          </cell>
        </row>
      </sheetData>
      <sheetData sheetId="3127">
        <row r="2">
          <cell r="A2" t="str">
            <v>실     명</v>
          </cell>
        </row>
      </sheetData>
      <sheetData sheetId="3128">
        <row r="2">
          <cell r="A2" t="str">
            <v>실     명</v>
          </cell>
        </row>
      </sheetData>
      <sheetData sheetId="3129">
        <row r="2">
          <cell r="A2" t="str">
            <v>실     명</v>
          </cell>
        </row>
      </sheetData>
      <sheetData sheetId="3130">
        <row r="2">
          <cell r="A2" t="str">
            <v>실     명</v>
          </cell>
        </row>
      </sheetData>
      <sheetData sheetId="3131">
        <row r="2">
          <cell r="A2" t="str">
            <v>실     명</v>
          </cell>
        </row>
      </sheetData>
      <sheetData sheetId="3132">
        <row r="2">
          <cell r="A2" t="str">
            <v>실     명</v>
          </cell>
        </row>
      </sheetData>
      <sheetData sheetId="3133">
        <row r="2">
          <cell r="A2" t="str">
            <v>실     명</v>
          </cell>
        </row>
      </sheetData>
      <sheetData sheetId="3134">
        <row r="2">
          <cell r="A2" t="str">
            <v>실     명</v>
          </cell>
        </row>
      </sheetData>
      <sheetData sheetId="3135">
        <row r="2">
          <cell r="A2" t="str">
            <v>실     명</v>
          </cell>
        </row>
      </sheetData>
      <sheetData sheetId="3136">
        <row r="2">
          <cell r="A2" t="str">
            <v>실     명</v>
          </cell>
        </row>
      </sheetData>
      <sheetData sheetId="3137">
        <row r="2">
          <cell r="A2" t="str">
            <v>실     명</v>
          </cell>
        </row>
      </sheetData>
      <sheetData sheetId="3138">
        <row r="2">
          <cell r="A2" t="str">
            <v>실     명</v>
          </cell>
        </row>
      </sheetData>
      <sheetData sheetId="3139">
        <row r="2">
          <cell r="A2" t="str">
            <v>실     명</v>
          </cell>
        </row>
      </sheetData>
      <sheetData sheetId="3140">
        <row r="2">
          <cell r="A2" t="str">
            <v>실     명</v>
          </cell>
        </row>
      </sheetData>
      <sheetData sheetId="3141">
        <row r="2">
          <cell r="A2" t="str">
            <v>실     명</v>
          </cell>
        </row>
      </sheetData>
      <sheetData sheetId="3142">
        <row r="2">
          <cell r="A2" t="str">
            <v>실     명</v>
          </cell>
        </row>
      </sheetData>
      <sheetData sheetId="3143">
        <row r="2">
          <cell r="A2" t="str">
            <v>실     명</v>
          </cell>
        </row>
      </sheetData>
      <sheetData sheetId="3144">
        <row r="2">
          <cell r="A2" t="str">
            <v>실     명</v>
          </cell>
        </row>
      </sheetData>
      <sheetData sheetId="3145">
        <row r="2">
          <cell r="A2" t="str">
            <v>실     명</v>
          </cell>
        </row>
      </sheetData>
      <sheetData sheetId="3146">
        <row r="2">
          <cell r="A2" t="str">
            <v>실     명</v>
          </cell>
        </row>
      </sheetData>
      <sheetData sheetId="3147">
        <row r="2">
          <cell r="A2" t="str">
            <v>실     명</v>
          </cell>
        </row>
      </sheetData>
      <sheetData sheetId="3148">
        <row r="2">
          <cell r="A2" t="str">
            <v>실     명</v>
          </cell>
        </row>
      </sheetData>
      <sheetData sheetId="3149">
        <row r="2">
          <cell r="A2" t="str">
            <v>실     명</v>
          </cell>
        </row>
      </sheetData>
      <sheetData sheetId="3150">
        <row r="2">
          <cell r="A2" t="str">
            <v>실     명</v>
          </cell>
        </row>
      </sheetData>
      <sheetData sheetId="3151">
        <row r="2">
          <cell r="A2" t="str">
            <v>실     명</v>
          </cell>
        </row>
      </sheetData>
      <sheetData sheetId="3152">
        <row r="2">
          <cell r="A2" t="str">
            <v>실     명</v>
          </cell>
        </row>
      </sheetData>
      <sheetData sheetId="3153">
        <row r="2">
          <cell r="A2" t="str">
            <v>실     명</v>
          </cell>
        </row>
      </sheetData>
      <sheetData sheetId="3154">
        <row r="2">
          <cell r="A2" t="str">
            <v>실     명</v>
          </cell>
        </row>
      </sheetData>
      <sheetData sheetId="3155">
        <row r="2">
          <cell r="A2" t="str">
            <v>실     명</v>
          </cell>
        </row>
      </sheetData>
      <sheetData sheetId="3156">
        <row r="2">
          <cell r="A2" t="str">
            <v>실     명</v>
          </cell>
        </row>
      </sheetData>
      <sheetData sheetId="3157">
        <row r="2">
          <cell r="A2" t="str">
            <v>실     명</v>
          </cell>
        </row>
      </sheetData>
      <sheetData sheetId="3158">
        <row r="2">
          <cell r="A2" t="str">
            <v>실     명</v>
          </cell>
        </row>
      </sheetData>
      <sheetData sheetId="3159">
        <row r="2">
          <cell r="A2" t="str">
            <v>실     명</v>
          </cell>
        </row>
      </sheetData>
      <sheetData sheetId="3160">
        <row r="2">
          <cell r="A2" t="str">
            <v>실     명</v>
          </cell>
        </row>
      </sheetData>
      <sheetData sheetId="3161">
        <row r="2">
          <cell r="A2" t="str">
            <v>실     명</v>
          </cell>
        </row>
      </sheetData>
      <sheetData sheetId="3162">
        <row r="2">
          <cell r="A2" t="str">
            <v>실     명</v>
          </cell>
        </row>
      </sheetData>
      <sheetData sheetId="3163">
        <row r="2">
          <cell r="A2" t="str">
            <v>실     명</v>
          </cell>
        </row>
      </sheetData>
      <sheetData sheetId="3164">
        <row r="2">
          <cell r="A2" t="str">
            <v>실     명</v>
          </cell>
        </row>
      </sheetData>
      <sheetData sheetId="3165">
        <row r="2">
          <cell r="A2" t="str">
            <v>실     명</v>
          </cell>
        </row>
      </sheetData>
      <sheetData sheetId="3166">
        <row r="2">
          <cell r="A2" t="str">
            <v>실     명</v>
          </cell>
        </row>
      </sheetData>
      <sheetData sheetId="3167">
        <row r="2">
          <cell r="A2" t="str">
            <v>실     명</v>
          </cell>
        </row>
      </sheetData>
      <sheetData sheetId="3168">
        <row r="2">
          <cell r="A2" t="str">
            <v>실     명</v>
          </cell>
        </row>
      </sheetData>
      <sheetData sheetId="3169">
        <row r="2">
          <cell r="A2" t="str">
            <v>실     명</v>
          </cell>
        </row>
      </sheetData>
      <sheetData sheetId="3170">
        <row r="2">
          <cell r="A2" t="str">
            <v>실     명</v>
          </cell>
        </row>
      </sheetData>
      <sheetData sheetId="3171">
        <row r="2">
          <cell r="A2" t="str">
            <v>실     명</v>
          </cell>
        </row>
      </sheetData>
      <sheetData sheetId="3172">
        <row r="2">
          <cell r="A2" t="str">
            <v>실     명</v>
          </cell>
        </row>
      </sheetData>
      <sheetData sheetId="3173">
        <row r="2">
          <cell r="A2" t="str">
            <v>실     명</v>
          </cell>
        </row>
      </sheetData>
      <sheetData sheetId="3174">
        <row r="2">
          <cell r="A2" t="str">
            <v>실     명</v>
          </cell>
        </row>
      </sheetData>
      <sheetData sheetId="3175">
        <row r="2">
          <cell r="A2" t="str">
            <v>실     명</v>
          </cell>
        </row>
      </sheetData>
      <sheetData sheetId="3176">
        <row r="2">
          <cell r="A2" t="str">
            <v>실     명</v>
          </cell>
        </row>
      </sheetData>
      <sheetData sheetId="3177">
        <row r="2">
          <cell r="A2" t="str">
            <v>실     명</v>
          </cell>
        </row>
      </sheetData>
      <sheetData sheetId="3178">
        <row r="2">
          <cell r="A2" t="str">
            <v>실     명</v>
          </cell>
        </row>
      </sheetData>
      <sheetData sheetId="3179">
        <row r="2">
          <cell r="A2" t="str">
            <v>실     명</v>
          </cell>
        </row>
      </sheetData>
      <sheetData sheetId="3180">
        <row r="2">
          <cell r="A2" t="str">
            <v>실     명</v>
          </cell>
        </row>
      </sheetData>
      <sheetData sheetId="3181">
        <row r="2">
          <cell r="A2" t="str">
            <v>실     명</v>
          </cell>
        </row>
      </sheetData>
      <sheetData sheetId="3182">
        <row r="2">
          <cell r="A2" t="str">
            <v>실     명</v>
          </cell>
        </row>
      </sheetData>
      <sheetData sheetId="3183">
        <row r="2">
          <cell r="A2" t="str">
            <v>실     명</v>
          </cell>
        </row>
      </sheetData>
      <sheetData sheetId="3184">
        <row r="2">
          <cell r="A2" t="str">
            <v>실     명</v>
          </cell>
        </row>
      </sheetData>
      <sheetData sheetId="3185">
        <row r="2">
          <cell r="A2" t="str">
            <v>실     명</v>
          </cell>
        </row>
      </sheetData>
      <sheetData sheetId="3186">
        <row r="2">
          <cell r="A2" t="str">
            <v>실     명</v>
          </cell>
        </row>
      </sheetData>
      <sheetData sheetId="3187">
        <row r="2">
          <cell r="A2" t="str">
            <v>실     명</v>
          </cell>
        </row>
      </sheetData>
      <sheetData sheetId="3188">
        <row r="2">
          <cell r="A2" t="str">
            <v>실     명</v>
          </cell>
        </row>
      </sheetData>
      <sheetData sheetId="3189">
        <row r="2">
          <cell r="A2" t="str">
            <v>실     명</v>
          </cell>
        </row>
      </sheetData>
      <sheetData sheetId="3190">
        <row r="2">
          <cell r="A2" t="str">
            <v>실     명</v>
          </cell>
        </row>
      </sheetData>
      <sheetData sheetId="3191">
        <row r="2">
          <cell r="A2" t="str">
            <v>실     명</v>
          </cell>
        </row>
      </sheetData>
      <sheetData sheetId="3192">
        <row r="2">
          <cell r="A2" t="str">
            <v>실     명</v>
          </cell>
        </row>
      </sheetData>
      <sheetData sheetId="3193">
        <row r="2">
          <cell r="A2" t="str">
            <v>실     명</v>
          </cell>
        </row>
      </sheetData>
      <sheetData sheetId="3194">
        <row r="2">
          <cell r="A2" t="str">
            <v>실     명</v>
          </cell>
        </row>
      </sheetData>
      <sheetData sheetId="3195">
        <row r="2">
          <cell r="A2" t="str">
            <v>실     명</v>
          </cell>
        </row>
      </sheetData>
      <sheetData sheetId="3196">
        <row r="2">
          <cell r="A2" t="str">
            <v>실     명</v>
          </cell>
        </row>
      </sheetData>
      <sheetData sheetId="3197">
        <row r="2">
          <cell r="A2" t="str">
            <v>실     명</v>
          </cell>
        </row>
      </sheetData>
      <sheetData sheetId="3198">
        <row r="2">
          <cell r="A2" t="str">
            <v>실     명</v>
          </cell>
        </row>
      </sheetData>
      <sheetData sheetId="3199">
        <row r="2">
          <cell r="A2" t="str">
            <v>실     명</v>
          </cell>
        </row>
      </sheetData>
      <sheetData sheetId="3200">
        <row r="2">
          <cell r="A2" t="str">
            <v>실     명</v>
          </cell>
        </row>
      </sheetData>
      <sheetData sheetId="3201">
        <row r="2">
          <cell r="A2" t="str">
            <v>실     명</v>
          </cell>
        </row>
      </sheetData>
      <sheetData sheetId="3202">
        <row r="2">
          <cell r="A2" t="str">
            <v>실     명</v>
          </cell>
        </row>
      </sheetData>
      <sheetData sheetId="3203">
        <row r="2">
          <cell r="A2" t="str">
            <v>실     명</v>
          </cell>
        </row>
      </sheetData>
      <sheetData sheetId="3204">
        <row r="2">
          <cell r="A2" t="str">
            <v>실     명</v>
          </cell>
        </row>
      </sheetData>
      <sheetData sheetId="3205">
        <row r="2">
          <cell r="A2" t="str">
            <v>실     명</v>
          </cell>
        </row>
      </sheetData>
      <sheetData sheetId="3206">
        <row r="2">
          <cell r="A2" t="str">
            <v>실     명</v>
          </cell>
        </row>
      </sheetData>
      <sheetData sheetId="3207">
        <row r="2">
          <cell r="A2" t="str">
            <v>실     명</v>
          </cell>
        </row>
      </sheetData>
      <sheetData sheetId="3208">
        <row r="2">
          <cell r="A2" t="str">
            <v>실     명</v>
          </cell>
        </row>
      </sheetData>
      <sheetData sheetId="3209">
        <row r="2">
          <cell r="A2" t="str">
            <v>실     명</v>
          </cell>
        </row>
      </sheetData>
      <sheetData sheetId="3210">
        <row r="2">
          <cell r="A2" t="str">
            <v>실     명</v>
          </cell>
        </row>
      </sheetData>
      <sheetData sheetId="3211">
        <row r="2">
          <cell r="A2" t="str">
            <v>실     명</v>
          </cell>
        </row>
      </sheetData>
      <sheetData sheetId="3212">
        <row r="2">
          <cell r="A2" t="str">
            <v>실     명</v>
          </cell>
        </row>
      </sheetData>
      <sheetData sheetId="3213">
        <row r="2">
          <cell r="A2" t="str">
            <v>실     명</v>
          </cell>
        </row>
      </sheetData>
      <sheetData sheetId="3214">
        <row r="2">
          <cell r="A2" t="str">
            <v>실     명</v>
          </cell>
        </row>
      </sheetData>
      <sheetData sheetId="3215">
        <row r="2">
          <cell r="A2" t="str">
            <v>실     명</v>
          </cell>
        </row>
      </sheetData>
      <sheetData sheetId="3216">
        <row r="2">
          <cell r="A2" t="str">
            <v>실     명</v>
          </cell>
        </row>
      </sheetData>
      <sheetData sheetId="3217">
        <row r="2">
          <cell r="A2" t="str">
            <v>실     명</v>
          </cell>
        </row>
      </sheetData>
      <sheetData sheetId="3218">
        <row r="2">
          <cell r="A2" t="str">
            <v>실     명</v>
          </cell>
        </row>
      </sheetData>
      <sheetData sheetId="3219">
        <row r="2">
          <cell r="A2" t="str">
            <v>실     명</v>
          </cell>
        </row>
      </sheetData>
      <sheetData sheetId="3220">
        <row r="2">
          <cell r="A2" t="str">
            <v>실     명</v>
          </cell>
        </row>
      </sheetData>
      <sheetData sheetId="3221">
        <row r="2">
          <cell r="A2" t="str">
            <v>실     명</v>
          </cell>
        </row>
      </sheetData>
      <sheetData sheetId="3222">
        <row r="2">
          <cell r="A2" t="str">
            <v>실     명</v>
          </cell>
        </row>
      </sheetData>
      <sheetData sheetId="3223">
        <row r="2">
          <cell r="A2" t="str">
            <v>실     명</v>
          </cell>
        </row>
      </sheetData>
      <sheetData sheetId="3224">
        <row r="2">
          <cell r="A2" t="str">
            <v>실     명</v>
          </cell>
        </row>
      </sheetData>
      <sheetData sheetId="3225">
        <row r="2">
          <cell r="A2" t="str">
            <v>실     명</v>
          </cell>
        </row>
      </sheetData>
      <sheetData sheetId="3226">
        <row r="2">
          <cell r="A2" t="str">
            <v>실     명</v>
          </cell>
        </row>
      </sheetData>
      <sheetData sheetId="3227">
        <row r="2">
          <cell r="A2" t="str">
            <v>실     명</v>
          </cell>
        </row>
      </sheetData>
      <sheetData sheetId="3228">
        <row r="2">
          <cell r="A2" t="str">
            <v>실     명</v>
          </cell>
        </row>
      </sheetData>
      <sheetData sheetId="3229">
        <row r="2">
          <cell r="A2" t="str">
            <v>실     명</v>
          </cell>
        </row>
      </sheetData>
      <sheetData sheetId="3230">
        <row r="2">
          <cell r="A2" t="str">
            <v>실     명</v>
          </cell>
        </row>
      </sheetData>
      <sheetData sheetId="3231">
        <row r="2">
          <cell r="A2" t="str">
            <v>실     명</v>
          </cell>
        </row>
      </sheetData>
      <sheetData sheetId="3232">
        <row r="2">
          <cell r="A2" t="str">
            <v>실     명</v>
          </cell>
        </row>
      </sheetData>
      <sheetData sheetId="3233">
        <row r="2">
          <cell r="A2" t="str">
            <v>실     명</v>
          </cell>
        </row>
      </sheetData>
      <sheetData sheetId="3234">
        <row r="2">
          <cell r="A2" t="str">
            <v>실     명</v>
          </cell>
        </row>
      </sheetData>
      <sheetData sheetId="3235">
        <row r="2">
          <cell r="A2" t="str">
            <v>실     명</v>
          </cell>
        </row>
      </sheetData>
      <sheetData sheetId="3236">
        <row r="2">
          <cell r="A2" t="str">
            <v>실     명</v>
          </cell>
        </row>
      </sheetData>
      <sheetData sheetId="3237">
        <row r="2">
          <cell r="A2" t="str">
            <v>실     명</v>
          </cell>
        </row>
      </sheetData>
      <sheetData sheetId="3238">
        <row r="2">
          <cell r="A2" t="str">
            <v>실     명</v>
          </cell>
        </row>
      </sheetData>
      <sheetData sheetId="3239">
        <row r="2">
          <cell r="A2" t="str">
            <v>실     명</v>
          </cell>
        </row>
      </sheetData>
      <sheetData sheetId="3240">
        <row r="2">
          <cell r="A2" t="str">
            <v>실     명</v>
          </cell>
        </row>
      </sheetData>
      <sheetData sheetId="3241">
        <row r="2">
          <cell r="A2" t="str">
            <v>실     명</v>
          </cell>
        </row>
      </sheetData>
      <sheetData sheetId="3242">
        <row r="2">
          <cell r="A2" t="str">
            <v>실     명</v>
          </cell>
        </row>
      </sheetData>
      <sheetData sheetId="3243">
        <row r="2">
          <cell r="A2" t="str">
            <v>실     명</v>
          </cell>
        </row>
      </sheetData>
      <sheetData sheetId="3244">
        <row r="2">
          <cell r="A2" t="str">
            <v>실     명</v>
          </cell>
        </row>
      </sheetData>
      <sheetData sheetId="3245">
        <row r="2">
          <cell r="A2" t="str">
            <v>실     명</v>
          </cell>
        </row>
      </sheetData>
      <sheetData sheetId="3246">
        <row r="2">
          <cell r="A2" t="str">
            <v>실     명</v>
          </cell>
        </row>
      </sheetData>
      <sheetData sheetId="3247">
        <row r="2">
          <cell r="A2" t="str">
            <v>실     명</v>
          </cell>
        </row>
      </sheetData>
      <sheetData sheetId="3248">
        <row r="2">
          <cell r="A2" t="str">
            <v>실     명</v>
          </cell>
        </row>
      </sheetData>
      <sheetData sheetId="3249">
        <row r="2">
          <cell r="A2" t="str">
            <v>실     명</v>
          </cell>
        </row>
      </sheetData>
      <sheetData sheetId="3250">
        <row r="2">
          <cell r="A2" t="str">
            <v>실     명</v>
          </cell>
        </row>
      </sheetData>
      <sheetData sheetId="3251">
        <row r="2">
          <cell r="A2" t="str">
            <v>실     명</v>
          </cell>
        </row>
      </sheetData>
      <sheetData sheetId="3252">
        <row r="2">
          <cell r="A2" t="str">
            <v>실     명</v>
          </cell>
        </row>
      </sheetData>
      <sheetData sheetId="3253">
        <row r="2">
          <cell r="A2" t="str">
            <v>실     명</v>
          </cell>
        </row>
      </sheetData>
      <sheetData sheetId="3254">
        <row r="2">
          <cell r="A2" t="str">
            <v>실     명</v>
          </cell>
        </row>
      </sheetData>
      <sheetData sheetId="3255">
        <row r="2">
          <cell r="A2" t="str">
            <v>실     명</v>
          </cell>
        </row>
      </sheetData>
      <sheetData sheetId="3256">
        <row r="2">
          <cell r="A2" t="str">
            <v>실     명</v>
          </cell>
        </row>
      </sheetData>
      <sheetData sheetId="3257">
        <row r="2">
          <cell r="A2" t="str">
            <v>실     명</v>
          </cell>
        </row>
      </sheetData>
      <sheetData sheetId="3258">
        <row r="2">
          <cell r="A2" t="str">
            <v>실     명</v>
          </cell>
        </row>
      </sheetData>
      <sheetData sheetId="3259">
        <row r="2">
          <cell r="A2" t="str">
            <v>실     명</v>
          </cell>
        </row>
      </sheetData>
      <sheetData sheetId="3260">
        <row r="2">
          <cell r="A2" t="str">
            <v>실     명</v>
          </cell>
        </row>
      </sheetData>
      <sheetData sheetId="3261">
        <row r="2">
          <cell r="A2" t="str">
            <v>실     명</v>
          </cell>
        </row>
      </sheetData>
      <sheetData sheetId="3262">
        <row r="2">
          <cell r="A2" t="str">
            <v>실     명</v>
          </cell>
        </row>
      </sheetData>
      <sheetData sheetId="3263">
        <row r="2">
          <cell r="A2" t="str">
            <v>실     명</v>
          </cell>
        </row>
      </sheetData>
      <sheetData sheetId="3264">
        <row r="2">
          <cell r="A2" t="str">
            <v>실     명</v>
          </cell>
        </row>
      </sheetData>
      <sheetData sheetId="3265">
        <row r="2">
          <cell r="A2" t="str">
            <v>실     명</v>
          </cell>
        </row>
      </sheetData>
      <sheetData sheetId="3266">
        <row r="2">
          <cell r="A2" t="str">
            <v>실     명</v>
          </cell>
        </row>
      </sheetData>
      <sheetData sheetId="3267">
        <row r="2">
          <cell r="A2" t="str">
            <v>실     명</v>
          </cell>
        </row>
      </sheetData>
      <sheetData sheetId="3268">
        <row r="2">
          <cell r="A2" t="str">
            <v>실     명</v>
          </cell>
        </row>
      </sheetData>
      <sheetData sheetId="3269">
        <row r="2">
          <cell r="A2" t="str">
            <v>실     명</v>
          </cell>
        </row>
      </sheetData>
      <sheetData sheetId="3270">
        <row r="2">
          <cell r="A2" t="str">
            <v>실     명</v>
          </cell>
        </row>
      </sheetData>
      <sheetData sheetId="3271">
        <row r="2">
          <cell r="A2" t="str">
            <v>실     명</v>
          </cell>
        </row>
      </sheetData>
      <sheetData sheetId="3272">
        <row r="2">
          <cell r="A2" t="str">
            <v>실     명</v>
          </cell>
        </row>
      </sheetData>
      <sheetData sheetId="3273">
        <row r="2">
          <cell r="A2" t="str">
            <v>실     명</v>
          </cell>
        </row>
      </sheetData>
      <sheetData sheetId="3274">
        <row r="2">
          <cell r="A2" t="str">
            <v>실     명</v>
          </cell>
        </row>
      </sheetData>
      <sheetData sheetId="3275">
        <row r="2">
          <cell r="A2" t="str">
            <v>실     명</v>
          </cell>
        </row>
      </sheetData>
      <sheetData sheetId="3276">
        <row r="2">
          <cell r="A2" t="str">
            <v>실     명</v>
          </cell>
        </row>
      </sheetData>
      <sheetData sheetId="3277">
        <row r="2">
          <cell r="A2" t="str">
            <v>실     명</v>
          </cell>
        </row>
      </sheetData>
      <sheetData sheetId="3278" refreshError="1"/>
      <sheetData sheetId="3279">
        <row r="2">
          <cell r="A2" t="str">
            <v>실     명</v>
          </cell>
        </row>
      </sheetData>
      <sheetData sheetId="3280">
        <row r="2">
          <cell r="A2" t="str">
            <v>실     명</v>
          </cell>
        </row>
      </sheetData>
      <sheetData sheetId="3281">
        <row r="2">
          <cell r="A2" t="str">
            <v>실     명</v>
          </cell>
        </row>
      </sheetData>
      <sheetData sheetId="3282">
        <row r="2">
          <cell r="A2" t="str">
            <v>실     명</v>
          </cell>
        </row>
      </sheetData>
      <sheetData sheetId="3283">
        <row r="2">
          <cell r="A2" t="str">
            <v>실     명</v>
          </cell>
        </row>
      </sheetData>
      <sheetData sheetId="3284">
        <row r="2">
          <cell r="A2" t="str">
            <v>실     명</v>
          </cell>
        </row>
      </sheetData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>
        <row r="2">
          <cell r="A2" t="str">
            <v>실     명</v>
          </cell>
        </row>
      </sheetData>
      <sheetData sheetId="3294">
        <row r="2">
          <cell r="A2" t="str">
            <v>실     명</v>
          </cell>
        </row>
      </sheetData>
      <sheetData sheetId="3295">
        <row r="2">
          <cell r="A2" t="str">
            <v>실     명</v>
          </cell>
        </row>
      </sheetData>
      <sheetData sheetId="3296">
        <row r="2">
          <cell r="A2" t="str">
            <v>실     명</v>
          </cell>
        </row>
      </sheetData>
      <sheetData sheetId="3297">
        <row r="2">
          <cell r="A2" t="str">
            <v>실     명</v>
          </cell>
        </row>
      </sheetData>
      <sheetData sheetId="3298">
        <row r="2">
          <cell r="A2" t="str">
            <v>실     명</v>
          </cell>
        </row>
      </sheetData>
      <sheetData sheetId="3299">
        <row r="2">
          <cell r="A2" t="str">
            <v>실     명</v>
          </cell>
        </row>
      </sheetData>
      <sheetData sheetId="3300">
        <row r="2">
          <cell r="A2" t="str">
            <v>실     명</v>
          </cell>
        </row>
      </sheetData>
      <sheetData sheetId="3301">
        <row r="2">
          <cell r="A2" t="str">
            <v>실     명</v>
          </cell>
        </row>
      </sheetData>
      <sheetData sheetId="3302">
        <row r="2">
          <cell r="A2" t="str">
            <v>실     명</v>
          </cell>
        </row>
      </sheetData>
      <sheetData sheetId="3303">
        <row r="2">
          <cell r="A2" t="str">
            <v>실     명</v>
          </cell>
        </row>
      </sheetData>
      <sheetData sheetId="3304">
        <row r="2">
          <cell r="A2" t="str">
            <v>실     명</v>
          </cell>
        </row>
      </sheetData>
      <sheetData sheetId="3305">
        <row r="2">
          <cell r="A2" t="str">
            <v>실     명</v>
          </cell>
        </row>
      </sheetData>
      <sheetData sheetId="3306">
        <row r="2">
          <cell r="A2" t="str">
            <v>실     명</v>
          </cell>
        </row>
      </sheetData>
      <sheetData sheetId="3307">
        <row r="2">
          <cell r="A2" t="str">
            <v>실     명</v>
          </cell>
        </row>
      </sheetData>
      <sheetData sheetId="3308">
        <row r="2">
          <cell r="A2" t="str">
            <v>실     명</v>
          </cell>
        </row>
      </sheetData>
      <sheetData sheetId="3309">
        <row r="2">
          <cell r="A2" t="str">
            <v>실     명</v>
          </cell>
        </row>
      </sheetData>
      <sheetData sheetId="3310">
        <row r="2">
          <cell r="A2" t="str">
            <v>실     명</v>
          </cell>
        </row>
      </sheetData>
      <sheetData sheetId="3311">
        <row r="2">
          <cell r="A2" t="str">
            <v>실     명</v>
          </cell>
        </row>
      </sheetData>
      <sheetData sheetId="3312">
        <row r="2">
          <cell r="A2" t="str">
            <v>실     명</v>
          </cell>
        </row>
      </sheetData>
      <sheetData sheetId="3313">
        <row r="2">
          <cell r="A2" t="str">
            <v>실     명</v>
          </cell>
        </row>
      </sheetData>
      <sheetData sheetId="3314">
        <row r="2">
          <cell r="A2" t="str">
            <v>실     명</v>
          </cell>
        </row>
      </sheetData>
      <sheetData sheetId="3315">
        <row r="2">
          <cell r="A2" t="str">
            <v>실     명</v>
          </cell>
        </row>
      </sheetData>
      <sheetData sheetId="3316">
        <row r="2">
          <cell r="A2" t="str">
            <v>실     명</v>
          </cell>
        </row>
      </sheetData>
      <sheetData sheetId="3317">
        <row r="2">
          <cell r="A2" t="str">
            <v>실     명</v>
          </cell>
        </row>
      </sheetData>
      <sheetData sheetId="3318">
        <row r="2">
          <cell r="A2" t="str">
            <v>실     명</v>
          </cell>
        </row>
      </sheetData>
      <sheetData sheetId="3319">
        <row r="2">
          <cell r="A2" t="str">
            <v>실     명</v>
          </cell>
        </row>
      </sheetData>
      <sheetData sheetId="3320">
        <row r="2">
          <cell r="A2" t="str">
            <v>실     명</v>
          </cell>
        </row>
      </sheetData>
      <sheetData sheetId="3321">
        <row r="2">
          <cell r="A2" t="str">
            <v>실     명</v>
          </cell>
        </row>
      </sheetData>
      <sheetData sheetId="3322">
        <row r="2">
          <cell r="A2" t="str">
            <v>실     명</v>
          </cell>
        </row>
      </sheetData>
      <sheetData sheetId="3323">
        <row r="2">
          <cell r="A2" t="str">
            <v>실     명</v>
          </cell>
        </row>
      </sheetData>
      <sheetData sheetId="3324">
        <row r="2">
          <cell r="A2" t="str">
            <v>실     명</v>
          </cell>
        </row>
      </sheetData>
      <sheetData sheetId="3325">
        <row r="2">
          <cell r="A2" t="str">
            <v>실     명</v>
          </cell>
        </row>
      </sheetData>
      <sheetData sheetId="3326">
        <row r="2">
          <cell r="A2" t="str">
            <v>실     명</v>
          </cell>
        </row>
      </sheetData>
      <sheetData sheetId="3327">
        <row r="2">
          <cell r="A2" t="str">
            <v>실     명</v>
          </cell>
        </row>
      </sheetData>
      <sheetData sheetId="3328">
        <row r="2">
          <cell r="A2" t="str">
            <v>실     명</v>
          </cell>
        </row>
      </sheetData>
      <sheetData sheetId="3329">
        <row r="2">
          <cell r="A2" t="str">
            <v>실     명</v>
          </cell>
        </row>
      </sheetData>
      <sheetData sheetId="3330">
        <row r="2">
          <cell r="A2" t="str">
            <v>실     명</v>
          </cell>
        </row>
      </sheetData>
      <sheetData sheetId="3331">
        <row r="2">
          <cell r="A2" t="str">
            <v>실     명</v>
          </cell>
        </row>
      </sheetData>
      <sheetData sheetId="3332">
        <row r="2">
          <cell r="A2" t="str">
            <v>실     명</v>
          </cell>
        </row>
      </sheetData>
      <sheetData sheetId="3333">
        <row r="2">
          <cell r="A2" t="str">
            <v>실     명</v>
          </cell>
        </row>
      </sheetData>
      <sheetData sheetId="3334">
        <row r="2">
          <cell r="A2" t="str">
            <v>실     명</v>
          </cell>
        </row>
      </sheetData>
      <sheetData sheetId="3335">
        <row r="2">
          <cell r="A2" t="str">
            <v>$</v>
          </cell>
        </row>
      </sheetData>
      <sheetData sheetId="3336">
        <row r="2">
          <cell r="A2" t="str">
            <v>Y</v>
          </cell>
        </row>
      </sheetData>
      <sheetData sheetId="3337">
        <row r="2">
          <cell r="A2" t="str">
            <v>레미콘</v>
          </cell>
        </row>
      </sheetData>
      <sheetData sheetId="3338">
        <row r="2">
          <cell r="A2" t="str">
            <v>실     명</v>
          </cell>
        </row>
      </sheetData>
      <sheetData sheetId="3339">
        <row r="2">
          <cell r="A2" t="str">
            <v>실     명</v>
          </cell>
        </row>
      </sheetData>
      <sheetData sheetId="3340">
        <row r="2">
          <cell r="A2" t="str">
            <v>실     명</v>
          </cell>
        </row>
      </sheetData>
      <sheetData sheetId="3341">
        <row r="2">
          <cell r="A2" t="str">
            <v>실     명</v>
          </cell>
        </row>
      </sheetData>
      <sheetData sheetId="3342">
        <row r="2">
          <cell r="A2" t="str">
            <v>실     명</v>
          </cell>
        </row>
      </sheetData>
      <sheetData sheetId="3343">
        <row r="2">
          <cell r="A2" t="str">
            <v>실     명</v>
          </cell>
        </row>
      </sheetData>
      <sheetData sheetId="3344">
        <row r="2">
          <cell r="A2" t="str">
            <v>실     명</v>
          </cell>
        </row>
      </sheetData>
      <sheetData sheetId="3345">
        <row r="2">
          <cell r="A2" t="str">
            <v>실     명</v>
          </cell>
        </row>
      </sheetData>
      <sheetData sheetId="3346">
        <row r="2">
          <cell r="A2" t="str">
            <v>실     명</v>
          </cell>
        </row>
      </sheetData>
      <sheetData sheetId="3347">
        <row r="2">
          <cell r="A2" t="str">
            <v>실     명</v>
          </cell>
        </row>
      </sheetData>
      <sheetData sheetId="3348">
        <row r="2">
          <cell r="A2" t="str">
            <v>실     명</v>
          </cell>
        </row>
      </sheetData>
      <sheetData sheetId="3349">
        <row r="2">
          <cell r="A2" t="str">
            <v>실     명</v>
          </cell>
        </row>
      </sheetData>
      <sheetData sheetId="3350">
        <row r="2">
          <cell r="A2" t="str">
            <v>실     명</v>
          </cell>
        </row>
      </sheetData>
      <sheetData sheetId="3351">
        <row r="2">
          <cell r="A2" t="str">
            <v>실     명</v>
          </cell>
        </row>
      </sheetData>
      <sheetData sheetId="3352">
        <row r="2">
          <cell r="A2" t="str">
            <v>실     명</v>
          </cell>
        </row>
      </sheetData>
      <sheetData sheetId="3353">
        <row r="2">
          <cell r="A2" t="str">
            <v>실     명</v>
          </cell>
        </row>
      </sheetData>
      <sheetData sheetId="3354">
        <row r="2">
          <cell r="A2" t="str">
            <v>실     명</v>
          </cell>
        </row>
      </sheetData>
      <sheetData sheetId="3355">
        <row r="2">
          <cell r="A2" t="str">
            <v>실     명</v>
          </cell>
        </row>
      </sheetData>
      <sheetData sheetId="3356">
        <row r="2">
          <cell r="A2" t="str">
            <v>실     명</v>
          </cell>
        </row>
      </sheetData>
      <sheetData sheetId="3357">
        <row r="2">
          <cell r="A2" t="str">
            <v>실     명</v>
          </cell>
        </row>
      </sheetData>
      <sheetData sheetId="3358">
        <row r="2">
          <cell r="A2" t="str">
            <v>실     명</v>
          </cell>
        </row>
      </sheetData>
      <sheetData sheetId="3359">
        <row r="2">
          <cell r="A2" t="str">
            <v>실     명</v>
          </cell>
        </row>
      </sheetData>
      <sheetData sheetId="3360">
        <row r="2">
          <cell r="A2" t="str">
            <v>실     명</v>
          </cell>
        </row>
      </sheetData>
      <sheetData sheetId="3361">
        <row r="2">
          <cell r="A2" t="str">
            <v>실     명</v>
          </cell>
        </row>
      </sheetData>
      <sheetData sheetId="3362">
        <row r="2">
          <cell r="A2" t="str">
            <v>실     명</v>
          </cell>
        </row>
      </sheetData>
      <sheetData sheetId="3363">
        <row r="2">
          <cell r="A2" t="str">
            <v>실     명</v>
          </cell>
        </row>
      </sheetData>
      <sheetData sheetId="3364">
        <row r="2">
          <cell r="A2" t="str">
            <v>실     명</v>
          </cell>
        </row>
      </sheetData>
      <sheetData sheetId="3365">
        <row r="2">
          <cell r="A2" t="str">
            <v>실     명</v>
          </cell>
        </row>
      </sheetData>
      <sheetData sheetId="3366">
        <row r="2">
          <cell r="A2" t="str">
            <v>실     명</v>
          </cell>
        </row>
      </sheetData>
      <sheetData sheetId="3367">
        <row r="2">
          <cell r="A2" t="str">
            <v>실     명</v>
          </cell>
        </row>
      </sheetData>
      <sheetData sheetId="3368">
        <row r="2">
          <cell r="A2" t="str">
            <v>실     명</v>
          </cell>
        </row>
      </sheetData>
      <sheetData sheetId="3369">
        <row r="2">
          <cell r="A2" t="str">
            <v>실     명</v>
          </cell>
        </row>
      </sheetData>
      <sheetData sheetId="3370">
        <row r="2">
          <cell r="A2" t="str">
            <v>실     명</v>
          </cell>
        </row>
      </sheetData>
      <sheetData sheetId="3371">
        <row r="2">
          <cell r="A2" t="str">
            <v>실     명</v>
          </cell>
        </row>
      </sheetData>
      <sheetData sheetId="3372">
        <row r="2">
          <cell r="A2" t="str">
            <v>실     명</v>
          </cell>
        </row>
      </sheetData>
      <sheetData sheetId="3373">
        <row r="2">
          <cell r="A2" t="str">
            <v>실     명</v>
          </cell>
        </row>
      </sheetData>
      <sheetData sheetId="3374">
        <row r="2">
          <cell r="A2" t="str">
            <v>실     명</v>
          </cell>
        </row>
      </sheetData>
      <sheetData sheetId="3375">
        <row r="2">
          <cell r="A2" t="str">
            <v>실     명</v>
          </cell>
        </row>
      </sheetData>
      <sheetData sheetId="3376">
        <row r="2">
          <cell r="A2" t="str">
            <v>실     명</v>
          </cell>
        </row>
      </sheetData>
      <sheetData sheetId="3377">
        <row r="2">
          <cell r="A2" t="str">
            <v>실     명</v>
          </cell>
        </row>
      </sheetData>
      <sheetData sheetId="3378">
        <row r="2">
          <cell r="A2" t="str">
            <v>실     명</v>
          </cell>
        </row>
      </sheetData>
      <sheetData sheetId="3379">
        <row r="2">
          <cell r="A2" t="str">
            <v>실     명</v>
          </cell>
        </row>
      </sheetData>
      <sheetData sheetId="3380">
        <row r="2">
          <cell r="A2" t="str">
            <v>실     명</v>
          </cell>
        </row>
      </sheetData>
      <sheetData sheetId="3381">
        <row r="2">
          <cell r="A2" t="str">
            <v>실     명</v>
          </cell>
        </row>
      </sheetData>
      <sheetData sheetId="3382">
        <row r="2">
          <cell r="A2" t="str">
            <v>실     명</v>
          </cell>
        </row>
      </sheetData>
      <sheetData sheetId="3383">
        <row r="2">
          <cell r="A2" t="str">
            <v>실     명</v>
          </cell>
        </row>
      </sheetData>
      <sheetData sheetId="3384">
        <row r="2">
          <cell r="A2" t="str">
            <v>실     명</v>
          </cell>
        </row>
      </sheetData>
      <sheetData sheetId="3385">
        <row r="2">
          <cell r="A2" t="str">
            <v>실     명</v>
          </cell>
        </row>
      </sheetData>
      <sheetData sheetId="3386">
        <row r="2">
          <cell r="A2" t="str">
            <v>실     명</v>
          </cell>
        </row>
      </sheetData>
      <sheetData sheetId="3387">
        <row r="2">
          <cell r="A2" t="str">
            <v>실     명</v>
          </cell>
        </row>
      </sheetData>
      <sheetData sheetId="3388">
        <row r="2">
          <cell r="A2" t="str">
            <v>실     명</v>
          </cell>
        </row>
      </sheetData>
      <sheetData sheetId="3389">
        <row r="2">
          <cell r="A2" t="str">
            <v>실     명</v>
          </cell>
        </row>
      </sheetData>
      <sheetData sheetId="3390">
        <row r="2">
          <cell r="A2" t="str">
            <v>실     명</v>
          </cell>
        </row>
      </sheetData>
      <sheetData sheetId="3391">
        <row r="2">
          <cell r="A2" t="str">
            <v>실     명</v>
          </cell>
        </row>
      </sheetData>
      <sheetData sheetId="3392">
        <row r="2">
          <cell r="A2" t="str">
            <v>실     명</v>
          </cell>
        </row>
      </sheetData>
      <sheetData sheetId="3393">
        <row r="2">
          <cell r="A2" t="str">
            <v>실     명</v>
          </cell>
        </row>
      </sheetData>
      <sheetData sheetId="3394">
        <row r="2">
          <cell r="A2" t="str">
            <v>실     명</v>
          </cell>
        </row>
      </sheetData>
      <sheetData sheetId="3395">
        <row r="2">
          <cell r="A2" t="str">
            <v>실     명</v>
          </cell>
        </row>
      </sheetData>
      <sheetData sheetId="3396">
        <row r="2">
          <cell r="A2" t="str">
            <v>실     명</v>
          </cell>
        </row>
      </sheetData>
      <sheetData sheetId="3397">
        <row r="2">
          <cell r="A2" t="str">
            <v>실     명</v>
          </cell>
        </row>
      </sheetData>
      <sheetData sheetId="3398">
        <row r="2">
          <cell r="A2" t="str">
            <v>실     명</v>
          </cell>
        </row>
      </sheetData>
      <sheetData sheetId="3399">
        <row r="2">
          <cell r="A2" t="str">
            <v>실     명</v>
          </cell>
        </row>
      </sheetData>
      <sheetData sheetId="3400">
        <row r="2">
          <cell r="A2" t="str">
            <v>실     명</v>
          </cell>
        </row>
      </sheetData>
      <sheetData sheetId="3401">
        <row r="2">
          <cell r="A2" t="str">
            <v>실     명</v>
          </cell>
        </row>
      </sheetData>
      <sheetData sheetId="3402">
        <row r="2">
          <cell r="A2" t="str">
            <v>실     명</v>
          </cell>
        </row>
      </sheetData>
      <sheetData sheetId="3403">
        <row r="2">
          <cell r="A2" t="str">
            <v>실     명</v>
          </cell>
        </row>
      </sheetData>
      <sheetData sheetId="3404">
        <row r="2">
          <cell r="A2" t="str">
            <v>실     명</v>
          </cell>
        </row>
      </sheetData>
      <sheetData sheetId="3405">
        <row r="2">
          <cell r="A2" t="str">
            <v>실     명</v>
          </cell>
        </row>
      </sheetData>
      <sheetData sheetId="3406">
        <row r="2">
          <cell r="A2" t="str">
            <v>실     명</v>
          </cell>
        </row>
      </sheetData>
      <sheetData sheetId="3407">
        <row r="2">
          <cell r="A2" t="str">
            <v>실     명</v>
          </cell>
        </row>
      </sheetData>
      <sheetData sheetId="3408">
        <row r="2">
          <cell r="A2" t="str">
            <v>실     명</v>
          </cell>
        </row>
      </sheetData>
      <sheetData sheetId="3409">
        <row r="2">
          <cell r="A2" t="str">
            <v>실     명</v>
          </cell>
        </row>
      </sheetData>
      <sheetData sheetId="3410">
        <row r="2">
          <cell r="A2" t="str">
            <v>실     명</v>
          </cell>
        </row>
      </sheetData>
      <sheetData sheetId="3411">
        <row r="2">
          <cell r="A2" t="str">
            <v>실     명</v>
          </cell>
        </row>
      </sheetData>
      <sheetData sheetId="3412">
        <row r="2">
          <cell r="A2" t="str">
            <v>실     명</v>
          </cell>
        </row>
      </sheetData>
      <sheetData sheetId="3413">
        <row r="2">
          <cell r="A2" t="str">
            <v>실     명</v>
          </cell>
        </row>
      </sheetData>
      <sheetData sheetId="3414">
        <row r="2">
          <cell r="A2" t="str">
            <v>실     명</v>
          </cell>
        </row>
      </sheetData>
      <sheetData sheetId="3415">
        <row r="2">
          <cell r="A2" t="str">
            <v>실     명</v>
          </cell>
        </row>
      </sheetData>
      <sheetData sheetId="3416">
        <row r="2">
          <cell r="A2" t="str">
            <v>실     명</v>
          </cell>
        </row>
      </sheetData>
      <sheetData sheetId="3417">
        <row r="2">
          <cell r="A2" t="str">
            <v>실     명</v>
          </cell>
        </row>
      </sheetData>
      <sheetData sheetId="3418">
        <row r="2">
          <cell r="A2" t="str">
            <v>실     명</v>
          </cell>
        </row>
      </sheetData>
      <sheetData sheetId="3419">
        <row r="2">
          <cell r="A2" t="str">
            <v>실     명</v>
          </cell>
        </row>
      </sheetData>
      <sheetData sheetId="3420">
        <row r="2">
          <cell r="A2" t="str">
            <v>실     명</v>
          </cell>
        </row>
      </sheetData>
      <sheetData sheetId="3421">
        <row r="2">
          <cell r="A2" t="str">
            <v>실     명</v>
          </cell>
        </row>
      </sheetData>
      <sheetData sheetId="3422">
        <row r="2">
          <cell r="A2" t="str">
            <v>실     명</v>
          </cell>
        </row>
      </sheetData>
      <sheetData sheetId="3423">
        <row r="2">
          <cell r="A2" t="str">
            <v>실     명</v>
          </cell>
        </row>
      </sheetData>
      <sheetData sheetId="3424">
        <row r="2">
          <cell r="A2" t="str">
            <v>실     명</v>
          </cell>
        </row>
      </sheetData>
      <sheetData sheetId="3425">
        <row r="2">
          <cell r="A2" t="str">
            <v>실     명</v>
          </cell>
        </row>
      </sheetData>
      <sheetData sheetId="3426">
        <row r="2">
          <cell r="A2" t="str">
            <v>실     명</v>
          </cell>
        </row>
      </sheetData>
      <sheetData sheetId="3427">
        <row r="2">
          <cell r="A2" t="str">
            <v>실     명</v>
          </cell>
        </row>
      </sheetData>
      <sheetData sheetId="3428">
        <row r="2">
          <cell r="A2" t="str">
            <v>실     명</v>
          </cell>
        </row>
      </sheetData>
      <sheetData sheetId="3429">
        <row r="2">
          <cell r="A2" t="str">
            <v>실     명</v>
          </cell>
        </row>
      </sheetData>
      <sheetData sheetId="3430">
        <row r="2">
          <cell r="A2" t="str">
            <v>실     명</v>
          </cell>
        </row>
      </sheetData>
      <sheetData sheetId="3431">
        <row r="2">
          <cell r="A2" t="str">
            <v>실     명</v>
          </cell>
        </row>
      </sheetData>
      <sheetData sheetId="3432">
        <row r="2">
          <cell r="A2" t="str">
            <v>실     명</v>
          </cell>
        </row>
      </sheetData>
      <sheetData sheetId="3433">
        <row r="2">
          <cell r="A2" t="str">
            <v>실     명</v>
          </cell>
        </row>
      </sheetData>
      <sheetData sheetId="3434">
        <row r="2">
          <cell r="A2" t="str">
            <v>실     명</v>
          </cell>
        </row>
      </sheetData>
      <sheetData sheetId="3435">
        <row r="2">
          <cell r="A2" t="str">
            <v>실     명</v>
          </cell>
        </row>
      </sheetData>
      <sheetData sheetId="3436">
        <row r="2">
          <cell r="A2" t="str">
            <v>실     명</v>
          </cell>
        </row>
      </sheetData>
      <sheetData sheetId="3437">
        <row r="2">
          <cell r="A2" t="str">
            <v>실     명</v>
          </cell>
        </row>
      </sheetData>
      <sheetData sheetId="3438">
        <row r="2">
          <cell r="A2" t="str">
            <v>실     명</v>
          </cell>
        </row>
      </sheetData>
      <sheetData sheetId="3439">
        <row r="2">
          <cell r="A2" t="str">
            <v>실     명</v>
          </cell>
        </row>
      </sheetData>
      <sheetData sheetId="3440">
        <row r="2">
          <cell r="A2" t="str">
            <v>실     명</v>
          </cell>
        </row>
      </sheetData>
      <sheetData sheetId="3441">
        <row r="2">
          <cell r="A2" t="str">
            <v>실     명</v>
          </cell>
        </row>
      </sheetData>
      <sheetData sheetId="3442">
        <row r="2">
          <cell r="A2" t="str">
            <v>실     명</v>
          </cell>
        </row>
      </sheetData>
      <sheetData sheetId="3443">
        <row r="2">
          <cell r="A2" t="str">
            <v>실     명</v>
          </cell>
        </row>
      </sheetData>
      <sheetData sheetId="3444">
        <row r="2">
          <cell r="A2" t="str">
            <v>실     명</v>
          </cell>
        </row>
      </sheetData>
      <sheetData sheetId="3445">
        <row r="2">
          <cell r="A2" t="str">
            <v>실     명</v>
          </cell>
        </row>
      </sheetData>
      <sheetData sheetId="3446">
        <row r="2">
          <cell r="A2" t="str">
            <v>실     명</v>
          </cell>
        </row>
      </sheetData>
      <sheetData sheetId="3447">
        <row r="2">
          <cell r="A2" t="str">
            <v>실     명</v>
          </cell>
        </row>
      </sheetData>
      <sheetData sheetId="3448">
        <row r="2">
          <cell r="A2" t="str">
            <v>실     명</v>
          </cell>
        </row>
      </sheetData>
      <sheetData sheetId="3449">
        <row r="2">
          <cell r="A2" t="str">
            <v>실     명</v>
          </cell>
        </row>
      </sheetData>
      <sheetData sheetId="3450">
        <row r="2">
          <cell r="A2" t="str">
            <v>실     명</v>
          </cell>
        </row>
      </sheetData>
      <sheetData sheetId="3451">
        <row r="2">
          <cell r="A2" t="str">
            <v>실     명</v>
          </cell>
        </row>
      </sheetData>
      <sheetData sheetId="3452">
        <row r="2">
          <cell r="A2" t="str">
            <v>실     명</v>
          </cell>
        </row>
      </sheetData>
      <sheetData sheetId="3453">
        <row r="2">
          <cell r="A2" t="str">
            <v>실     명</v>
          </cell>
        </row>
      </sheetData>
      <sheetData sheetId="3454">
        <row r="2">
          <cell r="A2" t="str">
            <v>실     명</v>
          </cell>
        </row>
      </sheetData>
      <sheetData sheetId="3455">
        <row r="2">
          <cell r="A2" t="str">
            <v>실     명</v>
          </cell>
        </row>
      </sheetData>
      <sheetData sheetId="3456">
        <row r="2">
          <cell r="A2" t="str">
            <v>실     명</v>
          </cell>
        </row>
      </sheetData>
      <sheetData sheetId="3457">
        <row r="2">
          <cell r="A2" t="str">
            <v>실     명</v>
          </cell>
        </row>
      </sheetData>
      <sheetData sheetId="3458">
        <row r="2">
          <cell r="A2" t="str">
            <v>실     명</v>
          </cell>
        </row>
      </sheetData>
      <sheetData sheetId="3459">
        <row r="2">
          <cell r="A2" t="str">
            <v>실     명</v>
          </cell>
        </row>
      </sheetData>
      <sheetData sheetId="3460">
        <row r="2">
          <cell r="A2" t="str">
            <v>실     명</v>
          </cell>
        </row>
      </sheetData>
      <sheetData sheetId="3461">
        <row r="2">
          <cell r="A2" t="str">
            <v>실     명</v>
          </cell>
        </row>
      </sheetData>
      <sheetData sheetId="3462">
        <row r="2">
          <cell r="A2" t="str">
            <v>실     명</v>
          </cell>
        </row>
      </sheetData>
      <sheetData sheetId="3463">
        <row r="2">
          <cell r="A2" t="str">
            <v>실     명</v>
          </cell>
        </row>
      </sheetData>
      <sheetData sheetId="3464">
        <row r="2">
          <cell r="A2" t="str">
            <v>실     명</v>
          </cell>
        </row>
      </sheetData>
      <sheetData sheetId="3465">
        <row r="2">
          <cell r="A2" t="str">
            <v>실     명</v>
          </cell>
        </row>
      </sheetData>
      <sheetData sheetId="3466">
        <row r="2">
          <cell r="A2" t="str">
            <v>실     명</v>
          </cell>
        </row>
      </sheetData>
      <sheetData sheetId="3467">
        <row r="2">
          <cell r="A2" t="str">
            <v>실     명</v>
          </cell>
        </row>
      </sheetData>
      <sheetData sheetId="3468">
        <row r="2">
          <cell r="A2" t="str">
            <v>실     명</v>
          </cell>
        </row>
      </sheetData>
      <sheetData sheetId="3469">
        <row r="2">
          <cell r="A2" t="str">
            <v>실     명</v>
          </cell>
        </row>
      </sheetData>
      <sheetData sheetId="3470">
        <row r="2">
          <cell r="A2" t="str">
            <v>실     명</v>
          </cell>
        </row>
      </sheetData>
      <sheetData sheetId="3471">
        <row r="2">
          <cell r="A2" t="str">
            <v>실     명</v>
          </cell>
        </row>
      </sheetData>
      <sheetData sheetId="3472">
        <row r="2">
          <cell r="A2" t="str">
            <v>실     명</v>
          </cell>
        </row>
      </sheetData>
      <sheetData sheetId="3473">
        <row r="2">
          <cell r="A2" t="str">
            <v>실     명</v>
          </cell>
        </row>
      </sheetData>
      <sheetData sheetId="3474">
        <row r="2">
          <cell r="A2" t="str">
            <v>실     명</v>
          </cell>
        </row>
      </sheetData>
      <sheetData sheetId="3475">
        <row r="2">
          <cell r="A2" t="str">
            <v>실     명</v>
          </cell>
        </row>
      </sheetData>
      <sheetData sheetId="3476">
        <row r="2">
          <cell r="A2" t="str">
            <v>실     명</v>
          </cell>
        </row>
      </sheetData>
      <sheetData sheetId="3477">
        <row r="2">
          <cell r="A2" t="str">
            <v>실     명</v>
          </cell>
        </row>
      </sheetData>
      <sheetData sheetId="3478">
        <row r="2">
          <cell r="A2" t="str">
            <v>실     명</v>
          </cell>
        </row>
      </sheetData>
      <sheetData sheetId="3479">
        <row r="2">
          <cell r="A2" t="str">
            <v>실     명</v>
          </cell>
        </row>
      </sheetData>
      <sheetData sheetId="3480">
        <row r="2">
          <cell r="A2" t="str">
            <v>실     명</v>
          </cell>
        </row>
      </sheetData>
      <sheetData sheetId="3481">
        <row r="2">
          <cell r="A2" t="str">
            <v>실     명</v>
          </cell>
        </row>
      </sheetData>
      <sheetData sheetId="3482">
        <row r="2">
          <cell r="A2" t="str">
            <v>실     명</v>
          </cell>
        </row>
      </sheetData>
      <sheetData sheetId="3483">
        <row r="2">
          <cell r="A2" t="str">
            <v>실     명</v>
          </cell>
        </row>
      </sheetData>
      <sheetData sheetId="3484">
        <row r="2">
          <cell r="A2" t="str">
            <v>실     명</v>
          </cell>
        </row>
      </sheetData>
      <sheetData sheetId="3485">
        <row r="2">
          <cell r="A2" t="str">
            <v>실     명</v>
          </cell>
        </row>
      </sheetData>
      <sheetData sheetId="3486">
        <row r="2">
          <cell r="A2" t="str">
            <v>실     명</v>
          </cell>
        </row>
      </sheetData>
      <sheetData sheetId="3487">
        <row r="2">
          <cell r="A2" t="str">
            <v>실     명</v>
          </cell>
        </row>
      </sheetData>
      <sheetData sheetId="3488">
        <row r="2">
          <cell r="A2" t="str">
            <v>실     명</v>
          </cell>
        </row>
      </sheetData>
      <sheetData sheetId="3489">
        <row r="2">
          <cell r="A2" t="str">
            <v>실     명</v>
          </cell>
        </row>
      </sheetData>
      <sheetData sheetId="3490">
        <row r="2">
          <cell r="A2" t="str">
            <v>실     명</v>
          </cell>
        </row>
      </sheetData>
      <sheetData sheetId="3491">
        <row r="2">
          <cell r="A2" t="str">
            <v>실     명</v>
          </cell>
        </row>
      </sheetData>
      <sheetData sheetId="3492">
        <row r="2">
          <cell r="A2" t="str">
            <v>실     명</v>
          </cell>
        </row>
      </sheetData>
      <sheetData sheetId="3493">
        <row r="2">
          <cell r="A2" t="str">
            <v>실     명</v>
          </cell>
        </row>
      </sheetData>
      <sheetData sheetId="3494">
        <row r="2">
          <cell r="A2" t="str">
            <v>실     명</v>
          </cell>
        </row>
      </sheetData>
      <sheetData sheetId="3495">
        <row r="2">
          <cell r="A2" t="str">
            <v>실     명</v>
          </cell>
        </row>
      </sheetData>
      <sheetData sheetId="3496">
        <row r="2">
          <cell r="A2" t="str">
            <v>실     명</v>
          </cell>
        </row>
      </sheetData>
      <sheetData sheetId="3497">
        <row r="2">
          <cell r="A2" t="str">
            <v>실     명</v>
          </cell>
        </row>
      </sheetData>
      <sheetData sheetId="3498">
        <row r="2">
          <cell r="A2" t="str">
            <v>실     명</v>
          </cell>
        </row>
      </sheetData>
      <sheetData sheetId="3499">
        <row r="2">
          <cell r="A2" t="str">
            <v>실     명</v>
          </cell>
        </row>
      </sheetData>
      <sheetData sheetId="3500">
        <row r="2">
          <cell r="A2" t="str">
            <v>실     명</v>
          </cell>
        </row>
      </sheetData>
      <sheetData sheetId="3501">
        <row r="2">
          <cell r="A2" t="str">
            <v>실     명</v>
          </cell>
        </row>
      </sheetData>
      <sheetData sheetId="3502">
        <row r="2">
          <cell r="A2" t="str">
            <v>실     명</v>
          </cell>
        </row>
      </sheetData>
      <sheetData sheetId="3503">
        <row r="2">
          <cell r="A2" t="str">
            <v>실     명</v>
          </cell>
        </row>
      </sheetData>
      <sheetData sheetId="3504">
        <row r="2">
          <cell r="A2" t="str">
            <v>실     명</v>
          </cell>
        </row>
      </sheetData>
      <sheetData sheetId="3505">
        <row r="2">
          <cell r="A2" t="str">
            <v>실     명</v>
          </cell>
        </row>
      </sheetData>
      <sheetData sheetId="3506">
        <row r="2">
          <cell r="A2" t="str">
            <v>실     명</v>
          </cell>
        </row>
      </sheetData>
      <sheetData sheetId="3507">
        <row r="2">
          <cell r="A2" t="str">
            <v>실     명</v>
          </cell>
        </row>
      </sheetData>
      <sheetData sheetId="3508">
        <row r="2">
          <cell r="A2" t="str">
            <v>실     명</v>
          </cell>
        </row>
      </sheetData>
      <sheetData sheetId="3509">
        <row r="2">
          <cell r="A2" t="str">
            <v>실     명</v>
          </cell>
        </row>
      </sheetData>
      <sheetData sheetId="3510">
        <row r="2">
          <cell r="A2" t="str">
            <v>실     명</v>
          </cell>
        </row>
      </sheetData>
      <sheetData sheetId="3511">
        <row r="2">
          <cell r="A2" t="str">
            <v>실     명</v>
          </cell>
        </row>
      </sheetData>
      <sheetData sheetId="3512">
        <row r="2">
          <cell r="A2" t="str">
            <v>실     명</v>
          </cell>
        </row>
      </sheetData>
      <sheetData sheetId="3513">
        <row r="2">
          <cell r="A2" t="str">
            <v>실     명</v>
          </cell>
        </row>
      </sheetData>
      <sheetData sheetId="3514">
        <row r="2">
          <cell r="A2" t="str">
            <v>실     명</v>
          </cell>
        </row>
      </sheetData>
      <sheetData sheetId="3515">
        <row r="2">
          <cell r="A2" t="str">
            <v>실     명</v>
          </cell>
        </row>
      </sheetData>
      <sheetData sheetId="3516">
        <row r="2">
          <cell r="A2" t="str">
            <v>실     명</v>
          </cell>
        </row>
      </sheetData>
      <sheetData sheetId="3517">
        <row r="2">
          <cell r="A2" t="str">
            <v>실     명</v>
          </cell>
        </row>
      </sheetData>
      <sheetData sheetId="3518">
        <row r="2">
          <cell r="A2" t="str">
            <v>실     명</v>
          </cell>
        </row>
      </sheetData>
      <sheetData sheetId="3519">
        <row r="2">
          <cell r="A2" t="str">
            <v>실     명</v>
          </cell>
        </row>
      </sheetData>
      <sheetData sheetId="3520">
        <row r="2">
          <cell r="A2" t="str">
            <v>실     명</v>
          </cell>
        </row>
      </sheetData>
      <sheetData sheetId="3521">
        <row r="2">
          <cell r="A2" t="str">
            <v>실     명</v>
          </cell>
        </row>
      </sheetData>
      <sheetData sheetId="3522">
        <row r="2">
          <cell r="A2" t="str">
            <v>실     명</v>
          </cell>
        </row>
      </sheetData>
      <sheetData sheetId="3523">
        <row r="2">
          <cell r="A2" t="str">
            <v>실     명</v>
          </cell>
        </row>
      </sheetData>
      <sheetData sheetId="3524">
        <row r="2">
          <cell r="A2" t="str">
            <v>실     명</v>
          </cell>
        </row>
      </sheetData>
      <sheetData sheetId="3525">
        <row r="2">
          <cell r="A2" t="str">
            <v>실     명</v>
          </cell>
        </row>
      </sheetData>
      <sheetData sheetId="3526">
        <row r="2">
          <cell r="A2" t="str">
            <v>실     명</v>
          </cell>
        </row>
      </sheetData>
      <sheetData sheetId="3527">
        <row r="2">
          <cell r="A2" t="str">
            <v>실     명</v>
          </cell>
        </row>
      </sheetData>
      <sheetData sheetId="3528">
        <row r="2">
          <cell r="A2" t="str">
            <v>실     명</v>
          </cell>
        </row>
      </sheetData>
      <sheetData sheetId="3529">
        <row r="2">
          <cell r="A2" t="str">
            <v>실     명</v>
          </cell>
        </row>
      </sheetData>
      <sheetData sheetId="3530">
        <row r="2">
          <cell r="A2" t="str">
            <v>실     명</v>
          </cell>
        </row>
      </sheetData>
      <sheetData sheetId="3531">
        <row r="2">
          <cell r="A2" t="str">
            <v>실     명</v>
          </cell>
        </row>
      </sheetData>
      <sheetData sheetId="3532">
        <row r="2">
          <cell r="A2" t="str">
            <v>실     명</v>
          </cell>
        </row>
      </sheetData>
      <sheetData sheetId="3533">
        <row r="2">
          <cell r="A2" t="str">
            <v>실     명</v>
          </cell>
        </row>
      </sheetData>
      <sheetData sheetId="3534">
        <row r="2">
          <cell r="A2" t="str">
            <v>실     명</v>
          </cell>
        </row>
      </sheetData>
      <sheetData sheetId="3535">
        <row r="2">
          <cell r="A2" t="str">
            <v>실     명</v>
          </cell>
        </row>
      </sheetData>
      <sheetData sheetId="3536">
        <row r="2">
          <cell r="A2" t="str">
            <v>실     명</v>
          </cell>
        </row>
      </sheetData>
      <sheetData sheetId="3537">
        <row r="2">
          <cell r="A2" t="str">
            <v>실     명</v>
          </cell>
        </row>
      </sheetData>
      <sheetData sheetId="3538">
        <row r="2">
          <cell r="A2" t="str">
            <v>실     명</v>
          </cell>
        </row>
      </sheetData>
      <sheetData sheetId="3539">
        <row r="2">
          <cell r="A2" t="str">
            <v>실     명</v>
          </cell>
        </row>
      </sheetData>
      <sheetData sheetId="3540">
        <row r="2">
          <cell r="A2" t="str">
            <v>실     명</v>
          </cell>
        </row>
      </sheetData>
      <sheetData sheetId="3541">
        <row r="2">
          <cell r="A2" t="str">
            <v>실     명</v>
          </cell>
        </row>
      </sheetData>
      <sheetData sheetId="3542">
        <row r="2">
          <cell r="A2" t="str">
            <v>실     명</v>
          </cell>
        </row>
      </sheetData>
      <sheetData sheetId="3543">
        <row r="2">
          <cell r="A2" t="str">
            <v>실     명</v>
          </cell>
        </row>
      </sheetData>
      <sheetData sheetId="3544">
        <row r="2">
          <cell r="A2" t="str">
            <v>실     명</v>
          </cell>
        </row>
      </sheetData>
      <sheetData sheetId="3545">
        <row r="2">
          <cell r="A2" t="str">
            <v>실     명</v>
          </cell>
        </row>
      </sheetData>
      <sheetData sheetId="3546">
        <row r="2">
          <cell r="A2" t="str">
            <v>실     명</v>
          </cell>
        </row>
      </sheetData>
      <sheetData sheetId="3547">
        <row r="2">
          <cell r="A2" t="str">
            <v>실     명</v>
          </cell>
        </row>
      </sheetData>
      <sheetData sheetId="3548">
        <row r="2">
          <cell r="A2" t="str">
            <v>실     명</v>
          </cell>
        </row>
      </sheetData>
      <sheetData sheetId="3549">
        <row r="2">
          <cell r="A2" t="str">
            <v>실     명</v>
          </cell>
        </row>
      </sheetData>
      <sheetData sheetId="3550">
        <row r="2">
          <cell r="A2" t="str">
            <v>실     명</v>
          </cell>
        </row>
      </sheetData>
      <sheetData sheetId="3551">
        <row r="2">
          <cell r="A2" t="str">
            <v>실     명</v>
          </cell>
        </row>
      </sheetData>
      <sheetData sheetId="3552">
        <row r="2">
          <cell r="A2" t="str">
            <v>실     명</v>
          </cell>
        </row>
      </sheetData>
      <sheetData sheetId="3553">
        <row r="2">
          <cell r="A2" t="str">
            <v>실     명</v>
          </cell>
        </row>
      </sheetData>
      <sheetData sheetId="3554">
        <row r="2">
          <cell r="A2" t="str">
            <v>실     명</v>
          </cell>
        </row>
      </sheetData>
      <sheetData sheetId="3555">
        <row r="2">
          <cell r="A2" t="str">
            <v>실     명</v>
          </cell>
        </row>
      </sheetData>
      <sheetData sheetId="3556">
        <row r="2">
          <cell r="A2" t="str">
            <v>실     명</v>
          </cell>
        </row>
      </sheetData>
      <sheetData sheetId="3557">
        <row r="2">
          <cell r="A2" t="str">
            <v>실     명</v>
          </cell>
        </row>
      </sheetData>
      <sheetData sheetId="3558">
        <row r="2">
          <cell r="A2" t="str">
            <v>실     명</v>
          </cell>
        </row>
      </sheetData>
      <sheetData sheetId="3559">
        <row r="2">
          <cell r="A2" t="str">
            <v>실     명</v>
          </cell>
        </row>
      </sheetData>
      <sheetData sheetId="3560">
        <row r="2">
          <cell r="A2" t="str">
            <v>실     명</v>
          </cell>
        </row>
      </sheetData>
      <sheetData sheetId="3561">
        <row r="2">
          <cell r="A2" t="str">
            <v>실     명</v>
          </cell>
        </row>
      </sheetData>
      <sheetData sheetId="3562">
        <row r="2">
          <cell r="A2" t="str">
            <v>실     명</v>
          </cell>
        </row>
      </sheetData>
      <sheetData sheetId="3563">
        <row r="2">
          <cell r="A2" t="str">
            <v>실     명</v>
          </cell>
        </row>
      </sheetData>
      <sheetData sheetId="3564">
        <row r="2">
          <cell r="A2" t="str">
            <v>실     명</v>
          </cell>
        </row>
      </sheetData>
      <sheetData sheetId="3565">
        <row r="2">
          <cell r="A2" t="str">
            <v>실     명</v>
          </cell>
        </row>
      </sheetData>
      <sheetData sheetId="3566">
        <row r="2">
          <cell r="A2" t="str">
            <v>실     명</v>
          </cell>
        </row>
      </sheetData>
      <sheetData sheetId="3567">
        <row r="2">
          <cell r="A2" t="str">
            <v>실     명</v>
          </cell>
        </row>
      </sheetData>
      <sheetData sheetId="3568">
        <row r="2">
          <cell r="A2" t="str">
            <v>실     명</v>
          </cell>
        </row>
      </sheetData>
      <sheetData sheetId="3569">
        <row r="2">
          <cell r="A2" t="str">
            <v>실     명</v>
          </cell>
        </row>
      </sheetData>
      <sheetData sheetId="3570">
        <row r="2">
          <cell r="A2" t="str">
            <v>실     명</v>
          </cell>
        </row>
      </sheetData>
      <sheetData sheetId="3571">
        <row r="2">
          <cell r="A2" t="str">
            <v>실     명</v>
          </cell>
        </row>
      </sheetData>
      <sheetData sheetId="3572">
        <row r="2">
          <cell r="A2" t="str">
            <v>실     명</v>
          </cell>
        </row>
      </sheetData>
      <sheetData sheetId="3573">
        <row r="2">
          <cell r="A2" t="str">
            <v>실     명</v>
          </cell>
        </row>
      </sheetData>
      <sheetData sheetId="3574">
        <row r="2">
          <cell r="A2" t="str">
            <v>실     명</v>
          </cell>
        </row>
      </sheetData>
      <sheetData sheetId="3575">
        <row r="2">
          <cell r="A2" t="str">
            <v>실     명</v>
          </cell>
        </row>
      </sheetData>
      <sheetData sheetId="3576">
        <row r="2">
          <cell r="A2" t="str">
            <v>실     명</v>
          </cell>
        </row>
      </sheetData>
      <sheetData sheetId="3577">
        <row r="2">
          <cell r="A2" t="str">
            <v>실     명</v>
          </cell>
        </row>
      </sheetData>
      <sheetData sheetId="3578">
        <row r="2">
          <cell r="A2" t="str">
            <v>실     명</v>
          </cell>
        </row>
      </sheetData>
      <sheetData sheetId="3579">
        <row r="2">
          <cell r="A2" t="str">
            <v>실     명</v>
          </cell>
        </row>
      </sheetData>
      <sheetData sheetId="3580">
        <row r="2">
          <cell r="A2" t="str">
            <v>실     명</v>
          </cell>
        </row>
      </sheetData>
      <sheetData sheetId="3581">
        <row r="2">
          <cell r="A2" t="str">
            <v>실     명</v>
          </cell>
        </row>
      </sheetData>
      <sheetData sheetId="3582">
        <row r="2">
          <cell r="A2" t="str">
            <v>실     명</v>
          </cell>
        </row>
      </sheetData>
      <sheetData sheetId="3583">
        <row r="2">
          <cell r="A2" t="str">
            <v>실     명</v>
          </cell>
        </row>
      </sheetData>
      <sheetData sheetId="3584">
        <row r="2">
          <cell r="A2" t="str">
            <v>실     명</v>
          </cell>
        </row>
      </sheetData>
      <sheetData sheetId="3585">
        <row r="2">
          <cell r="A2" t="str">
            <v>실     명</v>
          </cell>
        </row>
      </sheetData>
      <sheetData sheetId="3586">
        <row r="2">
          <cell r="A2" t="str">
            <v>실     명</v>
          </cell>
        </row>
      </sheetData>
      <sheetData sheetId="3587">
        <row r="2">
          <cell r="A2" t="str">
            <v>실     명</v>
          </cell>
        </row>
      </sheetData>
      <sheetData sheetId="3588">
        <row r="2">
          <cell r="A2" t="str">
            <v>실     명</v>
          </cell>
        </row>
      </sheetData>
      <sheetData sheetId="3589">
        <row r="2">
          <cell r="A2" t="str">
            <v>실     명</v>
          </cell>
        </row>
      </sheetData>
      <sheetData sheetId="3590">
        <row r="2">
          <cell r="A2" t="str">
            <v>실     명</v>
          </cell>
        </row>
      </sheetData>
      <sheetData sheetId="3591">
        <row r="2">
          <cell r="A2" t="str">
            <v>실     명</v>
          </cell>
        </row>
      </sheetData>
      <sheetData sheetId="3592">
        <row r="2">
          <cell r="A2" t="str">
            <v>실     명</v>
          </cell>
        </row>
      </sheetData>
      <sheetData sheetId="3593">
        <row r="2">
          <cell r="A2" t="str">
            <v>실     명</v>
          </cell>
        </row>
      </sheetData>
      <sheetData sheetId="3594">
        <row r="2">
          <cell r="A2" t="str">
            <v>실     명</v>
          </cell>
        </row>
      </sheetData>
      <sheetData sheetId="3595">
        <row r="2">
          <cell r="A2" t="str">
            <v>실     명</v>
          </cell>
        </row>
      </sheetData>
      <sheetData sheetId="3596">
        <row r="2">
          <cell r="A2" t="str">
            <v>실     명</v>
          </cell>
        </row>
      </sheetData>
      <sheetData sheetId="3597">
        <row r="2">
          <cell r="A2" t="str">
            <v>실     명</v>
          </cell>
        </row>
      </sheetData>
      <sheetData sheetId="3598">
        <row r="2">
          <cell r="A2" t="str">
            <v>실     명</v>
          </cell>
        </row>
      </sheetData>
      <sheetData sheetId="3599">
        <row r="2">
          <cell r="A2" t="str">
            <v>실     명</v>
          </cell>
        </row>
      </sheetData>
      <sheetData sheetId="3600">
        <row r="2">
          <cell r="A2" t="str">
            <v>실     명</v>
          </cell>
        </row>
      </sheetData>
      <sheetData sheetId="3601">
        <row r="2">
          <cell r="A2" t="str">
            <v>실     명</v>
          </cell>
        </row>
      </sheetData>
      <sheetData sheetId="3602">
        <row r="2">
          <cell r="A2" t="str">
            <v>실     명</v>
          </cell>
        </row>
      </sheetData>
      <sheetData sheetId="3603">
        <row r="2">
          <cell r="A2" t="str">
            <v>실     명</v>
          </cell>
        </row>
      </sheetData>
      <sheetData sheetId="3604">
        <row r="2">
          <cell r="A2" t="str">
            <v>실     명</v>
          </cell>
        </row>
      </sheetData>
      <sheetData sheetId="3605">
        <row r="2">
          <cell r="A2" t="str">
            <v>실     명</v>
          </cell>
        </row>
      </sheetData>
      <sheetData sheetId="3606">
        <row r="2">
          <cell r="A2" t="str">
            <v>실     명</v>
          </cell>
        </row>
      </sheetData>
      <sheetData sheetId="3607">
        <row r="2">
          <cell r="A2" t="str">
            <v>실     명</v>
          </cell>
        </row>
      </sheetData>
      <sheetData sheetId="3608">
        <row r="2">
          <cell r="A2" t="str">
            <v>실     명</v>
          </cell>
        </row>
      </sheetData>
      <sheetData sheetId="3609">
        <row r="2">
          <cell r="A2" t="str">
            <v>실     명</v>
          </cell>
        </row>
      </sheetData>
      <sheetData sheetId="3610">
        <row r="2">
          <cell r="A2" t="str">
            <v>실     명</v>
          </cell>
        </row>
      </sheetData>
      <sheetData sheetId="3611">
        <row r="2">
          <cell r="A2" t="str">
            <v>실     명</v>
          </cell>
        </row>
      </sheetData>
      <sheetData sheetId="3612">
        <row r="2">
          <cell r="A2" t="str">
            <v>실     명</v>
          </cell>
        </row>
      </sheetData>
      <sheetData sheetId="3613">
        <row r="2">
          <cell r="A2" t="str">
            <v>실     명</v>
          </cell>
        </row>
      </sheetData>
      <sheetData sheetId="3614">
        <row r="2">
          <cell r="A2" t="str">
            <v>실     명</v>
          </cell>
        </row>
      </sheetData>
      <sheetData sheetId="3615">
        <row r="2">
          <cell r="A2" t="str">
            <v>실     명</v>
          </cell>
        </row>
      </sheetData>
      <sheetData sheetId="3616">
        <row r="2">
          <cell r="A2" t="str">
            <v>실     명</v>
          </cell>
        </row>
      </sheetData>
      <sheetData sheetId="3617">
        <row r="2">
          <cell r="A2" t="str">
            <v>실     명</v>
          </cell>
        </row>
      </sheetData>
      <sheetData sheetId="3618">
        <row r="2">
          <cell r="A2" t="str">
            <v>실     명</v>
          </cell>
        </row>
      </sheetData>
      <sheetData sheetId="3619">
        <row r="2">
          <cell r="A2" t="str">
            <v>실     명</v>
          </cell>
        </row>
      </sheetData>
      <sheetData sheetId="3620">
        <row r="2">
          <cell r="A2" t="str">
            <v>실     명</v>
          </cell>
        </row>
      </sheetData>
      <sheetData sheetId="3621">
        <row r="2">
          <cell r="A2" t="str">
            <v>실     명</v>
          </cell>
        </row>
      </sheetData>
      <sheetData sheetId="3622">
        <row r="2">
          <cell r="A2" t="str">
            <v>실     명</v>
          </cell>
        </row>
      </sheetData>
      <sheetData sheetId="3623">
        <row r="2">
          <cell r="A2" t="str">
            <v>실     명</v>
          </cell>
        </row>
      </sheetData>
      <sheetData sheetId="3624">
        <row r="2">
          <cell r="A2" t="str">
            <v>실     명</v>
          </cell>
        </row>
      </sheetData>
      <sheetData sheetId="3625">
        <row r="2">
          <cell r="A2" t="str">
            <v>실     명</v>
          </cell>
        </row>
      </sheetData>
      <sheetData sheetId="3626">
        <row r="2">
          <cell r="A2" t="str">
            <v>실     명</v>
          </cell>
        </row>
      </sheetData>
      <sheetData sheetId="3627">
        <row r="2">
          <cell r="A2" t="str">
            <v>실     명</v>
          </cell>
        </row>
      </sheetData>
      <sheetData sheetId="3628">
        <row r="2">
          <cell r="A2" t="str">
            <v>실     명</v>
          </cell>
        </row>
      </sheetData>
      <sheetData sheetId="3629">
        <row r="2">
          <cell r="A2" t="str">
            <v>실     명</v>
          </cell>
        </row>
      </sheetData>
      <sheetData sheetId="3630">
        <row r="2">
          <cell r="A2" t="str">
            <v>실     명</v>
          </cell>
        </row>
      </sheetData>
      <sheetData sheetId="3631">
        <row r="2">
          <cell r="A2" t="str">
            <v>실     명</v>
          </cell>
        </row>
      </sheetData>
      <sheetData sheetId="3632">
        <row r="2">
          <cell r="A2" t="str">
            <v>실     명</v>
          </cell>
        </row>
      </sheetData>
      <sheetData sheetId="3633">
        <row r="2">
          <cell r="A2" t="str">
            <v>실     명</v>
          </cell>
        </row>
      </sheetData>
      <sheetData sheetId="3634">
        <row r="2">
          <cell r="A2" t="str">
            <v>실     명</v>
          </cell>
        </row>
      </sheetData>
      <sheetData sheetId="3635">
        <row r="2">
          <cell r="A2" t="str">
            <v>실     명</v>
          </cell>
        </row>
      </sheetData>
      <sheetData sheetId="3636">
        <row r="2">
          <cell r="A2" t="str">
            <v>실     명</v>
          </cell>
        </row>
      </sheetData>
      <sheetData sheetId="3637">
        <row r="2">
          <cell r="A2" t="str">
            <v>실     명</v>
          </cell>
        </row>
      </sheetData>
      <sheetData sheetId="3638">
        <row r="2">
          <cell r="A2" t="str">
            <v>실     명</v>
          </cell>
        </row>
      </sheetData>
      <sheetData sheetId="3639">
        <row r="2">
          <cell r="A2" t="str">
            <v>실     명</v>
          </cell>
        </row>
      </sheetData>
      <sheetData sheetId="3640">
        <row r="2">
          <cell r="A2" t="str">
            <v>실     명</v>
          </cell>
        </row>
      </sheetData>
      <sheetData sheetId="3641">
        <row r="2">
          <cell r="A2" t="str">
            <v>실     명</v>
          </cell>
        </row>
      </sheetData>
      <sheetData sheetId="3642">
        <row r="2">
          <cell r="A2" t="str">
            <v>실     명</v>
          </cell>
        </row>
      </sheetData>
      <sheetData sheetId="3643">
        <row r="2">
          <cell r="A2" t="str">
            <v>실     명</v>
          </cell>
        </row>
      </sheetData>
      <sheetData sheetId="3644">
        <row r="2">
          <cell r="A2" t="str">
            <v>실     명</v>
          </cell>
        </row>
      </sheetData>
      <sheetData sheetId="3645">
        <row r="2">
          <cell r="A2" t="str">
            <v>실     명</v>
          </cell>
        </row>
      </sheetData>
      <sheetData sheetId="3646">
        <row r="2">
          <cell r="A2" t="str">
            <v>실     명</v>
          </cell>
        </row>
      </sheetData>
      <sheetData sheetId="3647">
        <row r="2">
          <cell r="A2" t="str">
            <v>실     명</v>
          </cell>
        </row>
      </sheetData>
      <sheetData sheetId="3648">
        <row r="2">
          <cell r="A2" t="str">
            <v>실     명</v>
          </cell>
        </row>
      </sheetData>
      <sheetData sheetId="3649">
        <row r="2">
          <cell r="A2" t="str">
            <v>실     명</v>
          </cell>
        </row>
      </sheetData>
      <sheetData sheetId="3650">
        <row r="2">
          <cell r="A2" t="str">
            <v>실     명</v>
          </cell>
        </row>
      </sheetData>
      <sheetData sheetId="3651">
        <row r="2">
          <cell r="A2" t="str">
            <v>실     명</v>
          </cell>
        </row>
      </sheetData>
      <sheetData sheetId="3652">
        <row r="2">
          <cell r="A2" t="str">
            <v>실     명</v>
          </cell>
        </row>
      </sheetData>
      <sheetData sheetId="3653">
        <row r="2">
          <cell r="A2" t="str">
            <v>실     명</v>
          </cell>
        </row>
      </sheetData>
      <sheetData sheetId="3654">
        <row r="2">
          <cell r="A2" t="str">
            <v>실     명</v>
          </cell>
        </row>
      </sheetData>
      <sheetData sheetId="3655">
        <row r="2">
          <cell r="A2" t="str">
            <v>실     명</v>
          </cell>
        </row>
      </sheetData>
      <sheetData sheetId="3656">
        <row r="2">
          <cell r="A2" t="str">
            <v>실     명</v>
          </cell>
        </row>
      </sheetData>
      <sheetData sheetId="3657">
        <row r="2">
          <cell r="A2" t="str">
            <v>실     명</v>
          </cell>
        </row>
      </sheetData>
      <sheetData sheetId="3658">
        <row r="2">
          <cell r="A2" t="str">
            <v>실     명</v>
          </cell>
        </row>
      </sheetData>
      <sheetData sheetId="3659">
        <row r="2">
          <cell r="A2" t="str">
            <v>실     명</v>
          </cell>
        </row>
      </sheetData>
      <sheetData sheetId="3660">
        <row r="2">
          <cell r="A2" t="str">
            <v>실     명</v>
          </cell>
        </row>
      </sheetData>
      <sheetData sheetId="3661">
        <row r="2">
          <cell r="A2" t="str">
            <v>실     명</v>
          </cell>
        </row>
      </sheetData>
      <sheetData sheetId="3662">
        <row r="2">
          <cell r="A2" t="str">
            <v>실     명</v>
          </cell>
        </row>
      </sheetData>
      <sheetData sheetId="3663">
        <row r="2">
          <cell r="A2" t="str">
            <v>실     명</v>
          </cell>
        </row>
      </sheetData>
      <sheetData sheetId="3664">
        <row r="2">
          <cell r="A2" t="str">
            <v>실     명</v>
          </cell>
        </row>
      </sheetData>
      <sheetData sheetId="3665">
        <row r="2">
          <cell r="A2" t="str">
            <v>실     명</v>
          </cell>
        </row>
      </sheetData>
      <sheetData sheetId="3666">
        <row r="2">
          <cell r="A2" t="str">
            <v>실     명</v>
          </cell>
        </row>
      </sheetData>
      <sheetData sheetId="3667">
        <row r="2">
          <cell r="A2" t="str">
            <v>실     명</v>
          </cell>
        </row>
      </sheetData>
      <sheetData sheetId="3668">
        <row r="2">
          <cell r="A2" t="str">
            <v>실     명</v>
          </cell>
        </row>
      </sheetData>
      <sheetData sheetId="3669">
        <row r="2">
          <cell r="A2" t="str">
            <v>실     명</v>
          </cell>
        </row>
      </sheetData>
      <sheetData sheetId="3670">
        <row r="2">
          <cell r="A2" t="str">
            <v>실     명</v>
          </cell>
        </row>
      </sheetData>
      <sheetData sheetId="3671">
        <row r="2">
          <cell r="A2" t="str">
            <v>실     명</v>
          </cell>
        </row>
      </sheetData>
      <sheetData sheetId="3672">
        <row r="2">
          <cell r="A2" t="str">
            <v>실     명</v>
          </cell>
        </row>
      </sheetData>
      <sheetData sheetId="3673">
        <row r="2">
          <cell r="A2" t="str">
            <v>실     명</v>
          </cell>
        </row>
      </sheetData>
      <sheetData sheetId="3674">
        <row r="2">
          <cell r="A2" t="str">
            <v>실     명</v>
          </cell>
        </row>
      </sheetData>
      <sheetData sheetId="3675">
        <row r="2">
          <cell r="A2" t="str">
            <v>실     명</v>
          </cell>
        </row>
      </sheetData>
      <sheetData sheetId="3676">
        <row r="2">
          <cell r="A2" t="str">
            <v>실     명</v>
          </cell>
        </row>
      </sheetData>
      <sheetData sheetId="3677">
        <row r="2">
          <cell r="A2" t="str">
            <v>실     명</v>
          </cell>
        </row>
      </sheetData>
      <sheetData sheetId="3678">
        <row r="2">
          <cell r="A2" t="str">
            <v>실     명</v>
          </cell>
        </row>
      </sheetData>
      <sheetData sheetId="3679">
        <row r="2">
          <cell r="A2" t="str">
            <v>실     명</v>
          </cell>
        </row>
      </sheetData>
      <sheetData sheetId="3680">
        <row r="2">
          <cell r="A2" t="str">
            <v>실     명</v>
          </cell>
        </row>
      </sheetData>
      <sheetData sheetId="3681">
        <row r="2">
          <cell r="A2" t="str">
            <v>실     명</v>
          </cell>
        </row>
      </sheetData>
      <sheetData sheetId="3682">
        <row r="2">
          <cell r="A2" t="str">
            <v>실     명</v>
          </cell>
        </row>
      </sheetData>
      <sheetData sheetId="3683">
        <row r="2">
          <cell r="A2" t="str">
            <v>실     명</v>
          </cell>
        </row>
      </sheetData>
      <sheetData sheetId="3684">
        <row r="2">
          <cell r="A2" t="str">
            <v>실     명</v>
          </cell>
        </row>
      </sheetData>
      <sheetData sheetId="3685">
        <row r="2">
          <cell r="A2" t="str">
            <v>실     명</v>
          </cell>
        </row>
      </sheetData>
      <sheetData sheetId="3686">
        <row r="2">
          <cell r="A2" t="str">
            <v>실     명</v>
          </cell>
        </row>
      </sheetData>
      <sheetData sheetId="3687">
        <row r="2">
          <cell r="A2" t="str">
            <v>실     명</v>
          </cell>
        </row>
      </sheetData>
      <sheetData sheetId="3688">
        <row r="2">
          <cell r="A2" t="str">
            <v>실     명</v>
          </cell>
        </row>
      </sheetData>
      <sheetData sheetId="3689">
        <row r="2">
          <cell r="A2" t="str">
            <v>실     명</v>
          </cell>
        </row>
      </sheetData>
      <sheetData sheetId="3690">
        <row r="2">
          <cell r="A2" t="str">
            <v>실     명</v>
          </cell>
        </row>
      </sheetData>
      <sheetData sheetId="3691">
        <row r="2">
          <cell r="A2" t="str">
            <v>실     명</v>
          </cell>
        </row>
      </sheetData>
      <sheetData sheetId="3692">
        <row r="2">
          <cell r="A2" t="str">
            <v>실     명</v>
          </cell>
        </row>
      </sheetData>
      <sheetData sheetId="3693">
        <row r="2">
          <cell r="A2" t="str">
            <v>실     명</v>
          </cell>
        </row>
      </sheetData>
      <sheetData sheetId="3694">
        <row r="2">
          <cell r="A2" t="str">
            <v>실     명</v>
          </cell>
        </row>
      </sheetData>
      <sheetData sheetId="3695">
        <row r="2">
          <cell r="A2" t="str">
            <v>실     명</v>
          </cell>
        </row>
      </sheetData>
      <sheetData sheetId="3696">
        <row r="2">
          <cell r="A2" t="str">
            <v>실     명</v>
          </cell>
        </row>
      </sheetData>
      <sheetData sheetId="3697">
        <row r="2">
          <cell r="A2" t="str">
            <v>실     명</v>
          </cell>
        </row>
      </sheetData>
      <sheetData sheetId="3698">
        <row r="2">
          <cell r="A2" t="str">
            <v>실     명</v>
          </cell>
        </row>
      </sheetData>
      <sheetData sheetId="3699">
        <row r="2">
          <cell r="A2" t="str">
            <v>실     명</v>
          </cell>
        </row>
      </sheetData>
      <sheetData sheetId="3700">
        <row r="2">
          <cell r="A2" t="str">
            <v>실     명</v>
          </cell>
        </row>
      </sheetData>
      <sheetData sheetId="3701">
        <row r="2">
          <cell r="A2" t="str">
            <v>실     명</v>
          </cell>
        </row>
      </sheetData>
      <sheetData sheetId="3702">
        <row r="2">
          <cell r="A2" t="str">
            <v>실     명</v>
          </cell>
        </row>
      </sheetData>
      <sheetData sheetId="3703">
        <row r="2">
          <cell r="A2" t="str">
            <v>실     명</v>
          </cell>
        </row>
      </sheetData>
      <sheetData sheetId="3704">
        <row r="2">
          <cell r="A2" t="str">
            <v>실     명</v>
          </cell>
        </row>
      </sheetData>
      <sheetData sheetId="3705">
        <row r="2">
          <cell r="A2" t="str">
            <v>실     명</v>
          </cell>
        </row>
      </sheetData>
      <sheetData sheetId="3706">
        <row r="2">
          <cell r="A2" t="str">
            <v>실     명</v>
          </cell>
        </row>
      </sheetData>
      <sheetData sheetId="3707">
        <row r="2">
          <cell r="A2" t="str">
            <v>실     명</v>
          </cell>
        </row>
      </sheetData>
      <sheetData sheetId="3708">
        <row r="2">
          <cell r="A2" t="str">
            <v>실     명</v>
          </cell>
        </row>
      </sheetData>
      <sheetData sheetId="3709">
        <row r="2">
          <cell r="A2" t="str">
            <v>실     명</v>
          </cell>
        </row>
      </sheetData>
      <sheetData sheetId="3710">
        <row r="2">
          <cell r="A2" t="str">
            <v>실     명</v>
          </cell>
        </row>
      </sheetData>
      <sheetData sheetId="3711">
        <row r="2">
          <cell r="A2" t="str">
            <v>실     명</v>
          </cell>
        </row>
      </sheetData>
      <sheetData sheetId="3712">
        <row r="2">
          <cell r="A2" t="str">
            <v>실     명</v>
          </cell>
        </row>
      </sheetData>
      <sheetData sheetId="3713">
        <row r="2">
          <cell r="A2" t="str">
            <v>실     명</v>
          </cell>
        </row>
      </sheetData>
      <sheetData sheetId="3714">
        <row r="2">
          <cell r="A2" t="str">
            <v>실     명</v>
          </cell>
        </row>
      </sheetData>
      <sheetData sheetId="3715">
        <row r="2">
          <cell r="A2" t="str">
            <v>실     명</v>
          </cell>
        </row>
      </sheetData>
      <sheetData sheetId="3716">
        <row r="2">
          <cell r="A2" t="str">
            <v>실     명</v>
          </cell>
        </row>
      </sheetData>
      <sheetData sheetId="3717">
        <row r="2">
          <cell r="A2" t="str">
            <v>실     명</v>
          </cell>
        </row>
      </sheetData>
      <sheetData sheetId="3718">
        <row r="2">
          <cell r="A2" t="str">
            <v>실     명</v>
          </cell>
        </row>
      </sheetData>
      <sheetData sheetId="3719">
        <row r="2">
          <cell r="A2" t="str">
            <v>실     명</v>
          </cell>
        </row>
      </sheetData>
      <sheetData sheetId="3720">
        <row r="2">
          <cell r="A2" t="str">
            <v>실     명</v>
          </cell>
        </row>
      </sheetData>
      <sheetData sheetId="3721">
        <row r="2">
          <cell r="A2" t="str">
            <v>실     명</v>
          </cell>
        </row>
      </sheetData>
      <sheetData sheetId="3722">
        <row r="2">
          <cell r="A2" t="str">
            <v>실     명</v>
          </cell>
        </row>
      </sheetData>
      <sheetData sheetId="3723">
        <row r="2">
          <cell r="A2" t="str">
            <v>실     명</v>
          </cell>
        </row>
      </sheetData>
      <sheetData sheetId="3724">
        <row r="2">
          <cell r="A2" t="str">
            <v>실     명</v>
          </cell>
        </row>
      </sheetData>
      <sheetData sheetId="3725">
        <row r="2">
          <cell r="A2" t="str">
            <v>실     명</v>
          </cell>
        </row>
      </sheetData>
      <sheetData sheetId="3726">
        <row r="2">
          <cell r="A2" t="str">
            <v>실     명</v>
          </cell>
        </row>
      </sheetData>
      <sheetData sheetId="3727">
        <row r="2">
          <cell r="A2" t="str">
            <v>실     명</v>
          </cell>
        </row>
      </sheetData>
      <sheetData sheetId="3728">
        <row r="2">
          <cell r="A2" t="str">
            <v>실     명</v>
          </cell>
        </row>
      </sheetData>
      <sheetData sheetId="3729">
        <row r="2">
          <cell r="A2" t="str">
            <v>실     명</v>
          </cell>
        </row>
      </sheetData>
      <sheetData sheetId="3730">
        <row r="2">
          <cell r="A2" t="str">
            <v>실     명</v>
          </cell>
        </row>
      </sheetData>
      <sheetData sheetId="3731">
        <row r="2">
          <cell r="A2" t="str">
            <v>실     명</v>
          </cell>
        </row>
      </sheetData>
      <sheetData sheetId="3732">
        <row r="2">
          <cell r="A2" t="str">
            <v>실     명</v>
          </cell>
        </row>
      </sheetData>
      <sheetData sheetId="3733">
        <row r="2">
          <cell r="A2" t="str">
            <v>실     명</v>
          </cell>
        </row>
      </sheetData>
      <sheetData sheetId="3734">
        <row r="2">
          <cell r="A2" t="str">
            <v>실     명</v>
          </cell>
        </row>
      </sheetData>
      <sheetData sheetId="3735">
        <row r="2">
          <cell r="A2" t="str">
            <v>실     명</v>
          </cell>
        </row>
      </sheetData>
      <sheetData sheetId="3736">
        <row r="2">
          <cell r="A2" t="str">
            <v>실     명</v>
          </cell>
        </row>
      </sheetData>
      <sheetData sheetId="3737">
        <row r="2">
          <cell r="A2" t="str">
            <v>실     명</v>
          </cell>
        </row>
      </sheetData>
      <sheetData sheetId="3738">
        <row r="2">
          <cell r="A2" t="str">
            <v>실     명</v>
          </cell>
        </row>
      </sheetData>
      <sheetData sheetId="3739">
        <row r="2">
          <cell r="A2" t="str">
            <v>실     명</v>
          </cell>
        </row>
      </sheetData>
      <sheetData sheetId="3740">
        <row r="2">
          <cell r="A2" t="str">
            <v>실     명</v>
          </cell>
        </row>
      </sheetData>
      <sheetData sheetId="3741">
        <row r="2">
          <cell r="A2" t="str">
            <v>실     명</v>
          </cell>
        </row>
      </sheetData>
      <sheetData sheetId="3742">
        <row r="2">
          <cell r="A2" t="str">
            <v>실     명</v>
          </cell>
        </row>
      </sheetData>
      <sheetData sheetId="3743">
        <row r="2">
          <cell r="A2" t="str">
            <v>실     명</v>
          </cell>
        </row>
      </sheetData>
      <sheetData sheetId="3744">
        <row r="2">
          <cell r="A2" t="str">
            <v>실     명</v>
          </cell>
        </row>
      </sheetData>
      <sheetData sheetId="3745">
        <row r="2">
          <cell r="A2" t="str">
            <v>실     명</v>
          </cell>
        </row>
      </sheetData>
      <sheetData sheetId="3746">
        <row r="2">
          <cell r="A2" t="str">
            <v>실     명</v>
          </cell>
        </row>
      </sheetData>
      <sheetData sheetId="3747">
        <row r="2">
          <cell r="A2" t="str">
            <v>실     명</v>
          </cell>
        </row>
      </sheetData>
      <sheetData sheetId="3748">
        <row r="2">
          <cell r="A2" t="str">
            <v>실     명</v>
          </cell>
        </row>
      </sheetData>
      <sheetData sheetId="3749">
        <row r="2">
          <cell r="A2" t="str">
            <v>실     명</v>
          </cell>
        </row>
      </sheetData>
      <sheetData sheetId="3750">
        <row r="2">
          <cell r="A2" t="str">
            <v>실     명</v>
          </cell>
        </row>
      </sheetData>
      <sheetData sheetId="3751">
        <row r="2">
          <cell r="A2" t="str">
            <v>실     명</v>
          </cell>
        </row>
      </sheetData>
      <sheetData sheetId="3752">
        <row r="2">
          <cell r="A2" t="str">
            <v>실     명</v>
          </cell>
        </row>
      </sheetData>
      <sheetData sheetId="3753">
        <row r="2">
          <cell r="A2" t="str">
            <v>실     명</v>
          </cell>
        </row>
      </sheetData>
      <sheetData sheetId="3754">
        <row r="2">
          <cell r="A2" t="str">
            <v>실     명</v>
          </cell>
        </row>
      </sheetData>
      <sheetData sheetId="3755">
        <row r="2">
          <cell r="A2" t="str">
            <v>실     명</v>
          </cell>
        </row>
      </sheetData>
      <sheetData sheetId="3756">
        <row r="2">
          <cell r="A2" t="str">
            <v>실     명</v>
          </cell>
        </row>
      </sheetData>
      <sheetData sheetId="3757">
        <row r="2">
          <cell r="A2" t="str">
            <v>실     명</v>
          </cell>
        </row>
      </sheetData>
      <sheetData sheetId="3758">
        <row r="2">
          <cell r="A2" t="str">
            <v>실     명</v>
          </cell>
        </row>
      </sheetData>
      <sheetData sheetId="3759">
        <row r="2">
          <cell r="A2" t="str">
            <v>실     명</v>
          </cell>
        </row>
      </sheetData>
      <sheetData sheetId="3760">
        <row r="2">
          <cell r="A2" t="str">
            <v>실     명</v>
          </cell>
        </row>
      </sheetData>
      <sheetData sheetId="3761">
        <row r="2">
          <cell r="A2" t="str">
            <v>실     명</v>
          </cell>
        </row>
      </sheetData>
      <sheetData sheetId="3762">
        <row r="2">
          <cell r="A2" t="str">
            <v>실     명</v>
          </cell>
        </row>
      </sheetData>
      <sheetData sheetId="3763">
        <row r="2">
          <cell r="A2" t="str">
            <v>실     명</v>
          </cell>
        </row>
      </sheetData>
      <sheetData sheetId="3764">
        <row r="2">
          <cell r="A2" t="str">
            <v>실     명</v>
          </cell>
        </row>
      </sheetData>
      <sheetData sheetId="3765">
        <row r="2">
          <cell r="A2" t="str">
            <v>실     명</v>
          </cell>
        </row>
      </sheetData>
      <sheetData sheetId="3766">
        <row r="2">
          <cell r="A2" t="str">
            <v>실     명</v>
          </cell>
        </row>
      </sheetData>
      <sheetData sheetId="3767">
        <row r="2">
          <cell r="A2" t="str">
            <v>실     명</v>
          </cell>
        </row>
      </sheetData>
      <sheetData sheetId="3768">
        <row r="2">
          <cell r="A2" t="str">
            <v>실     명</v>
          </cell>
        </row>
      </sheetData>
      <sheetData sheetId="3769">
        <row r="2">
          <cell r="A2" t="str">
            <v>실     명</v>
          </cell>
        </row>
      </sheetData>
      <sheetData sheetId="3770">
        <row r="2">
          <cell r="A2" t="str">
            <v>실     명</v>
          </cell>
        </row>
      </sheetData>
      <sheetData sheetId="3771">
        <row r="2">
          <cell r="A2" t="str">
            <v>실     명</v>
          </cell>
        </row>
      </sheetData>
      <sheetData sheetId="3772">
        <row r="2">
          <cell r="A2" t="str">
            <v>실     명</v>
          </cell>
        </row>
      </sheetData>
      <sheetData sheetId="3773">
        <row r="2">
          <cell r="A2" t="str">
            <v>실     명</v>
          </cell>
        </row>
      </sheetData>
      <sheetData sheetId="3774">
        <row r="2">
          <cell r="A2" t="str">
            <v>실     명</v>
          </cell>
        </row>
      </sheetData>
      <sheetData sheetId="3775">
        <row r="2">
          <cell r="A2" t="str">
            <v>실     명</v>
          </cell>
        </row>
      </sheetData>
      <sheetData sheetId="3776">
        <row r="2">
          <cell r="A2" t="str">
            <v>실     명</v>
          </cell>
        </row>
      </sheetData>
      <sheetData sheetId="3777">
        <row r="2">
          <cell r="A2" t="str">
            <v>실     명</v>
          </cell>
        </row>
      </sheetData>
      <sheetData sheetId="3778">
        <row r="2">
          <cell r="A2" t="str">
            <v>실     명</v>
          </cell>
        </row>
      </sheetData>
      <sheetData sheetId="3779">
        <row r="2">
          <cell r="A2" t="str">
            <v>실     명</v>
          </cell>
        </row>
      </sheetData>
      <sheetData sheetId="3780">
        <row r="2">
          <cell r="A2" t="str">
            <v>실     명</v>
          </cell>
        </row>
      </sheetData>
      <sheetData sheetId="3781">
        <row r="2">
          <cell r="A2" t="str">
            <v>실     명</v>
          </cell>
        </row>
      </sheetData>
      <sheetData sheetId="3782">
        <row r="2">
          <cell r="A2" t="str">
            <v>실     명</v>
          </cell>
        </row>
      </sheetData>
      <sheetData sheetId="3783">
        <row r="2">
          <cell r="A2" t="str">
            <v>실     명</v>
          </cell>
        </row>
      </sheetData>
      <sheetData sheetId="3784">
        <row r="2">
          <cell r="A2" t="str">
            <v>실     명</v>
          </cell>
        </row>
      </sheetData>
      <sheetData sheetId="3785">
        <row r="2">
          <cell r="A2" t="str">
            <v>실     명</v>
          </cell>
        </row>
      </sheetData>
      <sheetData sheetId="3786">
        <row r="2">
          <cell r="A2" t="str">
            <v>실     명</v>
          </cell>
        </row>
      </sheetData>
      <sheetData sheetId="3787">
        <row r="2">
          <cell r="A2" t="str">
            <v>실     명</v>
          </cell>
        </row>
      </sheetData>
      <sheetData sheetId="3788">
        <row r="2">
          <cell r="A2" t="str">
            <v>실     명</v>
          </cell>
        </row>
      </sheetData>
      <sheetData sheetId="3789">
        <row r="2">
          <cell r="A2" t="str">
            <v>실     명</v>
          </cell>
        </row>
      </sheetData>
      <sheetData sheetId="3790">
        <row r="2">
          <cell r="A2" t="str">
            <v>실     명</v>
          </cell>
        </row>
      </sheetData>
      <sheetData sheetId="3791">
        <row r="2">
          <cell r="A2" t="str">
            <v>실     명</v>
          </cell>
        </row>
      </sheetData>
      <sheetData sheetId="3792">
        <row r="2">
          <cell r="A2" t="str">
            <v>실     명</v>
          </cell>
        </row>
      </sheetData>
      <sheetData sheetId="3793">
        <row r="2">
          <cell r="A2" t="str">
            <v>실     명</v>
          </cell>
        </row>
      </sheetData>
      <sheetData sheetId="3794">
        <row r="2">
          <cell r="A2" t="str">
            <v>실     명</v>
          </cell>
        </row>
      </sheetData>
      <sheetData sheetId="3795">
        <row r="2">
          <cell r="A2" t="str">
            <v>실     명</v>
          </cell>
        </row>
      </sheetData>
      <sheetData sheetId="3796">
        <row r="2">
          <cell r="A2" t="str">
            <v>실     명</v>
          </cell>
        </row>
      </sheetData>
      <sheetData sheetId="3797">
        <row r="2">
          <cell r="A2" t="str">
            <v>실     명</v>
          </cell>
        </row>
      </sheetData>
      <sheetData sheetId="3798">
        <row r="2">
          <cell r="A2" t="str">
            <v>실     명</v>
          </cell>
        </row>
      </sheetData>
      <sheetData sheetId="3799">
        <row r="2">
          <cell r="A2" t="str">
            <v>실     명</v>
          </cell>
        </row>
      </sheetData>
      <sheetData sheetId="3800">
        <row r="2">
          <cell r="A2" t="str">
            <v>실     명</v>
          </cell>
        </row>
      </sheetData>
      <sheetData sheetId="3801">
        <row r="2">
          <cell r="A2" t="str">
            <v>실     명</v>
          </cell>
        </row>
      </sheetData>
      <sheetData sheetId="3802">
        <row r="2">
          <cell r="A2" t="str">
            <v>실     명</v>
          </cell>
        </row>
      </sheetData>
      <sheetData sheetId="3803">
        <row r="2">
          <cell r="A2" t="str">
            <v>실     명</v>
          </cell>
        </row>
      </sheetData>
      <sheetData sheetId="3804">
        <row r="2">
          <cell r="A2" t="str">
            <v>실     명</v>
          </cell>
        </row>
      </sheetData>
      <sheetData sheetId="3805">
        <row r="2">
          <cell r="A2" t="str">
            <v>실     명</v>
          </cell>
        </row>
      </sheetData>
      <sheetData sheetId="3806">
        <row r="2">
          <cell r="A2" t="str">
            <v>실     명</v>
          </cell>
        </row>
      </sheetData>
      <sheetData sheetId="3807">
        <row r="2">
          <cell r="A2" t="str">
            <v>실     명</v>
          </cell>
        </row>
      </sheetData>
      <sheetData sheetId="3808">
        <row r="2">
          <cell r="A2" t="str">
            <v>실     명</v>
          </cell>
        </row>
      </sheetData>
      <sheetData sheetId="3809">
        <row r="2">
          <cell r="A2" t="str">
            <v>실     명</v>
          </cell>
        </row>
      </sheetData>
      <sheetData sheetId="3810">
        <row r="2">
          <cell r="A2" t="str">
            <v>실     명</v>
          </cell>
        </row>
      </sheetData>
      <sheetData sheetId="3811">
        <row r="2">
          <cell r="A2" t="str">
            <v>실     명</v>
          </cell>
        </row>
      </sheetData>
      <sheetData sheetId="3812">
        <row r="2">
          <cell r="A2" t="str">
            <v>실     명</v>
          </cell>
        </row>
      </sheetData>
      <sheetData sheetId="3813">
        <row r="2">
          <cell r="A2" t="str">
            <v>실     명</v>
          </cell>
        </row>
      </sheetData>
      <sheetData sheetId="3814">
        <row r="2">
          <cell r="A2" t="str">
            <v>실     명</v>
          </cell>
        </row>
      </sheetData>
      <sheetData sheetId="3815">
        <row r="2">
          <cell r="A2" t="str">
            <v>실     명</v>
          </cell>
        </row>
      </sheetData>
      <sheetData sheetId="3816">
        <row r="2">
          <cell r="A2" t="str">
            <v>실     명</v>
          </cell>
        </row>
      </sheetData>
      <sheetData sheetId="3817">
        <row r="2">
          <cell r="A2" t="str">
            <v>실     명</v>
          </cell>
        </row>
      </sheetData>
      <sheetData sheetId="3818">
        <row r="2">
          <cell r="A2" t="str">
            <v>실     명</v>
          </cell>
        </row>
      </sheetData>
      <sheetData sheetId="3819">
        <row r="2">
          <cell r="A2" t="str">
            <v>실     명</v>
          </cell>
        </row>
      </sheetData>
      <sheetData sheetId="3820">
        <row r="2">
          <cell r="A2" t="str">
            <v>실     명</v>
          </cell>
        </row>
      </sheetData>
      <sheetData sheetId="3821">
        <row r="2">
          <cell r="A2" t="str">
            <v>실     명</v>
          </cell>
        </row>
      </sheetData>
      <sheetData sheetId="3822">
        <row r="2">
          <cell r="A2" t="str">
            <v>실     명</v>
          </cell>
        </row>
      </sheetData>
      <sheetData sheetId="3823">
        <row r="2">
          <cell r="A2" t="str">
            <v>실     명</v>
          </cell>
        </row>
      </sheetData>
      <sheetData sheetId="3824">
        <row r="2">
          <cell r="A2" t="str">
            <v>실     명</v>
          </cell>
        </row>
      </sheetData>
      <sheetData sheetId="3825">
        <row r="2">
          <cell r="A2" t="str">
            <v>실     명</v>
          </cell>
        </row>
      </sheetData>
      <sheetData sheetId="3826">
        <row r="2">
          <cell r="A2" t="str">
            <v>실     명</v>
          </cell>
        </row>
      </sheetData>
      <sheetData sheetId="3827">
        <row r="2">
          <cell r="A2" t="str">
            <v>실     명</v>
          </cell>
        </row>
      </sheetData>
      <sheetData sheetId="3828">
        <row r="2">
          <cell r="A2" t="str">
            <v>실     명</v>
          </cell>
        </row>
      </sheetData>
      <sheetData sheetId="3829">
        <row r="2">
          <cell r="A2" t="str">
            <v>실     명</v>
          </cell>
        </row>
      </sheetData>
      <sheetData sheetId="3830">
        <row r="2">
          <cell r="A2" t="str">
            <v>실     명</v>
          </cell>
        </row>
      </sheetData>
      <sheetData sheetId="3831">
        <row r="2">
          <cell r="A2" t="str">
            <v>실     명</v>
          </cell>
        </row>
      </sheetData>
      <sheetData sheetId="3832">
        <row r="2">
          <cell r="A2" t="str">
            <v>실     명</v>
          </cell>
        </row>
      </sheetData>
      <sheetData sheetId="3833">
        <row r="2">
          <cell r="A2" t="str">
            <v>실     명</v>
          </cell>
        </row>
      </sheetData>
      <sheetData sheetId="3834">
        <row r="2">
          <cell r="A2" t="str">
            <v>실     명</v>
          </cell>
        </row>
      </sheetData>
      <sheetData sheetId="3835">
        <row r="2">
          <cell r="A2" t="str">
            <v>실     명</v>
          </cell>
        </row>
      </sheetData>
      <sheetData sheetId="3836">
        <row r="2">
          <cell r="A2" t="str">
            <v>실     명</v>
          </cell>
        </row>
      </sheetData>
      <sheetData sheetId="3837">
        <row r="2">
          <cell r="A2" t="str">
            <v>실     명</v>
          </cell>
        </row>
      </sheetData>
      <sheetData sheetId="3838">
        <row r="2">
          <cell r="A2" t="str">
            <v>실     명</v>
          </cell>
        </row>
      </sheetData>
      <sheetData sheetId="3839">
        <row r="2">
          <cell r="A2" t="str">
            <v>실     명</v>
          </cell>
        </row>
      </sheetData>
      <sheetData sheetId="3840">
        <row r="2">
          <cell r="A2" t="str">
            <v>실     명</v>
          </cell>
        </row>
      </sheetData>
      <sheetData sheetId="3841">
        <row r="2">
          <cell r="A2" t="str">
            <v>실     명</v>
          </cell>
        </row>
      </sheetData>
      <sheetData sheetId="3842">
        <row r="2">
          <cell r="A2" t="str">
            <v>실     명</v>
          </cell>
        </row>
      </sheetData>
      <sheetData sheetId="3843">
        <row r="2">
          <cell r="A2" t="str">
            <v>실     명</v>
          </cell>
        </row>
      </sheetData>
      <sheetData sheetId="3844">
        <row r="2">
          <cell r="A2" t="str">
            <v>실     명</v>
          </cell>
        </row>
      </sheetData>
      <sheetData sheetId="3845">
        <row r="2">
          <cell r="A2" t="str">
            <v>실     명</v>
          </cell>
        </row>
      </sheetData>
      <sheetData sheetId="3846">
        <row r="2">
          <cell r="A2" t="str">
            <v>실     명</v>
          </cell>
        </row>
      </sheetData>
      <sheetData sheetId="3847">
        <row r="2">
          <cell r="A2" t="str">
            <v>실     명</v>
          </cell>
        </row>
      </sheetData>
      <sheetData sheetId="3848">
        <row r="2">
          <cell r="A2" t="str">
            <v>실     명</v>
          </cell>
        </row>
      </sheetData>
      <sheetData sheetId="3849">
        <row r="2">
          <cell r="A2" t="str">
            <v>실     명</v>
          </cell>
        </row>
      </sheetData>
      <sheetData sheetId="3850">
        <row r="2">
          <cell r="A2" t="str">
            <v>실     명</v>
          </cell>
        </row>
      </sheetData>
      <sheetData sheetId="3851">
        <row r="2">
          <cell r="A2" t="str">
            <v>실     명</v>
          </cell>
        </row>
      </sheetData>
      <sheetData sheetId="3852">
        <row r="2">
          <cell r="A2" t="str">
            <v>실     명</v>
          </cell>
        </row>
      </sheetData>
      <sheetData sheetId="3853">
        <row r="2">
          <cell r="A2" t="str">
            <v>실     명</v>
          </cell>
        </row>
      </sheetData>
      <sheetData sheetId="3854">
        <row r="2">
          <cell r="A2" t="str">
            <v>실     명</v>
          </cell>
        </row>
      </sheetData>
      <sheetData sheetId="3855">
        <row r="2">
          <cell r="A2" t="str">
            <v>실     명</v>
          </cell>
        </row>
      </sheetData>
      <sheetData sheetId="3856">
        <row r="2">
          <cell r="A2" t="str">
            <v>실     명</v>
          </cell>
        </row>
      </sheetData>
      <sheetData sheetId="3857">
        <row r="2">
          <cell r="A2" t="str">
            <v>실     명</v>
          </cell>
        </row>
      </sheetData>
      <sheetData sheetId="3858">
        <row r="2">
          <cell r="A2" t="str">
            <v>실     명</v>
          </cell>
        </row>
      </sheetData>
      <sheetData sheetId="3859">
        <row r="2">
          <cell r="A2" t="str">
            <v>실     명</v>
          </cell>
        </row>
      </sheetData>
      <sheetData sheetId="3860">
        <row r="2">
          <cell r="A2" t="str">
            <v>실     명</v>
          </cell>
        </row>
      </sheetData>
      <sheetData sheetId="3861">
        <row r="2">
          <cell r="A2" t="str">
            <v>실     명</v>
          </cell>
        </row>
      </sheetData>
      <sheetData sheetId="3862">
        <row r="2">
          <cell r="A2" t="str">
            <v>실     명</v>
          </cell>
        </row>
      </sheetData>
      <sheetData sheetId="3863">
        <row r="2">
          <cell r="A2" t="str">
            <v>실     명</v>
          </cell>
        </row>
      </sheetData>
      <sheetData sheetId="3864">
        <row r="2">
          <cell r="A2" t="str">
            <v>실     명</v>
          </cell>
        </row>
      </sheetData>
      <sheetData sheetId="3865">
        <row r="2">
          <cell r="A2" t="str">
            <v>실     명</v>
          </cell>
        </row>
      </sheetData>
      <sheetData sheetId="3866">
        <row r="2">
          <cell r="A2" t="str">
            <v>실     명</v>
          </cell>
        </row>
      </sheetData>
      <sheetData sheetId="3867">
        <row r="2">
          <cell r="A2" t="str">
            <v>B¹</v>
          </cell>
        </row>
      </sheetData>
      <sheetData sheetId="3868">
        <row r="2">
          <cell r="A2" t="str">
            <v>$</v>
          </cell>
        </row>
      </sheetData>
      <sheetData sheetId="3869">
        <row r="2">
          <cell r="A2" t="str">
            <v>Y</v>
          </cell>
        </row>
      </sheetData>
      <sheetData sheetId="3870">
        <row r="2">
          <cell r="A2" t="str">
            <v>레미콘</v>
          </cell>
        </row>
      </sheetData>
      <sheetData sheetId="3871">
        <row r="2">
          <cell r="A2" t="str">
            <v>실     명</v>
          </cell>
        </row>
      </sheetData>
      <sheetData sheetId="3872">
        <row r="2">
          <cell r="A2" t="str">
            <v>B¹</v>
          </cell>
        </row>
      </sheetData>
      <sheetData sheetId="3873">
        <row r="2">
          <cell r="A2" t="str">
            <v>$</v>
          </cell>
        </row>
      </sheetData>
      <sheetData sheetId="3874">
        <row r="2">
          <cell r="A2" t="str">
            <v>Y</v>
          </cell>
        </row>
      </sheetData>
      <sheetData sheetId="3875">
        <row r="2">
          <cell r="A2" t="str">
            <v>레미콘</v>
          </cell>
        </row>
      </sheetData>
      <sheetData sheetId="3876">
        <row r="2">
          <cell r="A2" t="str">
            <v>실     명</v>
          </cell>
        </row>
      </sheetData>
      <sheetData sheetId="3877">
        <row r="2">
          <cell r="A2" t="str">
            <v>실     명</v>
          </cell>
        </row>
      </sheetData>
      <sheetData sheetId="3878">
        <row r="2">
          <cell r="A2" t="str">
            <v>실     명</v>
          </cell>
        </row>
      </sheetData>
      <sheetData sheetId="3879">
        <row r="2">
          <cell r="A2" t="str">
            <v>실     명</v>
          </cell>
        </row>
      </sheetData>
      <sheetData sheetId="3880">
        <row r="2">
          <cell r="A2" t="str">
            <v>실     명</v>
          </cell>
        </row>
      </sheetData>
      <sheetData sheetId="3881">
        <row r="2">
          <cell r="A2" t="str">
            <v>실     명</v>
          </cell>
        </row>
      </sheetData>
      <sheetData sheetId="3882">
        <row r="2">
          <cell r="A2" t="str">
            <v>실     명</v>
          </cell>
        </row>
      </sheetData>
      <sheetData sheetId="3883">
        <row r="2">
          <cell r="A2" t="str">
            <v>실     명</v>
          </cell>
        </row>
      </sheetData>
      <sheetData sheetId="3884">
        <row r="2">
          <cell r="A2" t="str">
            <v>실     명</v>
          </cell>
        </row>
      </sheetData>
      <sheetData sheetId="3885">
        <row r="2">
          <cell r="A2" t="str">
            <v>실     명</v>
          </cell>
        </row>
      </sheetData>
      <sheetData sheetId="3886">
        <row r="2">
          <cell r="A2" t="str">
            <v>실     명</v>
          </cell>
        </row>
      </sheetData>
      <sheetData sheetId="3887">
        <row r="2">
          <cell r="A2" t="str">
            <v>실     명</v>
          </cell>
        </row>
      </sheetData>
      <sheetData sheetId="3888">
        <row r="2">
          <cell r="A2" t="str">
            <v>실     명</v>
          </cell>
        </row>
      </sheetData>
      <sheetData sheetId="3889">
        <row r="2">
          <cell r="A2" t="str">
            <v>실     명</v>
          </cell>
        </row>
      </sheetData>
      <sheetData sheetId="3890">
        <row r="2">
          <cell r="A2" t="str">
            <v>실     명</v>
          </cell>
        </row>
      </sheetData>
      <sheetData sheetId="3891">
        <row r="2">
          <cell r="A2" t="str">
            <v>실     명</v>
          </cell>
        </row>
      </sheetData>
      <sheetData sheetId="3892">
        <row r="2">
          <cell r="A2" t="str">
            <v>실     명</v>
          </cell>
        </row>
      </sheetData>
      <sheetData sheetId="3893">
        <row r="2">
          <cell r="A2" t="str">
            <v>실     명</v>
          </cell>
        </row>
      </sheetData>
      <sheetData sheetId="3894">
        <row r="2">
          <cell r="A2" t="str">
            <v>실     명</v>
          </cell>
        </row>
      </sheetData>
      <sheetData sheetId="3895">
        <row r="2">
          <cell r="A2" t="str">
            <v>실     명</v>
          </cell>
        </row>
      </sheetData>
      <sheetData sheetId="3896">
        <row r="2">
          <cell r="A2" t="str">
            <v>실     명</v>
          </cell>
        </row>
      </sheetData>
      <sheetData sheetId="3897">
        <row r="2">
          <cell r="A2" t="str">
            <v>실     명</v>
          </cell>
        </row>
      </sheetData>
      <sheetData sheetId="3898">
        <row r="2">
          <cell r="A2" t="str">
            <v>실     명</v>
          </cell>
        </row>
      </sheetData>
      <sheetData sheetId="3899">
        <row r="2">
          <cell r="A2" t="str">
            <v>실     명</v>
          </cell>
        </row>
      </sheetData>
      <sheetData sheetId="3900">
        <row r="2">
          <cell r="A2" t="str">
            <v>실     명</v>
          </cell>
        </row>
      </sheetData>
      <sheetData sheetId="3901">
        <row r="2">
          <cell r="A2" t="str">
            <v>실     명</v>
          </cell>
        </row>
      </sheetData>
      <sheetData sheetId="3902">
        <row r="2">
          <cell r="A2" t="str">
            <v>실     명</v>
          </cell>
        </row>
      </sheetData>
      <sheetData sheetId="3903">
        <row r="2">
          <cell r="A2" t="str">
            <v>실     명</v>
          </cell>
        </row>
      </sheetData>
      <sheetData sheetId="3904">
        <row r="2">
          <cell r="A2" t="str">
            <v>실     명</v>
          </cell>
        </row>
      </sheetData>
      <sheetData sheetId="3905">
        <row r="2">
          <cell r="A2" t="str">
            <v>실     명</v>
          </cell>
        </row>
      </sheetData>
      <sheetData sheetId="3906">
        <row r="2">
          <cell r="A2" t="str">
            <v>실     명</v>
          </cell>
        </row>
      </sheetData>
      <sheetData sheetId="3907">
        <row r="2">
          <cell r="A2" t="str">
            <v>실     명</v>
          </cell>
        </row>
      </sheetData>
      <sheetData sheetId="3908">
        <row r="2">
          <cell r="A2" t="str">
            <v>실     명</v>
          </cell>
        </row>
      </sheetData>
      <sheetData sheetId="3909">
        <row r="2">
          <cell r="A2" t="str">
            <v>실     명</v>
          </cell>
        </row>
      </sheetData>
      <sheetData sheetId="3910">
        <row r="2">
          <cell r="A2" t="str">
            <v>실     명</v>
          </cell>
        </row>
      </sheetData>
      <sheetData sheetId="3911">
        <row r="2">
          <cell r="A2" t="str">
            <v>실     명</v>
          </cell>
        </row>
      </sheetData>
      <sheetData sheetId="3912">
        <row r="2">
          <cell r="A2" t="str">
            <v>실     명</v>
          </cell>
        </row>
      </sheetData>
      <sheetData sheetId="3913">
        <row r="2">
          <cell r="A2" t="str">
            <v>실     명</v>
          </cell>
        </row>
      </sheetData>
      <sheetData sheetId="3914">
        <row r="2">
          <cell r="A2" t="str">
            <v>실     명</v>
          </cell>
        </row>
      </sheetData>
      <sheetData sheetId="3915">
        <row r="2">
          <cell r="A2" t="str">
            <v>실     명</v>
          </cell>
        </row>
      </sheetData>
      <sheetData sheetId="3916">
        <row r="2">
          <cell r="A2" t="str">
            <v>실     명</v>
          </cell>
        </row>
      </sheetData>
      <sheetData sheetId="3917">
        <row r="2">
          <cell r="A2" t="str">
            <v>실     명</v>
          </cell>
        </row>
      </sheetData>
      <sheetData sheetId="3918">
        <row r="2">
          <cell r="A2" t="str">
            <v>실     명</v>
          </cell>
        </row>
      </sheetData>
      <sheetData sheetId="3919">
        <row r="2">
          <cell r="A2" t="str">
            <v>실     명</v>
          </cell>
        </row>
      </sheetData>
      <sheetData sheetId="3920">
        <row r="2">
          <cell r="A2" t="str">
            <v>실     명</v>
          </cell>
        </row>
      </sheetData>
      <sheetData sheetId="3921">
        <row r="2">
          <cell r="A2" t="str">
            <v>실     명</v>
          </cell>
        </row>
      </sheetData>
      <sheetData sheetId="3922">
        <row r="2">
          <cell r="A2" t="str">
            <v>실     명</v>
          </cell>
        </row>
      </sheetData>
      <sheetData sheetId="3923">
        <row r="2">
          <cell r="A2" t="str">
            <v>실     명</v>
          </cell>
        </row>
      </sheetData>
      <sheetData sheetId="3924">
        <row r="2">
          <cell r="A2" t="str">
            <v>실     명</v>
          </cell>
        </row>
      </sheetData>
      <sheetData sheetId="3925">
        <row r="2">
          <cell r="A2" t="str">
            <v>실     명</v>
          </cell>
        </row>
      </sheetData>
      <sheetData sheetId="3926">
        <row r="2">
          <cell r="A2" t="str">
            <v>실     명</v>
          </cell>
        </row>
      </sheetData>
      <sheetData sheetId="3927">
        <row r="2">
          <cell r="A2" t="str">
            <v>실     명</v>
          </cell>
        </row>
      </sheetData>
      <sheetData sheetId="3928">
        <row r="2">
          <cell r="A2" t="str">
            <v>실     명</v>
          </cell>
        </row>
      </sheetData>
      <sheetData sheetId="3929">
        <row r="2">
          <cell r="A2" t="str">
            <v>실     명</v>
          </cell>
        </row>
      </sheetData>
      <sheetData sheetId="3930">
        <row r="2">
          <cell r="A2" t="str">
            <v>실     명</v>
          </cell>
        </row>
      </sheetData>
      <sheetData sheetId="3931">
        <row r="2">
          <cell r="A2" t="str">
            <v>실     명</v>
          </cell>
        </row>
      </sheetData>
      <sheetData sheetId="3932">
        <row r="2">
          <cell r="A2" t="str">
            <v>실     명</v>
          </cell>
        </row>
      </sheetData>
      <sheetData sheetId="3933">
        <row r="2">
          <cell r="A2" t="str">
            <v>실     명</v>
          </cell>
        </row>
      </sheetData>
      <sheetData sheetId="3934">
        <row r="2">
          <cell r="A2" t="str">
            <v>실     명</v>
          </cell>
        </row>
      </sheetData>
      <sheetData sheetId="3935">
        <row r="2">
          <cell r="A2" t="str">
            <v>실     명</v>
          </cell>
        </row>
      </sheetData>
      <sheetData sheetId="3936">
        <row r="2">
          <cell r="A2" t="str">
            <v>실     명</v>
          </cell>
        </row>
      </sheetData>
      <sheetData sheetId="3937">
        <row r="2">
          <cell r="A2" t="str">
            <v>실     명</v>
          </cell>
        </row>
      </sheetData>
      <sheetData sheetId="3938">
        <row r="2">
          <cell r="A2" t="str">
            <v>실     명</v>
          </cell>
        </row>
      </sheetData>
      <sheetData sheetId="3939">
        <row r="2">
          <cell r="A2" t="str">
            <v>실     명</v>
          </cell>
        </row>
      </sheetData>
      <sheetData sheetId="3940">
        <row r="2">
          <cell r="A2" t="str">
            <v>실     명</v>
          </cell>
        </row>
      </sheetData>
      <sheetData sheetId="3941">
        <row r="2">
          <cell r="A2" t="str">
            <v>실     명</v>
          </cell>
        </row>
      </sheetData>
      <sheetData sheetId="3942">
        <row r="2">
          <cell r="A2" t="str">
            <v>실     명</v>
          </cell>
        </row>
      </sheetData>
      <sheetData sheetId="3943">
        <row r="2">
          <cell r="A2" t="str">
            <v>실     명</v>
          </cell>
        </row>
      </sheetData>
      <sheetData sheetId="3944">
        <row r="2">
          <cell r="A2" t="str">
            <v>실     명</v>
          </cell>
        </row>
      </sheetData>
      <sheetData sheetId="3945">
        <row r="2">
          <cell r="A2" t="str">
            <v>실     명</v>
          </cell>
        </row>
      </sheetData>
      <sheetData sheetId="3946">
        <row r="2">
          <cell r="A2" t="str">
            <v>실     명</v>
          </cell>
        </row>
      </sheetData>
      <sheetData sheetId="3947">
        <row r="2">
          <cell r="A2" t="str">
            <v>실     명</v>
          </cell>
        </row>
      </sheetData>
      <sheetData sheetId="3948">
        <row r="2">
          <cell r="A2" t="str">
            <v>실     명</v>
          </cell>
        </row>
      </sheetData>
      <sheetData sheetId="3949">
        <row r="2">
          <cell r="A2" t="str">
            <v>실     명</v>
          </cell>
        </row>
      </sheetData>
      <sheetData sheetId="3950">
        <row r="2">
          <cell r="A2" t="str">
            <v>실     명</v>
          </cell>
        </row>
      </sheetData>
      <sheetData sheetId="3951">
        <row r="2">
          <cell r="A2" t="str">
            <v>실     명</v>
          </cell>
        </row>
      </sheetData>
      <sheetData sheetId="3952">
        <row r="2">
          <cell r="A2" t="str">
            <v>실     명</v>
          </cell>
        </row>
      </sheetData>
      <sheetData sheetId="3953">
        <row r="2">
          <cell r="A2" t="str">
            <v>실     명</v>
          </cell>
        </row>
      </sheetData>
      <sheetData sheetId="3954">
        <row r="2">
          <cell r="A2" t="str">
            <v>실     명</v>
          </cell>
        </row>
      </sheetData>
      <sheetData sheetId="3955">
        <row r="2">
          <cell r="A2" t="str">
            <v>실     명</v>
          </cell>
        </row>
      </sheetData>
      <sheetData sheetId="3956">
        <row r="2">
          <cell r="A2" t="str">
            <v>실     명</v>
          </cell>
        </row>
      </sheetData>
      <sheetData sheetId="3957">
        <row r="2">
          <cell r="A2" t="str">
            <v>실     명</v>
          </cell>
        </row>
      </sheetData>
      <sheetData sheetId="3958">
        <row r="2">
          <cell r="A2" t="str">
            <v>실     명</v>
          </cell>
        </row>
      </sheetData>
      <sheetData sheetId="3959">
        <row r="2">
          <cell r="A2" t="str">
            <v>실     명</v>
          </cell>
        </row>
      </sheetData>
      <sheetData sheetId="3960">
        <row r="2">
          <cell r="A2" t="str">
            <v>실     명</v>
          </cell>
        </row>
      </sheetData>
      <sheetData sheetId="3961">
        <row r="2">
          <cell r="A2" t="str">
            <v>실     명</v>
          </cell>
        </row>
      </sheetData>
      <sheetData sheetId="3962">
        <row r="2">
          <cell r="A2" t="str">
            <v>실     명</v>
          </cell>
        </row>
      </sheetData>
      <sheetData sheetId="3963">
        <row r="2">
          <cell r="A2" t="str">
            <v>실     명</v>
          </cell>
        </row>
      </sheetData>
      <sheetData sheetId="3964">
        <row r="2">
          <cell r="A2" t="str">
            <v>실     명</v>
          </cell>
        </row>
      </sheetData>
      <sheetData sheetId="3965">
        <row r="2">
          <cell r="A2" t="str">
            <v>B¹</v>
          </cell>
        </row>
      </sheetData>
      <sheetData sheetId="3966">
        <row r="2">
          <cell r="A2" t="str">
            <v>$</v>
          </cell>
        </row>
      </sheetData>
      <sheetData sheetId="3967">
        <row r="2">
          <cell r="A2" t="str">
            <v>실     명</v>
          </cell>
        </row>
      </sheetData>
      <sheetData sheetId="3968">
        <row r="2">
          <cell r="A2" t="str">
            <v>실     명</v>
          </cell>
        </row>
      </sheetData>
      <sheetData sheetId="3969">
        <row r="2">
          <cell r="A2" t="str">
            <v>실     명</v>
          </cell>
        </row>
      </sheetData>
      <sheetData sheetId="3970">
        <row r="2">
          <cell r="A2" t="str">
            <v>실     명</v>
          </cell>
        </row>
      </sheetData>
      <sheetData sheetId="3971">
        <row r="2">
          <cell r="A2" t="str">
            <v>실     명</v>
          </cell>
        </row>
      </sheetData>
      <sheetData sheetId="3972">
        <row r="2">
          <cell r="A2" t="str">
            <v>실     명</v>
          </cell>
        </row>
      </sheetData>
      <sheetData sheetId="3973">
        <row r="2">
          <cell r="A2" t="str">
            <v>실     명</v>
          </cell>
        </row>
      </sheetData>
      <sheetData sheetId="3974">
        <row r="2">
          <cell r="A2" t="str">
            <v>실     명</v>
          </cell>
        </row>
      </sheetData>
      <sheetData sheetId="3975">
        <row r="2">
          <cell r="A2" t="str">
            <v>실     명</v>
          </cell>
        </row>
      </sheetData>
      <sheetData sheetId="3976">
        <row r="2">
          <cell r="A2" t="str">
            <v>실     명</v>
          </cell>
        </row>
      </sheetData>
      <sheetData sheetId="3977">
        <row r="2">
          <cell r="A2" t="str">
            <v>실     명</v>
          </cell>
        </row>
      </sheetData>
      <sheetData sheetId="3978">
        <row r="2">
          <cell r="A2" t="str">
            <v>실     명</v>
          </cell>
        </row>
      </sheetData>
      <sheetData sheetId="3979">
        <row r="2">
          <cell r="A2" t="str">
            <v>실     명</v>
          </cell>
        </row>
      </sheetData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>
        <row r="2">
          <cell r="A2" t="str">
            <v>실     명</v>
          </cell>
        </row>
      </sheetData>
      <sheetData sheetId="3988">
        <row r="2">
          <cell r="A2" t="str">
            <v>실     명</v>
          </cell>
        </row>
      </sheetData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>
        <row r="2">
          <cell r="A2" t="str">
            <v>실     명</v>
          </cell>
        </row>
      </sheetData>
      <sheetData sheetId="3995">
        <row r="2">
          <cell r="A2" t="str">
            <v>실     명</v>
          </cell>
        </row>
      </sheetData>
      <sheetData sheetId="3996">
        <row r="2">
          <cell r="A2" t="str">
            <v>실     명</v>
          </cell>
        </row>
      </sheetData>
      <sheetData sheetId="3997">
        <row r="2">
          <cell r="A2" t="str">
            <v>실     명</v>
          </cell>
        </row>
      </sheetData>
      <sheetData sheetId="3998">
        <row r="2">
          <cell r="A2" t="str">
            <v>실     명</v>
          </cell>
        </row>
      </sheetData>
      <sheetData sheetId="3999">
        <row r="2">
          <cell r="A2" t="str">
            <v>실     명</v>
          </cell>
        </row>
      </sheetData>
      <sheetData sheetId="4000">
        <row r="2">
          <cell r="A2" t="str">
            <v>실     명</v>
          </cell>
        </row>
      </sheetData>
      <sheetData sheetId="4001">
        <row r="2">
          <cell r="A2" t="str">
            <v>실     명</v>
          </cell>
        </row>
      </sheetData>
      <sheetData sheetId="4002">
        <row r="2">
          <cell r="A2" t="str">
            <v>실     명</v>
          </cell>
        </row>
      </sheetData>
      <sheetData sheetId="4003">
        <row r="2">
          <cell r="A2" t="str">
            <v>실     명</v>
          </cell>
        </row>
      </sheetData>
      <sheetData sheetId="4004">
        <row r="2">
          <cell r="A2" t="str">
            <v>실     명</v>
          </cell>
        </row>
      </sheetData>
      <sheetData sheetId="4005">
        <row r="2">
          <cell r="A2" t="str">
            <v>실     명</v>
          </cell>
        </row>
      </sheetData>
      <sheetData sheetId="4006">
        <row r="2">
          <cell r="A2" t="str">
            <v>실     명</v>
          </cell>
        </row>
      </sheetData>
      <sheetData sheetId="4007">
        <row r="2">
          <cell r="A2" t="str">
            <v>실     명</v>
          </cell>
        </row>
      </sheetData>
      <sheetData sheetId="4008">
        <row r="2">
          <cell r="A2" t="str">
            <v>실     명</v>
          </cell>
        </row>
      </sheetData>
      <sheetData sheetId="4009">
        <row r="2">
          <cell r="A2" t="str">
            <v>실     명</v>
          </cell>
        </row>
      </sheetData>
      <sheetData sheetId="4010">
        <row r="2">
          <cell r="A2" t="str">
            <v>실     명</v>
          </cell>
        </row>
      </sheetData>
      <sheetData sheetId="4011">
        <row r="2">
          <cell r="A2" t="str">
            <v>실     명</v>
          </cell>
        </row>
      </sheetData>
      <sheetData sheetId="4012">
        <row r="2">
          <cell r="A2" t="str">
            <v>실     명</v>
          </cell>
        </row>
      </sheetData>
      <sheetData sheetId="4013">
        <row r="2">
          <cell r="A2" t="str">
            <v>실     명</v>
          </cell>
        </row>
      </sheetData>
      <sheetData sheetId="4014">
        <row r="2">
          <cell r="A2" t="str">
            <v>실     명</v>
          </cell>
        </row>
      </sheetData>
      <sheetData sheetId="4015">
        <row r="2">
          <cell r="A2" t="str">
            <v>실     명</v>
          </cell>
        </row>
      </sheetData>
      <sheetData sheetId="4016">
        <row r="2">
          <cell r="A2" t="str">
            <v>실     명</v>
          </cell>
        </row>
      </sheetData>
      <sheetData sheetId="4017">
        <row r="2">
          <cell r="A2" t="str">
            <v>실     명</v>
          </cell>
        </row>
      </sheetData>
      <sheetData sheetId="4018">
        <row r="2">
          <cell r="A2" t="str">
            <v>실     명</v>
          </cell>
        </row>
      </sheetData>
      <sheetData sheetId="4019">
        <row r="2">
          <cell r="A2" t="str">
            <v>실     명</v>
          </cell>
        </row>
      </sheetData>
      <sheetData sheetId="4020">
        <row r="2">
          <cell r="A2" t="str">
            <v>실     명</v>
          </cell>
        </row>
      </sheetData>
      <sheetData sheetId="4021">
        <row r="2">
          <cell r="A2" t="str">
            <v>실     명</v>
          </cell>
        </row>
      </sheetData>
      <sheetData sheetId="4022">
        <row r="2">
          <cell r="A2" t="str">
            <v>실     명</v>
          </cell>
        </row>
      </sheetData>
      <sheetData sheetId="4023" refreshError="1"/>
      <sheetData sheetId="4024" refreshError="1"/>
      <sheetData sheetId="4025">
        <row r="2">
          <cell r="A2" t="str">
            <v>실     명</v>
          </cell>
        </row>
      </sheetData>
      <sheetData sheetId="4026">
        <row r="2">
          <cell r="A2" t="str">
            <v>실     명</v>
          </cell>
        </row>
      </sheetData>
      <sheetData sheetId="4027" refreshError="1"/>
      <sheetData sheetId="4028">
        <row r="2">
          <cell r="A2" t="str">
            <v>실     명</v>
          </cell>
        </row>
      </sheetData>
      <sheetData sheetId="4029" refreshError="1"/>
      <sheetData sheetId="4030" refreshError="1"/>
      <sheetData sheetId="4031" refreshError="1"/>
      <sheetData sheetId="4032" refreshError="1"/>
      <sheetData sheetId="4033">
        <row r="2">
          <cell r="A2" t="str">
            <v>실     명</v>
          </cell>
        </row>
      </sheetData>
      <sheetData sheetId="4034">
        <row r="2">
          <cell r="A2" t="str">
            <v>실     명</v>
          </cell>
        </row>
      </sheetData>
      <sheetData sheetId="4035">
        <row r="2">
          <cell r="A2" t="str">
            <v>실     명</v>
          </cell>
        </row>
      </sheetData>
      <sheetData sheetId="4036">
        <row r="2">
          <cell r="A2" t="str">
            <v>실     명</v>
          </cell>
        </row>
      </sheetData>
      <sheetData sheetId="4037">
        <row r="2">
          <cell r="A2" t="str">
            <v>실     명</v>
          </cell>
        </row>
      </sheetData>
      <sheetData sheetId="4038">
        <row r="2">
          <cell r="A2" t="str">
            <v>실     명</v>
          </cell>
        </row>
      </sheetData>
      <sheetData sheetId="4039">
        <row r="2">
          <cell r="A2" t="str">
            <v>실     명</v>
          </cell>
        </row>
      </sheetData>
      <sheetData sheetId="4040">
        <row r="2">
          <cell r="A2" t="str">
            <v>실     명</v>
          </cell>
        </row>
      </sheetData>
      <sheetData sheetId="4041">
        <row r="2">
          <cell r="A2" t="str">
            <v>실     명</v>
          </cell>
        </row>
      </sheetData>
      <sheetData sheetId="4042">
        <row r="2">
          <cell r="A2" t="str">
            <v>실     명</v>
          </cell>
        </row>
      </sheetData>
      <sheetData sheetId="4043">
        <row r="2">
          <cell r="A2" t="str">
            <v>실     명</v>
          </cell>
        </row>
      </sheetData>
      <sheetData sheetId="4044">
        <row r="2">
          <cell r="A2" t="str">
            <v>실     명</v>
          </cell>
        </row>
      </sheetData>
      <sheetData sheetId="4045">
        <row r="2">
          <cell r="A2" t="str">
            <v>실     명</v>
          </cell>
        </row>
      </sheetData>
      <sheetData sheetId="4046">
        <row r="2">
          <cell r="A2" t="str">
            <v>실     명</v>
          </cell>
        </row>
      </sheetData>
      <sheetData sheetId="4047">
        <row r="2">
          <cell r="A2" t="str">
            <v>실     명</v>
          </cell>
        </row>
      </sheetData>
      <sheetData sheetId="4048">
        <row r="2">
          <cell r="A2" t="str">
            <v>실     명</v>
          </cell>
        </row>
      </sheetData>
      <sheetData sheetId="4049">
        <row r="2">
          <cell r="A2" t="str">
            <v>실     명</v>
          </cell>
        </row>
      </sheetData>
      <sheetData sheetId="4050">
        <row r="2">
          <cell r="A2" t="str">
            <v>실     명</v>
          </cell>
        </row>
      </sheetData>
      <sheetData sheetId="4051">
        <row r="2">
          <cell r="A2" t="str">
            <v>실     명</v>
          </cell>
        </row>
      </sheetData>
      <sheetData sheetId="4052">
        <row r="2">
          <cell r="A2" t="str">
            <v>실     명</v>
          </cell>
        </row>
      </sheetData>
      <sheetData sheetId="4053">
        <row r="2">
          <cell r="A2" t="str">
            <v>실     명</v>
          </cell>
        </row>
      </sheetData>
      <sheetData sheetId="4054">
        <row r="2">
          <cell r="A2" t="str">
            <v>실     명</v>
          </cell>
        </row>
      </sheetData>
      <sheetData sheetId="4055">
        <row r="2">
          <cell r="A2" t="str">
            <v>실     명</v>
          </cell>
        </row>
      </sheetData>
      <sheetData sheetId="4056">
        <row r="2">
          <cell r="A2" t="str">
            <v>실     명</v>
          </cell>
        </row>
      </sheetData>
      <sheetData sheetId="4057">
        <row r="2">
          <cell r="A2" t="str">
            <v>실     명</v>
          </cell>
        </row>
      </sheetData>
      <sheetData sheetId="4058">
        <row r="2">
          <cell r="A2" t="str">
            <v>실     명</v>
          </cell>
        </row>
      </sheetData>
      <sheetData sheetId="4059" refreshError="1"/>
      <sheetData sheetId="4060">
        <row r="2">
          <cell r="A2" t="str">
            <v>실     명</v>
          </cell>
        </row>
      </sheetData>
      <sheetData sheetId="4061">
        <row r="2">
          <cell r="A2" t="str">
            <v>실     명</v>
          </cell>
        </row>
      </sheetData>
      <sheetData sheetId="4062">
        <row r="2">
          <cell r="A2" t="str">
            <v>실     명</v>
          </cell>
        </row>
      </sheetData>
      <sheetData sheetId="4063">
        <row r="2">
          <cell r="A2" t="str">
            <v>실     명</v>
          </cell>
        </row>
      </sheetData>
      <sheetData sheetId="4064">
        <row r="2">
          <cell r="A2" t="str">
            <v>실     명</v>
          </cell>
        </row>
      </sheetData>
      <sheetData sheetId="4065">
        <row r="2">
          <cell r="A2" t="str">
            <v>실     명</v>
          </cell>
        </row>
      </sheetData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>
        <row r="2">
          <cell r="A2" t="str">
            <v>실     명</v>
          </cell>
        </row>
      </sheetData>
      <sheetData sheetId="4090" refreshError="1"/>
      <sheetData sheetId="4091" refreshError="1"/>
      <sheetData sheetId="4092">
        <row r="2">
          <cell r="A2" t="str">
            <v>실     명</v>
          </cell>
        </row>
      </sheetData>
      <sheetData sheetId="4093">
        <row r="2">
          <cell r="A2" t="str">
            <v>실     명</v>
          </cell>
        </row>
      </sheetData>
      <sheetData sheetId="4094">
        <row r="2">
          <cell r="A2" t="str">
            <v>실     명</v>
          </cell>
        </row>
      </sheetData>
      <sheetData sheetId="4095">
        <row r="2">
          <cell r="A2" t="str">
            <v>실     명</v>
          </cell>
        </row>
      </sheetData>
      <sheetData sheetId="4096">
        <row r="2">
          <cell r="A2" t="str">
            <v>실     명</v>
          </cell>
        </row>
      </sheetData>
      <sheetData sheetId="4097">
        <row r="2">
          <cell r="A2" t="str">
            <v>실     명</v>
          </cell>
        </row>
      </sheetData>
      <sheetData sheetId="4098">
        <row r="2">
          <cell r="A2" t="str">
            <v>실     명</v>
          </cell>
        </row>
      </sheetData>
      <sheetData sheetId="4099">
        <row r="2">
          <cell r="A2" t="str">
            <v>실     명</v>
          </cell>
        </row>
      </sheetData>
      <sheetData sheetId="4100">
        <row r="2">
          <cell r="A2" t="str">
            <v>실     명</v>
          </cell>
        </row>
      </sheetData>
      <sheetData sheetId="4101">
        <row r="2">
          <cell r="A2" t="str">
            <v>실     명</v>
          </cell>
        </row>
      </sheetData>
      <sheetData sheetId="4102">
        <row r="2">
          <cell r="A2" t="str">
            <v>실     명</v>
          </cell>
        </row>
      </sheetData>
      <sheetData sheetId="4103">
        <row r="2">
          <cell r="A2" t="str">
            <v>실     명</v>
          </cell>
        </row>
      </sheetData>
      <sheetData sheetId="4104">
        <row r="2">
          <cell r="A2" t="str">
            <v>실     명</v>
          </cell>
        </row>
      </sheetData>
      <sheetData sheetId="4105">
        <row r="2">
          <cell r="A2" t="str">
            <v>실     명</v>
          </cell>
        </row>
      </sheetData>
      <sheetData sheetId="4106">
        <row r="2">
          <cell r="A2" t="str">
            <v>실     명</v>
          </cell>
        </row>
      </sheetData>
      <sheetData sheetId="4107">
        <row r="2">
          <cell r="A2" t="str">
            <v>실     명</v>
          </cell>
        </row>
      </sheetData>
      <sheetData sheetId="4108">
        <row r="2">
          <cell r="A2" t="str">
            <v>실     명</v>
          </cell>
        </row>
      </sheetData>
      <sheetData sheetId="4109">
        <row r="2">
          <cell r="A2" t="str">
            <v>실     명</v>
          </cell>
        </row>
      </sheetData>
      <sheetData sheetId="4110">
        <row r="2">
          <cell r="A2" t="str">
            <v>실     명</v>
          </cell>
        </row>
      </sheetData>
      <sheetData sheetId="4111">
        <row r="2">
          <cell r="A2" t="str">
            <v>실     명</v>
          </cell>
        </row>
      </sheetData>
      <sheetData sheetId="4112">
        <row r="2">
          <cell r="A2" t="str">
            <v>실     명</v>
          </cell>
        </row>
      </sheetData>
      <sheetData sheetId="4113">
        <row r="2">
          <cell r="A2" t="str">
            <v>실     명</v>
          </cell>
        </row>
      </sheetData>
      <sheetData sheetId="4114">
        <row r="2">
          <cell r="A2" t="str">
            <v>실     명</v>
          </cell>
        </row>
      </sheetData>
      <sheetData sheetId="4115">
        <row r="2">
          <cell r="A2" t="str">
            <v>실     명</v>
          </cell>
        </row>
      </sheetData>
      <sheetData sheetId="4116">
        <row r="2">
          <cell r="A2" t="str">
            <v>실     명</v>
          </cell>
        </row>
      </sheetData>
      <sheetData sheetId="4117">
        <row r="2">
          <cell r="A2" t="str">
            <v>실     명</v>
          </cell>
        </row>
      </sheetData>
      <sheetData sheetId="4118">
        <row r="2">
          <cell r="A2" t="str">
            <v>실     명</v>
          </cell>
        </row>
      </sheetData>
      <sheetData sheetId="4119">
        <row r="2">
          <cell r="A2" t="str">
            <v>실     명</v>
          </cell>
        </row>
      </sheetData>
      <sheetData sheetId="4120">
        <row r="2">
          <cell r="A2" t="str">
            <v>실     명</v>
          </cell>
        </row>
      </sheetData>
      <sheetData sheetId="4121">
        <row r="2">
          <cell r="A2" t="str">
            <v>실     명</v>
          </cell>
        </row>
      </sheetData>
      <sheetData sheetId="4122">
        <row r="2">
          <cell r="A2" t="str">
            <v>실     명</v>
          </cell>
        </row>
      </sheetData>
      <sheetData sheetId="4123">
        <row r="2">
          <cell r="A2" t="str">
            <v>실     명</v>
          </cell>
        </row>
      </sheetData>
      <sheetData sheetId="4124">
        <row r="2">
          <cell r="A2" t="str">
            <v>실     명</v>
          </cell>
        </row>
      </sheetData>
      <sheetData sheetId="4125">
        <row r="2">
          <cell r="A2" t="str">
            <v>실     명</v>
          </cell>
        </row>
      </sheetData>
      <sheetData sheetId="4126">
        <row r="2">
          <cell r="A2" t="str">
            <v>실     명</v>
          </cell>
        </row>
      </sheetData>
      <sheetData sheetId="4127">
        <row r="2">
          <cell r="A2" t="str">
            <v>실     명</v>
          </cell>
        </row>
      </sheetData>
      <sheetData sheetId="4128">
        <row r="2">
          <cell r="A2" t="str">
            <v>실     명</v>
          </cell>
        </row>
      </sheetData>
      <sheetData sheetId="4129">
        <row r="2">
          <cell r="A2" t="str">
            <v>실     명</v>
          </cell>
        </row>
      </sheetData>
      <sheetData sheetId="4130">
        <row r="2">
          <cell r="A2" t="str">
            <v>실     명</v>
          </cell>
        </row>
      </sheetData>
      <sheetData sheetId="4131">
        <row r="2">
          <cell r="A2" t="str">
            <v>실     명</v>
          </cell>
        </row>
      </sheetData>
      <sheetData sheetId="4132">
        <row r="2">
          <cell r="A2" t="str">
            <v>실     명</v>
          </cell>
        </row>
      </sheetData>
      <sheetData sheetId="4133">
        <row r="2">
          <cell r="A2" t="str">
            <v>실     명</v>
          </cell>
        </row>
      </sheetData>
      <sheetData sheetId="4134">
        <row r="2">
          <cell r="A2" t="str">
            <v>실     명</v>
          </cell>
        </row>
      </sheetData>
      <sheetData sheetId="4135">
        <row r="2">
          <cell r="A2" t="str">
            <v>실     명</v>
          </cell>
        </row>
      </sheetData>
      <sheetData sheetId="4136">
        <row r="2">
          <cell r="A2" t="str">
            <v>실     명</v>
          </cell>
        </row>
      </sheetData>
      <sheetData sheetId="4137">
        <row r="2">
          <cell r="A2" t="str">
            <v>실     명</v>
          </cell>
        </row>
      </sheetData>
      <sheetData sheetId="4138">
        <row r="2">
          <cell r="A2" t="str">
            <v>실     명</v>
          </cell>
        </row>
      </sheetData>
      <sheetData sheetId="4139">
        <row r="2">
          <cell r="A2" t="str">
            <v>실     명</v>
          </cell>
        </row>
      </sheetData>
      <sheetData sheetId="4140">
        <row r="2">
          <cell r="A2" t="str">
            <v>실     명</v>
          </cell>
        </row>
      </sheetData>
      <sheetData sheetId="4141">
        <row r="2">
          <cell r="A2" t="str">
            <v>실     명</v>
          </cell>
        </row>
      </sheetData>
      <sheetData sheetId="4142">
        <row r="2">
          <cell r="A2" t="str">
            <v>실     명</v>
          </cell>
        </row>
      </sheetData>
      <sheetData sheetId="4143">
        <row r="2">
          <cell r="A2" t="str">
            <v>실     명</v>
          </cell>
        </row>
      </sheetData>
      <sheetData sheetId="4144">
        <row r="2">
          <cell r="A2" t="str">
            <v>실     명</v>
          </cell>
        </row>
      </sheetData>
      <sheetData sheetId="4145">
        <row r="2">
          <cell r="A2" t="str">
            <v>실     명</v>
          </cell>
        </row>
      </sheetData>
      <sheetData sheetId="4146">
        <row r="2">
          <cell r="A2" t="str">
            <v>실     명</v>
          </cell>
        </row>
      </sheetData>
      <sheetData sheetId="4147">
        <row r="2">
          <cell r="A2" t="str">
            <v>실     명</v>
          </cell>
        </row>
      </sheetData>
      <sheetData sheetId="4148">
        <row r="2">
          <cell r="A2" t="str">
            <v>실     명</v>
          </cell>
        </row>
      </sheetData>
      <sheetData sheetId="4149">
        <row r="2">
          <cell r="A2" t="str">
            <v>실     명</v>
          </cell>
        </row>
      </sheetData>
      <sheetData sheetId="4150">
        <row r="2">
          <cell r="A2" t="str">
            <v>실     명</v>
          </cell>
        </row>
      </sheetData>
      <sheetData sheetId="4151">
        <row r="2">
          <cell r="A2" t="str">
            <v>실     명</v>
          </cell>
        </row>
      </sheetData>
      <sheetData sheetId="4152">
        <row r="2">
          <cell r="A2" t="str">
            <v>실     명</v>
          </cell>
        </row>
      </sheetData>
      <sheetData sheetId="4153">
        <row r="2">
          <cell r="A2" t="str">
            <v>실     명</v>
          </cell>
        </row>
      </sheetData>
      <sheetData sheetId="4154">
        <row r="2">
          <cell r="A2" t="str">
            <v>실     명</v>
          </cell>
        </row>
      </sheetData>
      <sheetData sheetId="4155">
        <row r="2">
          <cell r="A2" t="str">
            <v>실     명</v>
          </cell>
        </row>
      </sheetData>
      <sheetData sheetId="4156">
        <row r="2">
          <cell r="A2" t="str">
            <v>실     명</v>
          </cell>
        </row>
      </sheetData>
      <sheetData sheetId="4157">
        <row r="2">
          <cell r="A2" t="str">
            <v>실     명</v>
          </cell>
        </row>
      </sheetData>
      <sheetData sheetId="4158">
        <row r="2">
          <cell r="A2" t="str">
            <v>실     명</v>
          </cell>
        </row>
      </sheetData>
      <sheetData sheetId="4159">
        <row r="2">
          <cell r="A2" t="str">
            <v>실     명</v>
          </cell>
        </row>
      </sheetData>
      <sheetData sheetId="4160">
        <row r="2">
          <cell r="A2" t="str">
            <v>실     명</v>
          </cell>
        </row>
      </sheetData>
      <sheetData sheetId="4161">
        <row r="2">
          <cell r="A2" t="str">
            <v>실     명</v>
          </cell>
        </row>
      </sheetData>
      <sheetData sheetId="4162">
        <row r="2">
          <cell r="A2" t="str">
            <v>실     명</v>
          </cell>
        </row>
      </sheetData>
      <sheetData sheetId="4163">
        <row r="2">
          <cell r="A2" t="str">
            <v>실     명</v>
          </cell>
        </row>
      </sheetData>
      <sheetData sheetId="4164">
        <row r="2">
          <cell r="A2" t="str">
            <v>실     명</v>
          </cell>
        </row>
      </sheetData>
      <sheetData sheetId="4165">
        <row r="2">
          <cell r="A2" t="str">
            <v>실     명</v>
          </cell>
        </row>
      </sheetData>
      <sheetData sheetId="4166">
        <row r="2">
          <cell r="A2" t="str">
            <v>실     명</v>
          </cell>
        </row>
      </sheetData>
      <sheetData sheetId="4167">
        <row r="2">
          <cell r="A2" t="str">
            <v>실     명</v>
          </cell>
        </row>
      </sheetData>
      <sheetData sheetId="4168">
        <row r="2">
          <cell r="A2" t="str">
            <v>실     명</v>
          </cell>
        </row>
      </sheetData>
      <sheetData sheetId="4169">
        <row r="2">
          <cell r="A2" t="str">
            <v>실     명</v>
          </cell>
        </row>
      </sheetData>
      <sheetData sheetId="4170">
        <row r="2">
          <cell r="A2" t="str">
            <v>실     명</v>
          </cell>
        </row>
      </sheetData>
      <sheetData sheetId="4171">
        <row r="2">
          <cell r="A2" t="str">
            <v>실     명</v>
          </cell>
        </row>
      </sheetData>
      <sheetData sheetId="4172">
        <row r="2">
          <cell r="A2" t="str">
            <v>실     명</v>
          </cell>
        </row>
      </sheetData>
      <sheetData sheetId="4173">
        <row r="2">
          <cell r="A2" t="str">
            <v>실     명</v>
          </cell>
        </row>
      </sheetData>
      <sheetData sheetId="4174">
        <row r="2">
          <cell r="A2" t="str">
            <v>실     명</v>
          </cell>
        </row>
      </sheetData>
      <sheetData sheetId="4175">
        <row r="2">
          <cell r="A2" t="str">
            <v>실     명</v>
          </cell>
        </row>
      </sheetData>
      <sheetData sheetId="4176">
        <row r="2">
          <cell r="A2" t="str">
            <v>실     명</v>
          </cell>
        </row>
      </sheetData>
      <sheetData sheetId="4177">
        <row r="2">
          <cell r="A2" t="str">
            <v>실     명</v>
          </cell>
        </row>
      </sheetData>
      <sheetData sheetId="4178">
        <row r="2">
          <cell r="A2" t="str">
            <v>실     명</v>
          </cell>
        </row>
      </sheetData>
      <sheetData sheetId="4179">
        <row r="2">
          <cell r="A2" t="str">
            <v>실     명</v>
          </cell>
        </row>
      </sheetData>
      <sheetData sheetId="4180">
        <row r="2">
          <cell r="A2" t="str">
            <v>실     명</v>
          </cell>
        </row>
      </sheetData>
      <sheetData sheetId="4181">
        <row r="2">
          <cell r="A2" t="str">
            <v>실     명</v>
          </cell>
        </row>
      </sheetData>
      <sheetData sheetId="4182">
        <row r="2">
          <cell r="A2" t="str">
            <v>실     명</v>
          </cell>
        </row>
      </sheetData>
      <sheetData sheetId="4183">
        <row r="2">
          <cell r="A2" t="str">
            <v>실     명</v>
          </cell>
        </row>
      </sheetData>
      <sheetData sheetId="4184">
        <row r="2">
          <cell r="A2" t="str">
            <v>실     명</v>
          </cell>
        </row>
      </sheetData>
      <sheetData sheetId="4185">
        <row r="2">
          <cell r="A2" t="str">
            <v>실     명</v>
          </cell>
        </row>
      </sheetData>
      <sheetData sheetId="4186">
        <row r="2">
          <cell r="A2" t="str">
            <v>실     명</v>
          </cell>
        </row>
      </sheetData>
      <sheetData sheetId="4187">
        <row r="2">
          <cell r="A2" t="str">
            <v>실     명</v>
          </cell>
        </row>
      </sheetData>
      <sheetData sheetId="4188">
        <row r="2">
          <cell r="A2" t="str">
            <v>실     명</v>
          </cell>
        </row>
      </sheetData>
      <sheetData sheetId="4189">
        <row r="2">
          <cell r="A2" t="str">
            <v>실     명</v>
          </cell>
        </row>
      </sheetData>
      <sheetData sheetId="4190">
        <row r="2">
          <cell r="A2" t="str">
            <v>실     명</v>
          </cell>
        </row>
      </sheetData>
      <sheetData sheetId="4191">
        <row r="2">
          <cell r="A2" t="str">
            <v>실     명</v>
          </cell>
        </row>
      </sheetData>
      <sheetData sheetId="4192">
        <row r="2">
          <cell r="A2" t="str">
            <v>실     명</v>
          </cell>
        </row>
      </sheetData>
      <sheetData sheetId="4193">
        <row r="2">
          <cell r="A2" t="str">
            <v>실     명</v>
          </cell>
        </row>
      </sheetData>
      <sheetData sheetId="4194">
        <row r="2">
          <cell r="A2" t="str">
            <v>실     명</v>
          </cell>
        </row>
      </sheetData>
      <sheetData sheetId="4195">
        <row r="2">
          <cell r="A2" t="str">
            <v>실     명</v>
          </cell>
        </row>
      </sheetData>
      <sheetData sheetId="4196">
        <row r="2">
          <cell r="A2" t="str">
            <v>실     명</v>
          </cell>
        </row>
      </sheetData>
      <sheetData sheetId="4197">
        <row r="2">
          <cell r="A2" t="str">
            <v>실     명</v>
          </cell>
        </row>
      </sheetData>
      <sheetData sheetId="4198">
        <row r="2">
          <cell r="A2" t="str">
            <v>실     명</v>
          </cell>
        </row>
      </sheetData>
      <sheetData sheetId="4199">
        <row r="2">
          <cell r="A2" t="str">
            <v>실     명</v>
          </cell>
        </row>
      </sheetData>
      <sheetData sheetId="4200">
        <row r="2">
          <cell r="A2" t="str">
            <v>실     명</v>
          </cell>
        </row>
      </sheetData>
      <sheetData sheetId="4201">
        <row r="2">
          <cell r="A2" t="str">
            <v>실     명</v>
          </cell>
        </row>
      </sheetData>
      <sheetData sheetId="4202">
        <row r="2">
          <cell r="A2" t="str">
            <v>실     명</v>
          </cell>
        </row>
      </sheetData>
      <sheetData sheetId="4203">
        <row r="2">
          <cell r="A2" t="str">
            <v>실     명</v>
          </cell>
        </row>
      </sheetData>
      <sheetData sheetId="4204">
        <row r="2">
          <cell r="A2" t="str">
            <v>실     명</v>
          </cell>
        </row>
      </sheetData>
      <sheetData sheetId="4205">
        <row r="2">
          <cell r="A2" t="str">
            <v>실     명</v>
          </cell>
        </row>
      </sheetData>
      <sheetData sheetId="4206">
        <row r="2">
          <cell r="A2" t="str">
            <v>실     명</v>
          </cell>
        </row>
      </sheetData>
      <sheetData sheetId="4207">
        <row r="2">
          <cell r="A2" t="str">
            <v>실     명</v>
          </cell>
        </row>
      </sheetData>
      <sheetData sheetId="4208">
        <row r="2">
          <cell r="A2" t="str">
            <v>실     명</v>
          </cell>
        </row>
      </sheetData>
      <sheetData sheetId="4209">
        <row r="2">
          <cell r="A2" t="str">
            <v>실     명</v>
          </cell>
        </row>
      </sheetData>
      <sheetData sheetId="4210">
        <row r="2">
          <cell r="A2" t="str">
            <v>실     명</v>
          </cell>
        </row>
      </sheetData>
      <sheetData sheetId="4211">
        <row r="2">
          <cell r="A2" t="str">
            <v>실     명</v>
          </cell>
        </row>
      </sheetData>
      <sheetData sheetId="4212">
        <row r="2">
          <cell r="A2" t="str">
            <v>실     명</v>
          </cell>
        </row>
      </sheetData>
      <sheetData sheetId="4213">
        <row r="2">
          <cell r="A2" t="str">
            <v>실     명</v>
          </cell>
        </row>
      </sheetData>
      <sheetData sheetId="4214">
        <row r="2">
          <cell r="A2" t="str">
            <v>실     명</v>
          </cell>
        </row>
      </sheetData>
      <sheetData sheetId="4215">
        <row r="2">
          <cell r="A2" t="str">
            <v>실     명</v>
          </cell>
        </row>
      </sheetData>
      <sheetData sheetId="4216">
        <row r="2">
          <cell r="A2" t="str">
            <v>실     명</v>
          </cell>
        </row>
      </sheetData>
      <sheetData sheetId="4217">
        <row r="2">
          <cell r="A2" t="str">
            <v>실     명</v>
          </cell>
        </row>
      </sheetData>
      <sheetData sheetId="4218">
        <row r="2">
          <cell r="A2" t="str">
            <v>실     명</v>
          </cell>
        </row>
      </sheetData>
      <sheetData sheetId="4219">
        <row r="2">
          <cell r="A2" t="str">
            <v>실     명</v>
          </cell>
        </row>
      </sheetData>
      <sheetData sheetId="4220">
        <row r="2">
          <cell r="A2" t="str">
            <v>실     명</v>
          </cell>
        </row>
      </sheetData>
      <sheetData sheetId="4221">
        <row r="2">
          <cell r="A2" t="str">
            <v>실     명</v>
          </cell>
        </row>
      </sheetData>
      <sheetData sheetId="4222">
        <row r="2">
          <cell r="A2" t="str">
            <v>실     명</v>
          </cell>
        </row>
      </sheetData>
      <sheetData sheetId="4223">
        <row r="2">
          <cell r="A2" t="str">
            <v>실     명</v>
          </cell>
        </row>
      </sheetData>
      <sheetData sheetId="4224">
        <row r="2">
          <cell r="A2" t="str">
            <v>실     명</v>
          </cell>
        </row>
      </sheetData>
      <sheetData sheetId="4225">
        <row r="2">
          <cell r="A2" t="str">
            <v>실     명</v>
          </cell>
        </row>
      </sheetData>
      <sheetData sheetId="4226">
        <row r="2">
          <cell r="A2" t="str">
            <v>실     명</v>
          </cell>
        </row>
      </sheetData>
      <sheetData sheetId="4227">
        <row r="2">
          <cell r="A2" t="str">
            <v>실     명</v>
          </cell>
        </row>
      </sheetData>
      <sheetData sheetId="4228">
        <row r="2">
          <cell r="A2" t="str">
            <v>실     명</v>
          </cell>
        </row>
      </sheetData>
      <sheetData sheetId="4229">
        <row r="2">
          <cell r="A2" t="str">
            <v>실     명</v>
          </cell>
        </row>
      </sheetData>
      <sheetData sheetId="4230">
        <row r="2">
          <cell r="A2" t="str">
            <v>실     명</v>
          </cell>
        </row>
      </sheetData>
      <sheetData sheetId="4231">
        <row r="2">
          <cell r="A2" t="str">
            <v>실     명</v>
          </cell>
        </row>
      </sheetData>
      <sheetData sheetId="4232">
        <row r="2">
          <cell r="A2" t="str">
            <v>실     명</v>
          </cell>
        </row>
      </sheetData>
      <sheetData sheetId="4233">
        <row r="2">
          <cell r="A2" t="str">
            <v>실     명</v>
          </cell>
        </row>
      </sheetData>
      <sheetData sheetId="4234">
        <row r="2">
          <cell r="A2" t="str">
            <v>실     명</v>
          </cell>
        </row>
      </sheetData>
      <sheetData sheetId="4235">
        <row r="2">
          <cell r="A2" t="str">
            <v>실     명</v>
          </cell>
        </row>
      </sheetData>
      <sheetData sheetId="4236">
        <row r="2">
          <cell r="A2" t="str">
            <v>실     명</v>
          </cell>
        </row>
      </sheetData>
      <sheetData sheetId="4237">
        <row r="2">
          <cell r="A2" t="str">
            <v>실     명</v>
          </cell>
        </row>
      </sheetData>
      <sheetData sheetId="4238">
        <row r="2">
          <cell r="A2" t="str">
            <v>실     명</v>
          </cell>
        </row>
      </sheetData>
      <sheetData sheetId="4239">
        <row r="2">
          <cell r="A2" t="str">
            <v>실     명</v>
          </cell>
        </row>
      </sheetData>
      <sheetData sheetId="4240">
        <row r="2">
          <cell r="A2" t="str">
            <v>실     명</v>
          </cell>
        </row>
      </sheetData>
      <sheetData sheetId="4241">
        <row r="2">
          <cell r="A2" t="str">
            <v>실     명</v>
          </cell>
        </row>
      </sheetData>
      <sheetData sheetId="4242">
        <row r="2">
          <cell r="A2" t="str">
            <v>실     명</v>
          </cell>
        </row>
      </sheetData>
      <sheetData sheetId="4243">
        <row r="2">
          <cell r="A2" t="str">
            <v>실     명</v>
          </cell>
        </row>
      </sheetData>
      <sheetData sheetId="4244">
        <row r="2">
          <cell r="A2" t="str">
            <v>실     명</v>
          </cell>
        </row>
      </sheetData>
      <sheetData sheetId="4245">
        <row r="2">
          <cell r="A2" t="str">
            <v>실     명</v>
          </cell>
        </row>
      </sheetData>
      <sheetData sheetId="4246">
        <row r="2">
          <cell r="A2" t="str">
            <v>실     명</v>
          </cell>
        </row>
      </sheetData>
      <sheetData sheetId="4247">
        <row r="2">
          <cell r="A2" t="str">
            <v>실     명</v>
          </cell>
        </row>
      </sheetData>
      <sheetData sheetId="4248">
        <row r="2">
          <cell r="A2" t="str">
            <v>실     명</v>
          </cell>
        </row>
      </sheetData>
      <sheetData sheetId="4249">
        <row r="2">
          <cell r="A2" t="str">
            <v>실     명</v>
          </cell>
        </row>
      </sheetData>
      <sheetData sheetId="4250">
        <row r="2">
          <cell r="A2" t="str">
            <v>실     명</v>
          </cell>
        </row>
      </sheetData>
      <sheetData sheetId="4251">
        <row r="2">
          <cell r="A2" t="str">
            <v>실     명</v>
          </cell>
        </row>
      </sheetData>
      <sheetData sheetId="4252">
        <row r="2">
          <cell r="A2" t="str">
            <v>실     명</v>
          </cell>
        </row>
      </sheetData>
      <sheetData sheetId="4253">
        <row r="2">
          <cell r="A2" t="str">
            <v>실     명</v>
          </cell>
        </row>
      </sheetData>
      <sheetData sheetId="4254">
        <row r="2">
          <cell r="A2" t="str">
            <v>실     명</v>
          </cell>
        </row>
      </sheetData>
      <sheetData sheetId="4255">
        <row r="2">
          <cell r="A2" t="str">
            <v>실     명</v>
          </cell>
        </row>
      </sheetData>
      <sheetData sheetId="4256">
        <row r="2">
          <cell r="A2" t="str">
            <v>실     명</v>
          </cell>
        </row>
      </sheetData>
      <sheetData sheetId="4257">
        <row r="2">
          <cell r="A2" t="str">
            <v>실     명</v>
          </cell>
        </row>
      </sheetData>
      <sheetData sheetId="4258">
        <row r="2">
          <cell r="A2" t="str">
            <v>실     명</v>
          </cell>
        </row>
      </sheetData>
      <sheetData sheetId="4259">
        <row r="2">
          <cell r="A2" t="str">
            <v>실     명</v>
          </cell>
        </row>
      </sheetData>
      <sheetData sheetId="4260">
        <row r="2">
          <cell r="A2" t="str">
            <v>실     명</v>
          </cell>
        </row>
      </sheetData>
      <sheetData sheetId="4261">
        <row r="2">
          <cell r="A2" t="str">
            <v>실     명</v>
          </cell>
        </row>
      </sheetData>
      <sheetData sheetId="4262">
        <row r="2">
          <cell r="A2" t="str">
            <v>실     명</v>
          </cell>
        </row>
      </sheetData>
      <sheetData sheetId="4263">
        <row r="2">
          <cell r="A2" t="str">
            <v>실     명</v>
          </cell>
        </row>
      </sheetData>
      <sheetData sheetId="4264">
        <row r="2">
          <cell r="A2" t="str">
            <v>실     명</v>
          </cell>
        </row>
      </sheetData>
      <sheetData sheetId="4265">
        <row r="2">
          <cell r="A2" t="str">
            <v>실     명</v>
          </cell>
        </row>
      </sheetData>
      <sheetData sheetId="4266">
        <row r="2">
          <cell r="A2" t="str">
            <v>실     명</v>
          </cell>
        </row>
      </sheetData>
      <sheetData sheetId="4267">
        <row r="2">
          <cell r="A2" t="str">
            <v>실     명</v>
          </cell>
        </row>
      </sheetData>
      <sheetData sheetId="4268">
        <row r="2">
          <cell r="A2" t="str">
            <v>실     명</v>
          </cell>
        </row>
      </sheetData>
      <sheetData sheetId="4269">
        <row r="2">
          <cell r="A2" t="str">
            <v>실     명</v>
          </cell>
        </row>
      </sheetData>
      <sheetData sheetId="4270">
        <row r="2">
          <cell r="A2" t="str">
            <v>실     명</v>
          </cell>
        </row>
      </sheetData>
      <sheetData sheetId="4271">
        <row r="2">
          <cell r="A2" t="str">
            <v>실     명</v>
          </cell>
        </row>
      </sheetData>
      <sheetData sheetId="4272">
        <row r="2">
          <cell r="A2" t="str">
            <v>실     명</v>
          </cell>
        </row>
      </sheetData>
      <sheetData sheetId="4273">
        <row r="2">
          <cell r="A2" t="str">
            <v>실     명</v>
          </cell>
        </row>
      </sheetData>
      <sheetData sheetId="4274">
        <row r="2">
          <cell r="A2" t="str">
            <v>실     명</v>
          </cell>
        </row>
      </sheetData>
      <sheetData sheetId="4275">
        <row r="2">
          <cell r="A2" t="str">
            <v>실     명</v>
          </cell>
        </row>
      </sheetData>
      <sheetData sheetId="4276">
        <row r="2">
          <cell r="A2" t="str">
            <v>실     명</v>
          </cell>
        </row>
      </sheetData>
      <sheetData sheetId="4277">
        <row r="2">
          <cell r="A2" t="str">
            <v>실     명</v>
          </cell>
        </row>
      </sheetData>
      <sheetData sheetId="4278">
        <row r="2">
          <cell r="A2" t="str">
            <v>실     명</v>
          </cell>
        </row>
      </sheetData>
      <sheetData sheetId="4279">
        <row r="2">
          <cell r="A2" t="str">
            <v>실     명</v>
          </cell>
        </row>
      </sheetData>
      <sheetData sheetId="4280">
        <row r="2">
          <cell r="A2" t="str">
            <v>실     명</v>
          </cell>
        </row>
      </sheetData>
      <sheetData sheetId="4281">
        <row r="2">
          <cell r="A2" t="str">
            <v>실     명</v>
          </cell>
        </row>
      </sheetData>
      <sheetData sheetId="4282">
        <row r="2">
          <cell r="A2" t="str">
            <v>실     명</v>
          </cell>
        </row>
      </sheetData>
      <sheetData sheetId="4283">
        <row r="2">
          <cell r="A2" t="str">
            <v>실     명</v>
          </cell>
        </row>
      </sheetData>
      <sheetData sheetId="4284">
        <row r="2">
          <cell r="A2" t="str">
            <v>실     명</v>
          </cell>
        </row>
      </sheetData>
      <sheetData sheetId="4285">
        <row r="2">
          <cell r="A2" t="str">
            <v>실     명</v>
          </cell>
        </row>
      </sheetData>
      <sheetData sheetId="4286">
        <row r="2">
          <cell r="A2" t="str">
            <v>실     명</v>
          </cell>
        </row>
      </sheetData>
      <sheetData sheetId="4287">
        <row r="2">
          <cell r="A2" t="str">
            <v>실     명</v>
          </cell>
        </row>
      </sheetData>
      <sheetData sheetId="4288">
        <row r="2">
          <cell r="A2" t="str">
            <v>실     명</v>
          </cell>
        </row>
      </sheetData>
      <sheetData sheetId="4289">
        <row r="2">
          <cell r="A2" t="str">
            <v>실     명</v>
          </cell>
        </row>
      </sheetData>
      <sheetData sheetId="4290">
        <row r="2">
          <cell r="A2" t="str">
            <v>실     명</v>
          </cell>
        </row>
      </sheetData>
      <sheetData sheetId="4291">
        <row r="2">
          <cell r="A2" t="str">
            <v>실     명</v>
          </cell>
        </row>
      </sheetData>
      <sheetData sheetId="4292">
        <row r="2">
          <cell r="A2" t="str">
            <v>실     명</v>
          </cell>
        </row>
      </sheetData>
      <sheetData sheetId="4293">
        <row r="2">
          <cell r="A2" t="str">
            <v>실     명</v>
          </cell>
        </row>
      </sheetData>
      <sheetData sheetId="4294">
        <row r="2">
          <cell r="A2" t="str">
            <v>실     명</v>
          </cell>
        </row>
      </sheetData>
      <sheetData sheetId="4295">
        <row r="2">
          <cell r="A2" t="str">
            <v>실     명</v>
          </cell>
        </row>
      </sheetData>
      <sheetData sheetId="4296">
        <row r="2">
          <cell r="A2" t="str">
            <v>실     명</v>
          </cell>
        </row>
      </sheetData>
      <sheetData sheetId="4297">
        <row r="2">
          <cell r="A2" t="str">
            <v>실     명</v>
          </cell>
        </row>
      </sheetData>
      <sheetData sheetId="4298">
        <row r="2">
          <cell r="A2" t="str">
            <v>실     명</v>
          </cell>
        </row>
      </sheetData>
      <sheetData sheetId="4299">
        <row r="2">
          <cell r="A2" t="str">
            <v>실     명</v>
          </cell>
        </row>
      </sheetData>
      <sheetData sheetId="4300">
        <row r="2">
          <cell r="A2" t="str">
            <v>실     명</v>
          </cell>
        </row>
      </sheetData>
      <sheetData sheetId="4301">
        <row r="2">
          <cell r="A2" t="str">
            <v>실     명</v>
          </cell>
        </row>
      </sheetData>
      <sheetData sheetId="4302">
        <row r="2">
          <cell r="A2" t="str">
            <v>실     명</v>
          </cell>
        </row>
      </sheetData>
      <sheetData sheetId="4303">
        <row r="2">
          <cell r="A2" t="str">
            <v>실     명</v>
          </cell>
        </row>
      </sheetData>
      <sheetData sheetId="4304">
        <row r="2">
          <cell r="A2" t="str">
            <v>실     명</v>
          </cell>
        </row>
      </sheetData>
      <sheetData sheetId="4305">
        <row r="2">
          <cell r="A2" t="str">
            <v>실     명</v>
          </cell>
        </row>
      </sheetData>
      <sheetData sheetId="4306">
        <row r="2">
          <cell r="A2" t="str">
            <v>실     명</v>
          </cell>
        </row>
      </sheetData>
      <sheetData sheetId="4307">
        <row r="2">
          <cell r="A2" t="str">
            <v>실     명</v>
          </cell>
        </row>
      </sheetData>
      <sheetData sheetId="4308">
        <row r="2">
          <cell r="A2" t="str">
            <v>실     명</v>
          </cell>
        </row>
      </sheetData>
      <sheetData sheetId="4309">
        <row r="2">
          <cell r="A2" t="str">
            <v>실     명</v>
          </cell>
        </row>
      </sheetData>
      <sheetData sheetId="4310">
        <row r="2">
          <cell r="A2" t="str">
            <v>실     명</v>
          </cell>
        </row>
      </sheetData>
      <sheetData sheetId="4311">
        <row r="2">
          <cell r="A2" t="str">
            <v>실     명</v>
          </cell>
        </row>
      </sheetData>
      <sheetData sheetId="4312">
        <row r="2">
          <cell r="A2" t="str">
            <v>실     명</v>
          </cell>
        </row>
      </sheetData>
      <sheetData sheetId="4313">
        <row r="2">
          <cell r="A2" t="str">
            <v>실     명</v>
          </cell>
        </row>
      </sheetData>
      <sheetData sheetId="4314">
        <row r="2">
          <cell r="A2" t="str">
            <v>실     명</v>
          </cell>
        </row>
      </sheetData>
      <sheetData sheetId="4315">
        <row r="2">
          <cell r="A2" t="str">
            <v>실     명</v>
          </cell>
        </row>
      </sheetData>
      <sheetData sheetId="4316">
        <row r="2">
          <cell r="A2" t="str">
            <v>실     명</v>
          </cell>
        </row>
      </sheetData>
      <sheetData sheetId="4317">
        <row r="2">
          <cell r="A2" t="str">
            <v>실     명</v>
          </cell>
        </row>
      </sheetData>
      <sheetData sheetId="4318">
        <row r="2">
          <cell r="A2" t="str">
            <v>실     명</v>
          </cell>
        </row>
      </sheetData>
      <sheetData sheetId="4319">
        <row r="2">
          <cell r="A2" t="str">
            <v>실     명</v>
          </cell>
        </row>
      </sheetData>
      <sheetData sheetId="4320">
        <row r="2">
          <cell r="A2" t="str">
            <v>실     명</v>
          </cell>
        </row>
      </sheetData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>
        <row r="2">
          <cell r="A2" t="str">
            <v>실     명</v>
          </cell>
        </row>
      </sheetData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>
        <row r="2">
          <cell r="A2" t="str">
            <v>실     명</v>
          </cell>
        </row>
      </sheetData>
      <sheetData sheetId="4334">
        <row r="2">
          <cell r="A2" t="str">
            <v>실     명</v>
          </cell>
        </row>
      </sheetData>
      <sheetData sheetId="4335">
        <row r="2">
          <cell r="A2" t="str">
            <v>실     명</v>
          </cell>
        </row>
      </sheetData>
      <sheetData sheetId="4336">
        <row r="2">
          <cell r="A2" t="str">
            <v>실     명</v>
          </cell>
        </row>
      </sheetData>
      <sheetData sheetId="4337">
        <row r="2">
          <cell r="A2" t="str">
            <v>실     명</v>
          </cell>
        </row>
      </sheetData>
      <sheetData sheetId="4338">
        <row r="2">
          <cell r="A2" t="str">
            <v>실     명</v>
          </cell>
        </row>
      </sheetData>
      <sheetData sheetId="4339">
        <row r="2">
          <cell r="A2" t="str">
            <v>실     명</v>
          </cell>
        </row>
      </sheetData>
      <sheetData sheetId="4340">
        <row r="2">
          <cell r="A2" t="str">
            <v>실     명</v>
          </cell>
        </row>
      </sheetData>
      <sheetData sheetId="4341">
        <row r="2">
          <cell r="A2" t="str">
            <v>실     명</v>
          </cell>
        </row>
      </sheetData>
      <sheetData sheetId="4342">
        <row r="2">
          <cell r="A2" t="str">
            <v>실     명</v>
          </cell>
        </row>
      </sheetData>
      <sheetData sheetId="4343">
        <row r="2">
          <cell r="A2" t="str">
            <v>실     명</v>
          </cell>
        </row>
      </sheetData>
      <sheetData sheetId="4344">
        <row r="2">
          <cell r="A2" t="str">
            <v>실     명</v>
          </cell>
        </row>
      </sheetData>
      <sheetData sheetId="4345">
        <row r="2">
          <cell r="A2" t="str">
            <v>실     명</v>
          </cell>
        </row>
      </sheetData>
      <sheetData sheetId="4346">
        <row r="2">
          <cell r="A2" t="str">
            <v>실     명</v>
          </cell>
        </row>
      </sheetData>
      <sheetData sheetId="4347">
        <row r="2">
          <cell r="A2" t="str">
            <v>실     명</v>
          </cell>
        </row>
      </sheetData>
      <sheetData sheetId="4348">
        <row r="2">
          <cell r="A2" t="str">
            <v>실     명</v>
          </cell>
        </row>
      </sheetData>
      <sheetData sheetId="4349">
        <row r="2">
          <cell r="A2" t="str">
            <v>실     명</v>
          </cell>
        </row>
      </sheetData>
      <sheetData sheetId="4350">
        <row r="2">
          <cell r="A2" t="str">
            <v>실     명</v>
          </cell>
        </row>
      </sheetData>
      <sheetData sheetId="4351">
        <row r="2">
          <cell r="A2" t="str">
            <v>실     명</v>
          </cell>
        </row>
      </sheetData>
      <sheetData sheetId="4352">
        <row r="2">
          <cell r="A2" t="str">
            <v>실     명</v>
          </cell>
        </row>
      </sheetData>
      <sheetData sheetId="4353">
        <row r="2">
          <cell r="A2" t="str">
            <v>실     명</v>
          </cell>
        </row>
      </sheetData>
      <sheetData sheetId="4354">
        <row r="2">
          <cell r="A2" t="str">
            <v>실     명</v>
          </cell>
        </row>
      </sheetData>
      <sheetData sheetId="4355">
        <row r="2">
          <cell r="A2" t="str">
            <v>실     명</v>
          </cell>
        </row>
      </sheetData>
      <sheetData sheetId="4356">
        <row r="2">
          <cell r="A2" t="str">
            <v>실     명</v>
          </cell>
        </row>
      </sheetData>
      <sheetData sheetId="4357">
        <row r="2">
          <cell r="A2" t="str">
            <v>실     명</v>
          </cell>
        </row>
      </sheetData>
      <sheetData sheetId="4358">
        <row r="2">
          <cell r="A2" t="str">
            <v>실     명</v>
          </cell>
        </row>
      </sheetData>
      <sheetData sheetId="4359">
        <row r="2">
          <cell r="A2" t="str">
            <v>실     명</v>
          </cell>
        </row>
      </sheetData>
      <sheetData sheetId="4360">
        <row r="2">
          <cell r="A2" t="str">
            <v>실     명</v>
          </cell>
        </row>
      </sheetData>
      <sheetData sheetId="4361">
        <row r="2">
          <cell r="A2" t="str">
            <v>실     명</v>
          </cell>
        </row>
      </sheetData>
      <sheetData sheetId="4362">
        <row r="2">
          <cell r="A2" t="str">
            <v>실     명</v>
          </cell>
        </row>
      </sheetData>
      <sheetData sheetId="4363">
        <row r="2">
          <cell r="A2" t="str">
            <v>실     명</v>
          </cell>
        </row>
      </sheetData>
      <sheetData sheetId="4364">
        <row r="2">
          <cell r="A2" t="str">
            <v>실     명</v>
          </cell>
        </row>
      </sheetData>
      <sheetData sheetId="4365">
        <row r="2">
          <cell r="A2" t="str">
            <v>실     명</v>
          </cell>
        </row>
      </sheetData>
      <sheetData sheetId="4366">
        <row r="2">
          <cell r="A2" t="str">
            <v>실     명</v>
          </cell>
        </row>
      </sheetData>
      <sheetData sheetId="4367">
        <row r="2">
          <cell r="A2" t="str">
            <v>실     명</v>
          </cell>
        </row>
      </sheetData>
      <sheetData sheetId="4368">
        <row r="2">
          <cell r="A2" t="str">
            <v>실     명</v>
          </cell>
        </row>
      </sheetData>
      <sheetData sheetId="4369">
        <row r="2">
          <cell r="A2" t="str">
            <v>실     명</v>
          </cell>
        </row>
      </sheetData>
      <sheetData sheetId="4370">
        <row r="2">
          <cell r="A2" t="str">
            <v>실     명</v>
          </cell>
        </row>
      </sheetData>
      <sheetData sheetId="4371">
        <row r="2">
          <cell r="A2" t="str">
            <v>실     명</v>
          </cell>
        </row>
      </sheetData>
      <sheetData sheetId="4372">
        <row r="2">
          <cell r="A2" t="str">
            <v>실     명</v>
          </cell>
        </row>
      </sheetData>
      <sheetData sheetId="4373">
        <row r="2">
          <cell r="A2" t="str">
            <v>실     명</v>
          </cell>
        </row>
      </sheetData>
      <sheetData sheetId="4374">
        <row r="2">
          <cell r="A2" t="str">
            <v>실     명</v>
          </cell>
        </row>
      </sheetData>
      <sheetData sheetId="4375">
        <row r="2">
          <cell r="A2" t="str">
            <v>실     명</v>
          </cell>
        </row>
      </sheetData>
      <sheetData sheetId="4376">
        <row r="2">
          <cell r="A2" t="str">
            <v>실     명</v>
          </cell>
        </row>
      </sheetData>
      <sheetData sheetId="4377">
        <row r="2">
          <cell r="A2" t="str">
            <v>실     명</v>
          </cell>
        </row>
      </sheetData>
      <sheetData sheetId="4378">
        <row r="2">
          <cell r="A2" t="str">
            <v>실     명</v>
          </cell>
        </row>
      </sheetData>
      <sheetData sheetId="4379">
        <row r="2">
          <cell r="A2" t="str">
            <v>실     명</v>
          </cell>
        </row>
      </sheetData>
      <sheetData sheetId="4380">
        <row r="2">
          <cell r="A2" t="str">
            <v>실     명</v>
          </cell>
        </row>
      </sheetData>
      <sheetData sheetId="4381">
        <row r="2">
          <cell r="A2" t="str">
            <v>실     명</v>
          </cell>
        </row>
      </sheetData>
      <sheetData sheetId="4382">
        <row r="2">
          <cell r="A2" t="str">
            <v>실     명</v>
          </cell>
        </row>
      </sheetData>
      <sheetData sheetId="4383">
        <row r="2">
          <cell r="A2" t="str">
            <v>실     명</v>
          </cell>
        </row>
      </sheetData>
      <sheetData sheetId="4384">
        <row r="2">
          <cell r="A2" t="str">
            <v>실     명</v>
          </cell>
        </row>
      </sheetData>
      <sheetData sheetId="4385">
        <row r="2">
          <cell r="A2" t="str">
            <v>실     명</v>
          </cell>
        </row>
      </sheetData>
      <sheetData sheetId="4386">
        <row r="2">
          <cell r="A2" t="str">
            <v>실     명</v>
          </cell>
        </row>
      </sheetData>
      <sheetData sheetId="4387">
        <row r="2">
          <cell r="A2" t="str">
            <v>실     명</v>
          </cell>
        </row>
      </sheetData>
      <sheetData sheetId="4388">
        <row r="2">
          <cell r="A2" t="str">
            <v>실     명</v>
          </cell>
        </row>
      </sheetData>
      <sheetData sheetId="4389">
        <row r="2">
          <cell r="A2" t="str">
            <v>실     명</v>
          </cell>
        </row>
      </sheetData>
      <sheetData sheetId="4390">
        <row r="2">
          <cell r="A2" t="str">
            <v>실     명</v>
          </cell>
        </row>
      </sheetData>
      <sheetData sheetId="4391">
        <row r="2">
          <cell r="A2" t="str">
            <v>실     명</v>
          </cell>
        </row>
      </sheetData>
      <sheetData sheetId="4392">
        <row r="2">
          <cell r="A2" t="str">
            <v>실     명</v>
          </cell>
        </row>
      </sheetData>
      <sheetData sheetId="4393">
        <row r="2">
          <cell r="A2" t="str">
            <v>실     명</v>
          </cell>
        </row>
      </sheetData>
      <sheetData sheetId="4394">
        <row r="2">
          <cell r="A2" t="str">
            <v>실     명</v>
          </cell>
        </row>
      </sheetData>
      <sheetData sheetId="4395">
        <row r="2">
          <cell r="A2" t="str">
            <v>실     명</v>
          </cell>
        </row>
      </sheetData>
      <sheetData sheetId="4396">
        <row r="2">
          <cell r="A2" t="str">
            <v>실     명</v>
          </cell>
        </row>
      </sheetData>
      <sheetData sheetId="4397">
        <row r="2">
          <cell r="A2" t="str">
            <v>실     명</v>
          </cell>
        </row>
      </sheetData>
      <sheetData sheetId="4398">
        <row r="2">
          <cell r="A2" t="str">
            <v>실     명</v>
          </cell>
        </row>
      </sheetData>
      <sheetData sheetId="4399">
        <row r="2">
          <cell r="A2" t="str">
            <v>실     명</v>
          </cell>
        </row>
      </sheetData>
      <sheetData sheetId="4400">
        <row r="2">
          <cell r="A2" t="str">
            <v>실     명</v>
          </cell>
        </row>
      </sheetData>
      <sheetData sheetId="4401">
        <row r="2">
          <cell r="A2" t="str">
            <v>실     명</v>
          </cell>
        </row>
      </sheetData>
      <sheetData sheetId="4402">
        <row r="2">
          <cell r="A2" t="str">
            <v>실     명</v>
          </cell>
        </row>
      </sheetData>
      <sheetData sheetId="4403">
        <row r="2">
          <cell r="A2" t="str">
            <v>실     명</v>
          </cell>
        </row>
      </sheetData>
      <sheetData sheetId="4404">
        <row r="2">
          <cell r="A2" t="str">
            <v>실     명</v>
          </cell>
        </row>
      </sheetData>
      <sheetData sheetId="4405">
        <row r="2">
          <cell r="A2" t="str">
            <v>실     명</v>
          </cell>
        </row>
      </sheetData>
      <sheetData sheetId="4406">
        <row r="2">
          <cell r="A2" t="str">
            <v>실     명</v>
          </cell>
        </row>
      </sheetData>
      <sheetData sheetId="4407">
        <row r="2">
          <cell r="A2" t="str">
            <v>실     명</v>
          </cell>
        </row>
      </sheetData>
      <sheetData sheetId="4408">
        <row r="2">
          <cell r="A2" t="str">
            <v>실     명</v>
          </cell>
        </row>
      </sheetData>
      <sheetData sheetId="4409">
        <row r="2">
          <cell r="A2" t="str">
            <v>실     명</v>
          </cell>
        </row>
      </sheetData>
      <sheetData sheetId="4410">
        <row r="2">
          <cell r="A2" t="str">
            <v>실     명</v>
          </cell>
        </row>
      </sheetData>
      <sheetData sheetId="4411">
        <row r="2">
          <cell r="A2" t="str">
            <v>실     명</v>
          </cell>
        </row>
      </sheetData>
      <sheetData sheetId="4412">
        <row r="2">
          <cell r="A2" t="str">
            <v>실     명</v>
          </cell>
        </row>
      </sheetData>
      <sheetData sheetId="4413">
        <row r="2">
          <cell r="A2" t="str">
            <v>실     명</v>
          </cell>
        </row>
      </sheetData>
      <sheetData sheetId="4414">
        <row r="2">
          <cell r="A2" t="str">
            <v>실     명</v>
          </cell>
        </row>
      </sheetData>
      <sheetData sheetId="4415">
        <row r="2">
          <cell r="A2" t="str">
            <v>실     명</v>
          </cell>
        </row>
      </sheetData>
      <sheetData sheetId="4416">
        <row r="2">
          <cell r="A2" t="str">
            <v>실     명</v>
          </cell>
        </row>
      </sheetData>
      <sheetData sheetId="4417">
        <row r="2">
          <cell r="A2" t="str">
            <v>실     명</v>
          </cell>
        </row>
      </sheetData>
      <sheetData sheetId="4418">
        <row r="2">
          <cell r="A2" t="str">
            <v>실     명</v>
          </cell>
        </row>
      </sheetData>
      <sheetData sheetId="4419">
        <row r="2">
          <cell r="A2" t="str">
            <v>실     명</v>
          </cell>
        </row>
      </sheetData>
      <sheetData sheetId="4420">
        <row r="2">
          <cell r="A2" t="str">
            <v>실     명</v>
          </cell>
        </row>
      </sheetData>
      <sheetData sheetId="4421">
        <row r="2">
          <cell r="A2" t="str">
            <v>실     명</v>
          </cell>
        </row>
      </sheetData>
      <sheetData sheetId="4422">
        <row r="2">
          <cell r="A2" t="str">
            <v>실     명</v>
          </cell>
        </row>
      </sheetData>
      <sheetData sheetId="4423">
        <row r="2">
          <cell r="A2" t="str">
            <v>실     명</v>
          </cell>
        </row>
      </sheetData>
      <sheetData sheetId="4424">
        <row r="2">
          <cell r="A2" t="str">
            <v>실     명</v>
          </cell>
        </row>
      </sheetData>
      <sheetData sheetId="4425">
        <row r="2">
          <cell r="A2" t="str">
            <v>실     명</v>
          </cell>
        </row>
      </sheetData>
      <sheetData sheetId="4426">
        <row r="2">
          <cell r="A2" t="str">
            <v>실     명</v>
          </cell>
        </row>
      </sheetData>
      <sheetData sheetId="4427">
        <row r="2">
          <cell r="A2" t="str">
            <v>실     명</v>
          </cell>
        </row>
      </sheetData>
      <sheetData sheetId="4428">
        <row r="2">
          <cell r="A2" t="str">
            <v>실     명</v>
          </cell>
        </row>
      </sheetData>
      <sheetData sheetId="4429">
        <row r="2">
          <cell r="A2" t="str">
            <v>실     명</v>
          </cell>
        </row>
      </sheetData>
      <sheetData sheetId="4430">
        <row r="2">
          <cell r="A2" t="str">
            <v>실     명</v>
          </cell>
        </row>
      </sheetData>
      <sheetData sheetId="4431">
        <row r="2">
          <cell r="A2" t="str">
            <v>실     명</v>
          </cell>
        </row>
      </sheetData>
      <sheetData sheetId="4432">
        <row r="2">
          <cell r="A2" t="str">
            <v>실     명</v>
          </cell>
        </row>
      </sheetData>
      <sheetData sheetId="4433">
        <row r="2">
          <cell r="A2" t="str">
            <v>실     명</v>
          </cell>
        </row>
      </sheetData>
      <sheetData sheetId="4434">
        <row r="2">
          <cell r="A2" t="str">
            <v>실     명</v>
          </cell>
        </row>
      </sheetData>
      <sheetData sheetId="4435">
        <row r="2">
          <cell r="A2" t="str">
            <v>실     명</v>
          </cell>
        </row>
      </sheetData>
      <sheetData sheetId="4436">
        <row r="2">
          <cell r="A2" t="str">
            <v>실     명</v>
          </cell>
        </row>
      </sheetData>
      <sheetData sheetId="4437">
        <row r="2">
          <cell r="A2" t="str">
            <v>실     명</v>
          </cell>
        </row>
      </sheetData>
      <sheetData sheetId="4438">
        <row r="2">
          <cell r="A2" t="str">
            <v>실     명</v>
          </cell>
        </row>
      </sheetData>
      <sheetData sheetId="4439">
        <row r="2">
          <cell r="A2" t="str">
            <v>실     명</v>
          </cell>
        </row>
      </sheetData>
      <sheetData sheetId="4440">
        <row r="2">
          <cell r="A2" t="str">
            <v>실     명</v>
          </cell>
        </row>
      </sheetData>
      <sheetData sheetId="4441">
        <row r="2">
          <cell r="A2" t="str">
            <v>실     명</v>
          </cell>
        </row>
      </sheetData>
      <sheetData sheetId="4442">
        <row r="2">
          <cell r="A2" t="str">
            <v>실     명</v>
          </cell>
        </row>
      </sheetData>
      <sheetData sheetId="4443">
        <row r="2">
          <cell r="A2" t="str">
            <v>실     명</v>
          </cell>
        </row>
      </sheetData>
      <sheetData sheetId="4444">
        <row r="2">
          <cell r="A2" t="str">
            <v>실     명</v>
          </cell>
        </row>
      </sheetData>
      <sheetData sheetId="4445">
        <row r="2">
          <cell r="A2" t="str">
            <v>실     명</v>
          </cell>
        </row>
      </sheetData>
      <sheetData sheetId="4446">
        <row r="2">
          <cell r="A2" t="str">
            <v>실     명</v>
          </cell>
        </row>
      </sheetData>
      <sheetData sheetId="4447">
        <row r="2">
          <cell r="A2" t="str">
            <v>실     명</v>
          </cell>
        </row>
      </sheetData>
      <sheetData sheetId="4448">
        <row r="2">
          <cell r="A2" t="str">
            <v>실     명</v>
          </cell>
        </row>
      </sheetData>
      <sheetData sheetId="4449">
        <row r="2">
          <cell r="A2" t="str">
            <v>실     명</v>
          </cell>
        </row>
      </sheetData>
      <sheetData sheetId="4450">
        <row r="2">
          <cell r="A2" t="str">
            <v>실     명</v>
          </cell>
        </row>
      </sheetData>
      <sheetData sheetId="4451">
        <row r="2">
          <cell r="A2" t="str">
            <v>실     명</v>
          </cell>
        </row>
      </sheetData>
      <sheetData sheetId="4452">
        <row r="2">
          <cell r="A2" t="str">
            <v>실     명</v>
          </cell>
        </row>
      </sheetData>
      <sheetData sheetId="4453">
        <row r="2">
          <cell r="A2" t="str">
            <v>실     명</v>
          </cell>
        </row>
      </sheetData>
      <sheetData sheetId="4454">
        <row r="2">
          <cell r="A2" t="str">
            <v>실     명</v>
          </cell>
        </row>
      </sheetData>
      <sheetData sheetId="4455">
        <row r="2">
          <cell r="A2" t="str">
            <v>실     명</v>
          </cell>
        </row>
      </sheetData>
      <sheetData sheetId="4456">
        <row r="2">
          <cell r="A2" t="str">
            <v>실     명</v>
          </cell>
        </row>
      </sheetData>
      <sheetData sheetId="4457">
        <row r="2">
          <cell r="A2" t="str">
            <v>실     명</v>
          </cell>
        </row>
      </sheetData>
      <sheetData sheetId="4458">
        <row r="2">
          <cell r="A2" t="str">
            <v>실     명</v>
          </cell>
        </row>
      </sheetData>
      <sheetData sheetId="4459">
        <row r="2">
          <cell r="A2" t="str">
            <v>실     명</v>
          </cell>
        </row>
      </sheetData>
      <sheetData sheetId="4460">
        <row r="2">
          <cell r="A2" t="str">
            <v>실     명</v>
          </cell>
        </row>
      </sheetData>
      <sheetData sheetId="4461">
        <row r="2">
          <cell r="A2" t="str">
            <v>실     명</v>
          </cell>
        </row>
      </sheetData>
      <sheetData sheetId="4462">
        <row r="2">
          <cell r="A2" t="str">
            <v>실     명</v>
          </cell>
        </row>
      </sheetData>
      <sheetData sheetId="4463">
        <row r="2">
          <cell r="A2" t="str">
            <v>실     명</v>
          </cell>
        </row>
      </sheetData>
      <sheetData sheetId="4464">
        <row r="2">
          <cell r="A2" t="str">
            <v>실     명</v>
          </cell>
        </row>
      </sheetData>
      <sheetData sheetId="4465">
        <row r="2">
          <cell r="A2" t="str">
            <v>실     명</v>
          </cell>
        </row>
      </sheetData>
      <sheetData sheetId="4466">
        <row r="2">
          <cell r="A2" t="str">
            <v>실     명</v>
          </cell>
        </row>
      </sheetData>
      <sheetData sheetId="4467">
        <row r="2">
          <cell r="A2" t="str">
            <v>실     명</v>
          </cell>
        </row>
      </sheetData>
      <sheetData sheetId="4468">
        <row r="2">
          <cell r="A2" t="str">
            <v>실     명</v>
          </cell>
        </row>
      </sheetData>
      <sheetData sheetId="4469">
        <row r="2">
          <cell r="A2" t="str">
            <v>실     명</v>
          </cell>
        </row>
      </sheetData>
      <sheetData sheetId="4470">
        <row r="2">
          <cell r="A2" t="str">
            <v>실     명</v>
          </cell>
        </row>
      </sheetData>
      <sheetData sheetId="4471">
        <row r="2">
          <cell r="A2" t="str">
            <v>실     명</v>
          </cell>
        </row>
      </sheetData>
      <sheetData sheetId="4472">
        <row r="2">
          <cell r="A2" t="str">
            <v>실     명</v>
          </cell>
        </row>
      </sheetData>
      <sheetData sheetId="4473">
        <row r="2">
          <cell r="A2" t="str">
            <v>실     명</v>
          </cell>
        </row>
      </sheetData>
      <sheetData sheetId="4474">
        <row r="2">
          <cell r="A2" t="str">
            <v>실     명</v>
          </cell>
        </row>
      </sheetData>
      <sheetData sheetId="4475">
        <row r="2">
          <cell r="A2" t="str">
            <v>실     명</v>
          </cell>
        </row>
      </sheetData>
      <sheetData sheetId="4476">
        <row r="2">
          <cell r="A2" t="str">
            <v>실     명</v>
          </cell>
        </row>
      </sheetData>
      <sheetData sheetId="4477">
        <row r="2">
          <cell r="A2" t="str">
            <v>실     명</v>
          </cell>
        </row>
      </sheetData>
      <sheetData sheetId="4478">
        <row r="2">
          <cell r="A2" t="str">
            <v>실     명</v>
          </cell>
        </row>
      </sheetData>
      <sheetData sheetId="4479">
        <row r="2">
          <cell r="A2" t="str">
            <v>실     명</v>
          </cell>
        </row>
      </sheetData>
      <sheetData sheetId="4480">
        <row r="2">
          <cell r="A2" t="str">
            <v>실     명</v>
          </cell>
        </row>
      </sheetData>
      <sheetData sheetId="4481">
        <row r="2">
          <cell r="A2" t="str">
            <v>실     명</v>
          </cell>
        </row>
      </sheetData>
      <sheetData sheetId="4482">
        <row r="2">
          <cell r="A2" t="str">
            <v>실     명</v>
          </cell>
        </row>
      </sheetData>
      <sheetData sheetId="4483">
        <row r="2">
          <cell r="A2" t="str">
            <v>실     명</v>
          </cell>
        </row>
      </sheetData>
      <sheetData sheetId="4484">
        <row r="2">
          <cell r="A2" t="str">
            <v>실     명</v>
          </cell>
        </row>
      </sheetData>
      <sheetData sheetId="4485">
        <row r="2">
          <cell r="A2" t="str">
            <v>실     명</v>
          </cell>
        </row>
      </sheetData>
      <sheetData sheetId="4486">
        <row r="2">
          <cell r="A2" t="str">
            <v>실     명</v>
          </cell>
        </row>
      </sheetData>
      <sheetData sheetId="4487">
        <row r="2">
          <cell r="A2" t="str">
            <v>실     명</v>
          </cell>
        </row>
      </sheetData>
      <sheetData sheetId="4488">
        <row r="2">
          <cell r="A2" t="str">
            <v>실     명</v>
          </cell>
        </row>
      </sheetData>
      <sheetData sheetId="4489">
        <row r="2">
          <cell r="A2" t="str">
            <v>실     명</v>
          </cell>
        </row>
      </sheetData>
      <sheetData sheetId="4490">
        <row r="2">
          <cell r="A2" t="str">
            <v>실     명</v>
          </cell>
        </row>
      </sheetData>
      <sheetData sheetId="4491">
        <row r="2">
          <cell r="A2" t="str">
            <v>실     명</v>
          </cell>
        </row>
      </sheetData>
      <sheetData sheetId="4492">
        <row r="2">
          <cell r="A2" t="str">
            <v>실     명</v>
          </cell>
        </row>
      </sheetData>
      <sheetData sheetId="4493">
        <row r="2">
          <cell r="A2" t="str">
            <v>실     명</v>
          </cell>
        </row>
      </sheetData>
      <sheetData sheetId="4494">
        <row r="2">
          <cell r="A2" t="str">
            <v>실     명</v>
          </cell>
        </row>
      </sheetData>
      <sheetData sheetId="4495">
        <row r="2">
          <cell r="A2" t="str">
            <v>실     명</v>
          </cell>
        </row>
      </sheetData>
      <sheetData sheetId="4496">
        <row r="2">
          <cell r="A2" t="str">
            <v>실     명</v>
          </cell>
        </row>
      </sheetData>
      <sheetData sheetId="4497">
        <row r="2">
          <cell r="A2" t="str">
            <v>실     명</v>
          </cell>
        </row>
      </sheetData>
      <sheetData sheetId="4498">
        <row r="2">
          <cell r="A2" t="str">
            <v>실     명</v>
          </cell>
        </row>
      </sheetData>
      <sheetData sheetId="4499">
        <row r="2">
          <cell r="A2" t="str">
            <v>실     명</v>
          </cell>
        </row>
      </sheetData>
      <sheetData sheetId="4500">
        <row r="2">
          <cell r="A2" t="str">
            <v>실     명</v>
          </cell>
        </row>
      </sheetData>
      <sheetData sheetId="4501">
        <row r="2">
          <cell r="A2" t="str">
            <v>실     명</v>
          </cell>
        </row>
      </sheetData>
      <sheetData sheetId="4502">
        <row r="2">
          <cell r="A2" t="str">
            <v>실     명</v>
          </cell>
        </row>
      </sheetData>
      <sheetData sheetId="4503">
        <row r="2">
          <cell r="A2" t="str">
            <v>실     명</v>
          </cell>
        </row>
      </sheetData>
      <sheetData sheetId="4504">
        <row r="2">
          <cell r="A2" t="str">
            <v>실     명</v>
          </cell>
        </row>
      </sheetData>
      <sheetData sheetId="4505">
        <row r="2">
          <cell r="A2" t="str">
            <v>실     명</v>
          </cell>
        </row>
      </sheetData>
      <sheetData sheetId="4506">
        <row r="2">
          <cell r="A2" t="str">
            <v>실     명</v>
          </cell>
        </row>
      </sheetData>
      <sheetData sheetId="4507">
        <row r="2">
          <cell r="A2" t="str">
            <v>실     명</v>
          </cell>
        </row>
      </sheetData>
      <sheetData sheetId="4508">
        <row r="2">
          <cell r="A2" t="str">
            <v>실     명</v>
          </cell>
        </row>
      </sheetData>
      <sheetData sheetId="4509">
        <row r="2">
          <cell r="A2" t="str">
            <v>실     명</v>
          </cell>
        </row>
      </sheetData>
      <sheetData sheetId="4510">
        <row r="2">
          <cell r="A2" t="str">
            <v>실     명</v>
          </cell>
        </row>
      </sheetData>
      <sheetData sheetId="4511">
        <row r="2">
          <cell r="A2" t="str">
            <v>실     명</v>
          </cell>
        </row>
      </sheetData>
      <sheetData sheetId="4512">
        <row r="2">
          <cell r="A2" t="str">
            <v>실     명</v>
          </cell>
        </row>
      </sheetData>
      <sheetData sheetId="4513">
        <row r="2">
          <cell r="A2" t="str">
            <v>실     명</v>
          </cell>
        </row>
      </sheetData>
      <sheetData sheetId="4514">
        <row r="2">
          <cell r="A2" t="str">
            <v>실     명</v>
          </cell>
        </row>
      </sheetData>
      <sheetData sheetId="4515">
        <row r="2">
          <cell r="A2" t="str">
            <v>실     명</v>
          </cell>
        </row>
      </sheetData>
      <sheetData sheetId="4516">
        <row r="2">
          <cell r="A2" t="str">
            <v>실     명</v>
          </cell>
        </row>
      </sheetData>
      <sheetData sheetId="4517">
        <row r="2">
          <cell r="A2" t="str">
            <v>실     명</v>
          </cell>
        </row>
      </sheetData>
      <sheetData sheetId="4518">
        <row r="2">
          <cell r="A2" t="str">
            <v>실     명</v>
          </cell>
        </row>
      </sheetData>
      <sheetData sheetId="4519">
        <row r="2">
          <cell r="A2" t="str">
            <v>실     명</v>
          </cell>
        </row>
      </sheetData>
      <sheetData sheetId="4520">
        <row r="2">
          <cell r="A2" t="str">
            <v>실     명</v>
          </cell>
        </row>
      </sheetData>
      <sheetData sheetId="4521">
        <row r="2">
          <cell r="A2" t="str">
            <v>실     명</v>
          </cell>
        </row>
      </sheetData>
      <sheetData sheetId="4522">
        <row r="2">
          <cell r="A2" t="str">
            <v>실     명</v>
          </cell>
        </row>
      </sheetData>
      <sheetData sheetId="4523">
        <row r="2">
          <cell r="A2" t="str">
            <v>실     명</v>
          </cell>
        </row>
      </sheetData>
      <sheetData sheetId="4524">
        <row r="2">
          <cell r="A2" t="str">
            <v>실     명</v>
          </cell>
        </row>
      </sheetData>
      <sheetData sheetId="4525">
        <row r="2">
          <cell r="A2" t="str">
            <v>실     명</v>
          </cell>
        </row>
      </sheetData>
      <sheetData sheetId="4526">
        <row r="2">
          <cell r="A2" t="str">
            <v>실     명</v>
          </cell>
        </row>
      </sheetData>
      <sheetData sheetId="4527">
        <row r="2">
          <cell r="A2" t="str">
            <v>실     명</v>
          </cell>
        </row>
      </sheetData>
      <sheetData sheetId="4528">
        <row r="2">
          <cell r="A2" t="str">
            <v>실     명</v>
          </cell>
        </row>
      </sheetData>
      <sheetData sheetId="4529">
        <row r="2">
          <cell r="A2" t="str">
            <v>실     명</v>
          </cell>
        </row>
      </sheetData>
      <sheetData sheetId="4530">
        <row r="2">
          <cell r="A2" t="str">
            <v>실     명</v>
          </cell>
        </row>
      </sheetData>
      <sheetData sheetId="4531">
        <row r="2">
          <cell r="A2" t="str">
            <v>실     명</v>
          </cell>
        </row>
      </sheetData>
      <sheetData sheetId="4532">
        <row r="2">
          <cell r="A2" t="str">
            <v>실     명</v>
          </cell>
        </row>
      </sheetData>
      <sheetData sheetId="4533">
        <row r="2">
          <cell r="A2" t="str">
            <v>실     명</v>
          </cell>
        </row>
      </sheetData>
      <sheetData sheetId="4534">
        <row r="2">
          <cell r="A2" t="str">
            <v>실     명</v>
          </cell>
        </row>
      </sheetData>
      <sheetData sheetId="4535">
        <row r="2">
          <cell r="A2" t="str">
            <v>실     명</v>
          </cell>
        </row>
      </sheetData>
      <sheetData sheetId="4536">
        <row r="2">
          <cell r="A2" t="str">
            <v>실     명</v>
          </cell>
        </row>
      </sheetData>
      <sheetData sheetId="4537">
        <row r="2">
          <cell r="A2" t="str">
            <v>실     명</v>
          </cell>
        </row>
      </sheetData>
      <sheetData sheetId="4538">
        <row r="2">
          <cell r="A2" t="str">
            <v>실     명</v>
          </cell>
        </row>
      </sheetData>
      <sheetData sheetId="4539">
        <row r="2">
          <cell r="A2" t="str">
            <v>실     명</v>
          </cell>
        </row>
      </sheetData>
      <sheetData sheetId="4540">
        <row r="2">
          <cell r="A2" t="str">
            <v>실     명</v>
          </cell>
        </row>
      </sheetData>
      <sheetData sheetId="4541">
        <row r="2">
          <cell r="A2" t="str">
            <v>실     명</v>
          </cell>
        </row>
      </sheetData>
      <sheetData sheetId="4542">
        <row r="2">
          <cell r="A2" t="str">
            <v>실     명</v>
          </cell>
        </row>
      </sheetData>
      <sheetData sheetId="4543">
        <row r="2">
          <cell r="A2" t="str">
            <v>실     명</v>
          </cell>
        </row>
      </sheetData>
      <sheetData sheetId="4544">
        <row r="2">
          <cell r="A2" t="str">
            <v>실     명</v>
          </cell>
        </row>
      </sheetData>
      <sheetData sheetId="4545">
        <row r="2">
          <cell r="A2" t="str">
            <v>실     명</v>
          </cell>
        </row>
      </sheetData>
      <sheetData sheetId="4546">
        <row r="2">
          <cell r="A2" t="str">
            <v>실     명</v>
          </cell>
        </row>
      </sheetData>
      <sheetData sheetId="4547">
        <row r="2">
          <cell r="A2" t="str">
            <v>실     명</v>
          </cell>
        </row>
      </sheetData>
      <sheetData sheetId="4548">
        <row r="2">
          <cell r="A2" t="str">
            <v>실     명</v>
          </cell>
        </row>
      </sheetData>
      <sheetData sheetId="4549">
        <row r="2">
          <cell r="A2" t="str">
            <v>실     명</v>
          </cell>
        </row>
      </sheetData>
      <sheetData sheetId="4550">
        <row r="2">
          <cell r="A2" t="str">
            <v>실     명</v>
          </cell>
        </row>
      </sheetData>
      <sheetData sheetId="4551">
        <row r="2">
          <cell r="A2" t="str">
            <v>실     명</v>
          </cell>
        </row>
      </sheetData>
      <sheetData sheetId="4552">
        <row r="2">
          <cell r="A2" t="str">
            <v>실     명</v>
          </cell>
        </row>
      </sheetData>
      <sheetData sheetId="4553">
        <row r="2">
          <cell r="A2" t="str">
            <v>실     명</v>
          </cell>
        </row>
      </sheetData>
      <sheetData sheetId="4554">
        <row r="2">
          <cell r="A2" t="str">
            <v>실     명</v>
          </cell>
        </row>
      </sheetData>
      <sheetData sheetId="4555">
        <row r="2">
          <cell r="A2" t="str">
            <v>실     명</v>
          </cell>
        </row>
      </sheetData>
      <sheetData sheetId="4556">
        <row r="2">
          <cell r="A2" t="str">
            <v>실     명</v>
          </cell>
        </row>
      </sheetData>
      <sheetData sheetId="4557">
        <row r="2">
          <cell r="A2" t="str">
            <v>실     명</v>
          </cell>
        </row>
      </sheetData>
      <sheetData sheetId="4558">
        <row r="2">
          <cell r="A2" t="str">
            <v>실     명</v>
          </cell>
        </row>
      </sheetData>
      <sheetData sheetId="4559">
        <row r="2">
          <cell r="A2" t="str">
            <v>실     명</v>
          </cell>
        </row>
      </sheetData>
      <sheetData sheetId="4560">
        <row r="2">
          <cell r="A2" t="str">
            <v>실     명</v>
          </cell>
        </row>
      </sheetData>
      <sheetData sheetId="4561">
        <row r="2">
          <cell r="A2" t="str">
            <v>실     명</v>
          </cell>
        </row>
      </sheetData>
      <sheetData sheetId="4562">
        <row r="2">
          <cell r="A2" t="str">
            <v>실     명</v>
          </cell>
        </row>
      </sheetData>
      <sheetData sheetId="4563">
        <row r="2">
          <cell r="A2" t="str">
            <v>실     명</v>
          </cell>
        </row>
      </sheetData>
      <sheetData sheetId="4564">
        <row r="2">
          <cell r="A2" t="str">
            <v>실     명</v>
          </cell>
        </row>
      </sheetData>
      <sheetData sheetId="4565">
        <row r="2">
          <cell r="A2" t="str">
            <v>실     명</v>
          </cell>
        </row>
      </sheetData>
      <sheetData sheetId="4566">
        <row r="2">
          <cell r="A2" t="str">
            <v>실     명</v>
          </cell>
        </row>
      </sheetData>
      <sheetData sheetId="4567">
        <row r="2">
          <cell r="A2" t="str">
            <v>실     명</v>
          </cell>
        </row>
      </sheetData>
      <sheetData sheetId="4568">
        <row r="2">
          <cell r="A2" t="str">
            <v>실     명</v>
          </cell>
        </row>
      </sheetData>
      <sheetData sheetId="4569">
        <row r="2">
          <cell r="A2" t="str">
            <v>실     명</v>
          </cell>
        </row>
      </sheetData>
      <sheetData sheetId="4570">
        <row r="2">
          <cell r="A2" t="str">
            <v>실     명</v>
          </cell>
        </row>
      </sheetData>
      <sheetData sheetId="4571">
        <row r="2">
          <cell r="A2" t="str">
            <v>실     명</v>
          </cell>
        </row>
      </sheetData>
      <sheetData sheetId="4572">
        <row r="2">
          <cell r="A2" t="str">
            <v>실     명</v>
          </cell>
        </row>
      </sheetData>
      <sheetData sheetId="4573">
        <row r="2">
          <cell r="A2" t="str">
            <v>실     명</v>
          </cell>
        </row>
      </sheetData>
      <sheetData sheetId="4574">
        <row r="2">
          <cell r="A2" t="str">
            <v>실     명</v>
          </cell>
        </row>
      </sheetData>
      <sheetData sheetId="4575">
        <row r="2">
          <cell r="A2" t="str">
            <v>실     명</v>
          </cell>
        </row>
      </sheetData>
      <sheetData sheetId="4576">
        <row r="2">
          <cell r="A2" t="str">
            <v>실     명</v>
          </cell>
        </row>
      </sheetData>
      <sheetData sheetId="4577">
        <row r="2">
          <cell r="A2" t="str">
            <v>실     명</v>
          </cell>
        </row>
      </sheetData>
      <sheetData sheetId="4578">
        <row r="2">
          <cell r="A2" t="str">
            <v>실     명</v>
          </cell>
        </row>
      </sheetData>
      <sheetData sheetId="4579">
        <row r="2">
          <cell r="A2" t="str">
            <v>실     명</v>
          </cell>
        </row>
      </sheetData>
      <sheetData sheetId="4580">
        <row r="2">
          <cell r="A2" t="str">
            <v>실     명</v>
          </cell>
        </row>
      </sheetData>
      <sheetData sheetId="4581">
        <row r="2">
          <cell r="A2" t="str">
            <v>실     명</v>
          </cell>
        </row>
      </sheetData>
      <sheetData sheetId="4582">
        <row r="2">
          <cell r="A2" t="str">
            <v>실     명</v>
          </cell>
        </row>
      </sheetData>
      <sheetData sheetId="4583">
        <row r="2">
          <cell r="A2" t="str">
            <v>실     명</v>
          </cell>
        </row>
      </sheetData>
      <sheetData sheetId="4584">
        <row r="2">
          <cell r="A2" t="str">
            <v>실     명</v>
          </cell>
        </row>
      </sheetData>
      <sheetData sheetId="4585">
        <row r="2">
          <cell r="A2" t="str">
            <v>실     명</v>
          </cell>
        </row>
      </sheetData>
      <sheetData sheetId="4586">
        <row r="2">
          <cell r="A2" t="str">
            <v>실     명</v>
          </cell>
        </row>
      </sheetData>
      <sheetData sheetId="4587">
        <row r="2">
          <cell r="A2" t="str">
            <v>실     명</v>
          </cell>
        </row>
      </sheetData>
      <sheetData sheetId="4588">
        <row r="2">
          <cell r="A2" t="str">
            <v>실     명</v>
          </cell>
        </row>
      </sheetData>
      <sheetData sheetId="4589">
        <row r="2">
          <cell r="A2" t="str">
            <v>실     명</v>
          </cell>
        </row>
      </sheetData>
      <sheetData sheetId="4590">
        <row r="2">
          <cell r="A2" t="str">
            <v>실     명</v>
          </cell>
        </row>
      </sheetData>
      <sheetData sheetId="4591">
        <row r="2">
          <cell r="A2" t="str">
            <v>실     명</v>
          </cell>
        </row>
      </sheetData>
      <sheetData sheetId="4592">
        <row r="2">
          <cell r="A2" t="str">
            <v>실     명</v>
          </cell>
        </row>
      </sheetData>
      <sheetData sheetId="4593">
        <row r="2">
          <cell r="A2" t="str">
            <v>실     명</v>
          </cell>
        </row>
      </sheetData>
      <sheetData sheetId="4594">
        <row r="2">
          <cell r="A2" t="str">
            <v>실     명</v>
          </cell>
        </row>
      </sheetData>
      <sheetData sheetId="4595">
        <row r="2">
          <cell r="A2" t="str">
            <v>실     명</v>
          </cell>
        </row>
      </sheetData>
      <sheetData sheetId="4596">
        <row r="2">
          <cell r="A2" t="str">
            <v>실     명</v>
          </cell>
        </row>
      </sheetData>
      <sheetData sheetId="4597">
        <row r="2">
          <cell r="A2" t="str">
            <v>실     명</v>
          </cell>
        </row>
      </sheetData>
      <sheetData sheetId="4598">
        <row r="2">
          <cell r="A2" t="str">
            <v>실     명</v>
          </cell>
        </row>
      </sheetData>
      <sheetData sheetId="4599">
        <row r="2">
          <cell r="A2" t="str">
            <v>실     명</v>
          </cell>
        </row>
      </sheetData>
      <sheetData sheetId="4600">
        <row r="2">
          <cell r="A2" t="str">
            <v>실     명</v>
          </cell>
        </row>
      </sheetData>
      <sheetData sheetId="4601">
        <row r="2">
          <cell r="A2" t="str">
            <v>실     명</v>
          </cell>
        </row>
      </sheetData>
      <sheetData sheetId="4602">
        <row r="2">
          <cell r="A2" t="str">
            <v>실     명</v>
          </cell>
        </row>
      </sheetData>
      <sheetData sheetId="4603">
        <row r="2">
          <cell r="A2" t="str">
            <v>실     명</v>
          </cell>
        </row>
      </sheetData>
      <sheetData sheetId="4604">
        <row r="2">
          <cell r="A2" t="str">
            <v>실     명</v>
          </cell>
        </row>
      </sheetData>
      <sheetData sheetId="4605">
        <row r="2">
          <cell r="A2" t="str">
            <v>실     명</v>
          </cell>
        </row>
      </sheetData>
      <sheetData sheetId="4606">
        <row r="2">
          <cell r="A2" t="str">
            <v>실     명</v>
          </cell>
        </row>
      </sheetData>
      <sheetData sheetId="4607">
        <row r="2">
          <cell r="A2" t="str">
            <v>실     명</v>
          </cell>
        </row>
      </sheetData>
      <sheetData sheetId="4608">
        <row r="2">
          <cell r="A2" t="str">
            <v>실     명</v>
          </cell>
        </row>
      </sheetData>
      <sheetData sheetId="4609">
        <row r="2">
          <cell r="A2" t="str">
            <v>실     명</v>
          </cell>
        </row>
      </sheetData>
      <sheetData sheetId="4610">
        <row r="2">
          <cell r="A2" t="str">
            <v>실     명</v>
          </cell>
        </row>
      </sheetData>
      <sheetData sheetId="4611">
        <row r="2">
          <cell r="A2" t="str">
            <v>실     명</v>
          </cell>
        </row>
      </sheetData>
      <sheetData sheetId="4612">
        <row r="2">
          <cell r="A2" t="str">
            <v>실     명</v>
          </cell>
        </row>
      </sheetData>
      <sheetData sheetId="4613">
        <row r="2">
          <cell r="A2" t="str">
            <v>실     명</v>
          </cell>
        </row>
      </sheetData>
      <sheetData sheetId="4614">
        <row r="2">
          <cell r="A2" t="str">
            <v>실     명</v>
          </cell>
        </row>
      </sheetData>
      <sheetData sheetId="4615">
        <row r="2">
          <cell r="A2" t="str">
            <v>실     명</v>
          </cell>
        </row>
      </sheetData>
      <sheetData sheetId="4616">
        <row r="2">
          <cell r="A2" t="str">
            <v>실     명</v>
          </cell>
        </row>
      </sheetData>
      <sheetData sheetId="4617">
        <row r="2">
          <cell r="A2" t="str">
            <v>실     명</v>
          </cell>
        </row>
      </sheetData>
      <sheetData sheetId="4618">
        <row r="2">
          <cell r="A2" t="str">
            <v>실     명</v>
          </cell>
        </row>
      </sheetData>
      <sheetData sheetId="4619">
        <row r="2">
          <cell r="A2" t="str">
            <v>실     명</v>
          </cell>
        </row>
      </sheetData>
      <sheetData sheetId="4620">
        <row r="2">
          <cell r="A2" t="str">
            <v>실     명</v>
          </cell>
        </row>
      </sheetData>
      <sheetData sheetId="4621">
        <row r="2">
          <cell r="A2" t="str">
            <v>실     명</v>
          </cell>
        </row>
      </sheetData>
      <sheetData sheetId="4622">
        <row r="2">
          <cell r="A2" t="str">
            <v>실     명</v>
          </cell>
        </row>
      </sheetData>
      <sheetData sheetId="4623">
        <row r="2">
          <cell r="A2" t="str">
            <v>실     명</v>
          </cell>
        </row>
      </sheetData>
      <sheetData sheetId="4624">
        <row r="2">
          <cell r="A2" t="str">
            <v>실     명</v>
          </cell>
        </row>
      </sheetData>
      <sheetData sheetId="4625">
        <row r="2">
          <cell r="A2" t="str">
            <v>실     명</v>
          </cell>
        </row>
      </sheetData>
      <sheetData sheetId="4626">
        <row r="2">
          <cell r="A2" t="str">
            <v>실     명</v>
          </cell>
        </row>
      </sheetData>
      <sheetData sheetId="4627">
        <row r="2">
          <cell r="A2" t="str">
            <v>실     명</v>
          </cell>
        </row>
      </sheetData>
      <sheetData sheetId="4628">
        <row r="2">
          <cell r="A2" t="str">
            <v>실     명</v>
          </cell>
        </row>
      </sheetData>
      <sheetData sheetId="4629">
        <row r="2">
          <cell r="A2" t="str">
            <v>실     명</v>
          </cell>
        </row>
      </sheetData>
      <sheetData sheetId="4630">
        <row r="2">
          <cell r="A2" t="str">
            <v>실     명</v>
          </cell>
        </row>
      </sheetData>
      <sheetData sheetId="4631">
        <row r="2">
          <cell r="A2" t="str">
            <v>실     명</v>
          </cell>
        </row>
      </sheetData>
      <sheetData sheetId="4632">
        <row r="2">
          <cell r="A2" t="str">
            <v>실     명</v>
          </cell>
        </row>
      </sheetData>
      <sheetData sheetId="4633">
        <row r="2">
          <cell r="A2" t="str">
            <v>실     명</v>
          </cell>
        </row>
      </sheetData>
      <sheetData sheetId="4634">
        <row r="2">
          <cell r="A2" t="str">
            <v>실     명</v>
          </cell>
        </row>
      </sheetData>
      <sheetData sheetId="4635">
        <row r="2">
          <cell r="A2" t="str">
            <v>실     명</v>
          </cell>
        </row>
      </sheetData>
      <sheetData sheetId="4636">
        <row r="2">
          <cell r="A2" t="str">
            <v>실     명</v>
          </cell>
        </row>
      </sheetData>
      <sheetData sheetId="4637">
        <row r="2">
          <cell r="A2" t="str">
            <v>실     명</v>
          </cell>
        </row>
      </sheetData>
      <sheetData sheetId="4638">
        <row r="2">
          <cell r="A2" t="str">
            <v>실     명</v>
          </cell>
        </row>
      </sheetData>
      <sheetData sheetId="4639">
        <row r="2">
          <cell r="A2" t="str">
            <v>실     명</v>
          </cell>
        </row>
      </sheetData>
      <sheetData sheetId="4640">
        <row r="2">
          <cell r="A2" t="str">
            <v>실     명</v>
          </cell>
        </row>
      </sheetData>
      <sheetData sheetId="4641">
        <row r="2">
          <cell r="A2" t="str">
            <v>실     명</v>
          </cell>
        </row>
      </sheetData>
      <sheetData sheetId="4642">
        <row r="2">
          <cell r="A2" t="str">
            <v>실     명</v>
          </cell>
        </row>
      </sheetData>
      <sheetData sheetId="4643">
        <row r="2">
          <cell r="A2" t="str">
            <v>실     명</v>
          </cell>
        </row>
      </sheetData>
      <sheetData sheetId="4644">
        <row r="2">
          <cell r="A2" t="str">
            <v>실     명</v>
          </cell>
        </row>
      </sheetData>
      <sheetData sheetId="4645">
        <row r="2">
          <cell r="A2" t="str">
            <v>실     명</v>
          </cell>
        </row>
      </sheetData>
      <sheetData sheetId="4646">
        <row r="2">
          <cell r="A2" t="str">
            <v>실     명</v>
          </cell>
        </row>
      </sheetData>
      <sheetData sheetId="4647">
        <row r="2">
          <cell r="A2" t="str">
            <v>실     명</v>
          </cell>
        </row>
      </sheetData>
      <sheetData sheetId="4648">
        <row r="2">
          <cell r="A2" t="str">
            <v>실     명</v>
          </cell>
        </row>
      </sheetData>
      <sheetData sheetId="4649">
        <row r="2">
          <cell r="A2" t="str">
            <v>실     명</v>
          </cell>
        </row>
      </sheetData>
      <sheetData sheetId="4650">
        <row r="2">
          <cell r="A2" t="str">
            <v>실     명</v>
          </cell>
        </row>
      </sheetData>
      <sheetData sheetId="4651">
        <row r="2">
          <cell r="A2" t="str">
            <v>실     명</v>
          </cell>
        </row>
      </sheetData>
      <sheetData sheetId="4652">
        <row r="2">
          <cell r="A2" t="str">
            <v>실     명</v>
          </cell>
        </row>
      </sheetData>
      <sheetData sheetId="4653">
        <row r="2">
          <cell r="A2" t="str">
            <v>실     명</v>
          </cell>
        </row>
      </sheetData>
      <sheetData sheetId="4654">
        <row r="2">
          <cell r="A2" t="str">
            <v>실     명</v>
          </cell>
        </row>
      </sheetData>
      <sheetData sheetId="4655">
        <row r="2">
          <cell r="A2" t="str">
            <v>실     명</v>
          </cell>
        </row>
      </sheetData>
      <sheetData sheetId="4656">
        <row r="2">
          <cell r="A2" t="str">
            <v>실     명</v>
          </cell>
        </row>
      </sheetData>
      <sheetData sheetId="4657">
        <row r="2">
          <cell r="A2" t="str">
            <v>실     명</v>
          </cell>
        </row>
      </sheetData>
      <sheetData sheetId="4658">
        <row r="2">
          <cell r="A2" t="str">
            <v>실     명</v>
          </cell>
        </row>
      </sheetData>
      <sheetData sheetId="4659">
        <row r="2">
          <cell r="A2" t="str">
            <v>실     명</v>
          </cell>
        </row>
      </sheetData>
      <sheetData sheetId="4660">
        <row r="2">
          <cell r="A2" t="str">
            <v>실     명</v>
          </cell>
        </row>
      </sheetData>
      <sheetData sheetId="4661">
        <row r="2">
          <cell r="A2" t="str">
            <v>실     명</v>
          </cell>
        </row>
      </sheetData>
      <sheetData sheetId="4662">
        <row r="2">
          <cell r="A2" t="str">
            <v>실     명</v>
          </cell>
        </row>
      </sheetData>
      <sheetData sheetId="4663">
        <row r="2">
          <cell r="A2" t="str">
            <v>실     명</v>
          </cell>
        </row>
      </sheetData>
      <sheetData sheetId="4664">
        <row r="2">
          <cell r="A2" t="str">
            <v>실     명</v>
          </cell>
        </row>
      </sheetData>
      <sheetData sheetId="4665">
        <row r="2">
          <cell r="A2" t="str">
            <v>실     명</v>
          </cell>
        </row>
      </sheetData>
      <sheetData sheetId="4666">
        <row r="2">
          <cell r="A2" t="str">
            <v>실     명</v>
          </cell>
        </row>
      </sheetData>
      <sheetData sheetId="4667">
        <row r="2">
          <cell r="A2" t="str">
            <v>실     명</v>
          </cell>
        </row>
      </sheetData>
      <sheetData sheetId="4668">
        <row r="2">
          <cell r="A2" t="str">
            <v>실     명</v>
          </cell>
        </row>
      </sheetData>
      <sheetData sheetId="4669">
        <row r="2">
          <cell r="A2" t="str">
            <v>실     명</v>
          </cell>
        </row>
      </sheetData>
      <sheetData sheetId="4670">
        <row r="2">
          <cell r="A2" t="str">
            <v>실     명</v>
          </cell>
        </row>
      </sheetData>
      <sheetData sheetId="4671">
        <row r="2">
          <cell r="A2" t="str">
            <v>실     명</v>
          </cell>
        </row>
      </sheetData>
      <sheetData sheetId="4672">
        <row r="2">
          <cell r="A2" t="str">
            <v>실     명</v>
          </cell>
        </row>
      </sheetData>
      <sheetData sheetId="4673">
        <row r="2">
          <cell r="A2" t="str">
            <v>실     명</v>
          </cell>
        </row>
      </sheetData>
      <sheetData sheetId="4674">
        <row r="2">
          <cell r="A2" t="str">
            <v>실     명</v>
          </cell>
        </row>
      </sheetData>
      <sheetData sheetId="4675">
        <row r="2">
          <cell r="A2" t="str">
            <v>실     명</v>
          </cell>
        </row>
      </sheetData>
      <sheetData sheetId="4676">
        <row r="2">
          <cell r="A2" t="str">
            <v>실     명</v>
          </cell>
        </row>
      </sheetData>
      <sheetData sheetId="4677">
        <row r="2">
          <cell r="A2" t="str">
            <v>실     명</v>
          </cell>
        </row>
      </sheetData>
      <sheetData sheetId="4678">
        <row r="2">
          <cell r="A2" t="str">
            <v>실     명</v>
          </cell>
        </row>
      </sheetData>
      <sheetData sheetId="4679">
        <row r="2">
          <cell r="A2" t="str">
            <v>실     명</v>
          </cell>
        </row>
      </sheetData>
      <sheetData sheetId="4680">
        <row r="2">
          <cell r="A2" t="str">
            <v>실     명</v>
          </cell>
        </row>
      </sheetData>
      <sheetData sheetId="4681">
        <row r="2">
          <cell r="A2" t="str">
            <v>실     명</v>
          </cell>
        </row>
      </sheetData>
      <sheetData sheetId="4682">
        <row r="2">
          <cell r="A2" t="str">
            <v>실     명</v>
          </cell>
        </row>
      </sheetData>
      <sheetData sheetId="4683">
        <row r="2">
          <cell r="A2" t="str">
            <v>실     명</v>
          </cell>
        </row>
      </sheetData>
      <sheetData sheetId="4684">
        <row r="2">
          <cell r="A2" t="str">
            <v>실     명</v>
          </cell>
        </row>
      </sheetData>
      <sheetData sheetId="4685">
        <row r="2">
          <cell r="A2" t="str">
            <v>실     명</v>
          </cell>
        </row>
      </sheetData>
      <sheetData sheetId="4686">
        <row r="2">
          <cell r="A2" t="str">
            <v>실     명</v>
          </cell>
        </row>
      </sheetData>
      <sheetData sheetId="4687">
        <row r="2">
          <cell r="A2" t="str">
            <v>실     명</v>
          </cell>
        </row>
      </sheetData>
      <sheetData sheetId="4688">
        <row r="2">
          <cell r="A2" t="str">
            <v>실     명</v>
          </cell>
        </row>
      </sheetData>
      <sheetData sheetId="4689">
        <row r="2">
          <cell r="A2" t="str">
            <v>실     명</v>
          </cell>
        </row>
      </sheetData>
      <sheetData sheetId="4690">
        <row r="2">
          <cell r="A2" t="str">
            <v>실     명</v>
          </cell>
        </row>
      </sheetData>
      <sheetData sheetId="4691">
        <row r="2">
          <cell r="A2" t="str">
            <v>실     명</v>
          </cell>
        </row>
      </sheetData>
      <sheetData sheetId="4692">
        <row r="2">
          <cell r="A2" t="str">
            <v>실     명</v>
          </cell>
        </row>
      </sheetData>
      <sheetData sheetId="4693">
        <row r="2">
          <cell r="A2" t="str">
            <v>실     명</v>
          </cell>
        </row>
      </sheetData>
      <sheetData sheetId="4694">
        <row r="2">
          <cell r="A2" t="str">
            <v>실     명</v>
          </cell>
        </row>
      </sheetData>
      <sheetData sheetId="4695">
        <row r="2">
          <cell r="A2" t="str">
            <v>실     명</v>
          </cell>
        </row>
      </sheetData>
      <sheetData sheetId="4696">
        <row r="2">
          <cell r="A2" t="str">
            <v>실     명</v>
          </cell>
        </row>
      </sheetData>
      <sheetData sheetId="4697">
        <row r="2">
          <cell r="A2" t="str">
            <v>실     명</v>
          </cell>
        </row>
      </sheetData>
      <sheetData sheetId="4698">
        <row r="2">
          <cell r="A2" t="str">
            <v>실     명</v>
          </cell>
        </row>
      </sheetData>
      <sheetData sheetId="4699">
        <row r="2">
          <cell r="A2" t="str">
            <v>실     명</v>
          </cell>
        </row>
      </sheetData>
      <sheetData sheetId="4700">
        <row r="2">
          <cell r="A2" t="str">
            <v>실     명</v>
          </cell>
        </row>
      </sheetData>
      <sheetData sheetId="4701">
        <row r="2">
          <cell r="A2" t="str">
            <v>실     명</v>
          </cell>
        </row>
      </sheetData>
      <sheetData sheetId="4702">
        <row r="2">
          <cell r="A2" t="str">
            <v>실     명</v>
          </cell>
        </row>
      </sheetData>
      <sheetData sheetId="4703">
        <row r="2">
          <cell r="A2" t="str">
            <v>실     명</v>
          </cell>
        </row>
      </sheetData>
      <sheetData sheetId="4704">
        <row r="2">
          <cell r="A2" t="str">
            <v>실     명</v>
          </cell>
        </row>
      </sheetData>
      <sheetData sheetId="4705">
        <row r="2">
          <cell r="A2" t="str">
            <v>실     명</v>
          </cell>
        </row>
      </sheetData>
      <sheetData sheetId="4706">
        <row r="2">
          <cell r="A2" t="str">
            <v>실     명</v>
          </cell>
        </row>
      </sheetData>
      <sheetData sheetId="4707">
        <row r="2">
          <cell r="A2" t="str">
            <v>실     명</v>
          </cell>
        </row>
      </sheetData>
      <sheetData sheetId="4708">
        <row r="2">
          <cell r="A2" t="str">
            <v>실     명</v>
          </cell>
        </row>
      </sheetData>
      <sheetData sheetId="4709">
        <row r="2">
          <cell r="A2" t="str">
            <v>실     명</v>
          </cell>
        </row>
      </sheetData>
      <sheetData sheetId="4710">
        <row r="2">
          <cell r="A2" t="str">
            <v>실     명</v>
          </cell>
        </row>
      </sheetData>
      <sheetData sheetId="4711">
        <row r="2">
          <cell r="A2" t="str">
            <v>실     명</v>
          </cell>
        </row>
      </sheetData>
      <sheetData sheetId="4712">
        <row r="2">
          <cell r="A2" t="str">
            <v>실     명</v>
          </cell>
        </row>
      </sheetData>
      <sheetData sheetId="4713">
        <row r="2">
          <cell r="A2" t="str">
            <v>실     명</v>
          </cell>
        </row>
      </sheetData>
      <sheetData sheetId="4714">
        <row r="2">
          <cell r="A2" t="str">
            <v>실     명</v>
          </cell>
        </row>
      </sheetData>
      <sheetData sheetId="4715">
        <row r="2">
          <cell r="A2" t="str">
            <v>실     명</v>
          </cell>
        </row>
      </sheetData>
      <sheetData sheetId="4716">
        <row r="2">
          <cell r="A2" t="str">
            <v>실     명</v>
          </cell>
        </row>
      </sheetData>
      <sheetData sheetId="4717">
        <row r="2">
          <cell r="A2" t="str">
            <v>실     명</v>
          </cell>
        </row>
      </sheetData>
      <sheetData sheetId="4718">
        <row r="2">
          <cell r="A2" t="str">
            <v>실     명</v>
          </cell>
        </row>
      </sheetData>
      <sheetData sheetId="4719">
        <row r="2">
          <cell r="A2" t="str">
            <v>실     명</v>
          </cell>
        </row>
      </sheetData>
      <sheetData sheetId="4720">
        <row r="2">
          <cell r="A2" t="str">
            <v>실     명</v>
          </cell>
        </row>
      </sheetData>
      <sheetData sheetId="4721">
        <row r="2">
          <cell r="A2" t="str">
            <v>실     명</v>
          </cell>
        </row>
      </sheetData>
      <sheetData sheetId="4722">
        <row r="2">
          <cell r="A2" t="str">
            <v>실     명</v>
          </cell>
        </row>
      </sheetData>
      <sheetData sheetId="4723">
        <row r="2">
          <cell r="A2" t="str">
            <v>실     명</v>
          </cell>
        </row>
      </sheetData>
      <sheetData sheetId="4724">
        <row r="2">
          <cell r="A2" t="str">
            <v>실     명</v>
          </cell>
        </row>
      </sheetData>
      <sheetData sheetId="4725">
        <row r="2">
          <cell r="A2" t="str">
            <v>실     명</v>
          </cell>
        </row>
      </sheetData>
      <sheetData sheetId="4726">
        <row r="2">
          <cell r="A2" t="str">
            <v>실     명</v>
          </cell>
        </row>
      </sheetData>
      <sheetData sheetId="4727">
        <row r="2">
          <cell r="A2" t="str">
            <v>실     명</v>
          </cell>
        </row>
      </sheetData>
      <sheetData sheetId="4728">
        <row r="2">
          <cell r="A2" t="str">
            <v>실     명</v>
          </cell>
        </row>
      </sheetData>
      <sheetData sheetId="4729">
        <row r="2">
          <cell r="A2" t="str">
            <v>실     명</v>
          </cell>
        </row>
      </sheetData>
      <sheetData sheetId="4730">
        <row r="2">
          <cell r="A2" t="str">
            <v>실     명</v>
          </cell>
        </row>
      </sheetData>
      <sheetData sheetId="4731">
        <row r="2">
          <cell r="A2" t="str">
            <v>실     명</v>
          </cell>
        </row>
      </sheetData>
      <sheetData sheetId="4732">
        <row r="2">
          <cell r="A2" t="str">
            <v>실     명</v>
          </cell>
        </row>
      </sheetData>
      <sheetData sheetId="4733">
        <row r="2">
          <cell r="A2" t="str">
            <v>실     명</v>
          </cell>
        </row>
      </sheetData>
      <sheetData sheetId="4734">
        <row r="2">
          <cell r="A2" t="str">
            <v>실     명</v>
          </cell>
        </row>
      </sheetData>
      <sheetData sheetId="4735">
        <row r="2">
          <cell r="A2" t="str">
            <v>실     명</v>
          </cell>
        </row>
      </sheetData>
      <sheetData sheetId="4736">
        <row r="2">
          <cell r="A2" t="str">
            <v>실     명</v>
          </cell>
        </row>
      </sheetData>
      <sheetData sheetId="4737">
        <row r="2">
          <cell r="A2" t="str">
            <v>실     명</v>
          </cell>
        </row>
      </sheetData>
      <sheetData sheetId="4738">
        <row r="2">
          <cell r="A2" t="str">
            <v>실     명</v>
          </cell>
        </row>
      </sheetData>
      <sheetData sheetId="4739">
        <row r="2">
          <cell r="A2" t="str">
            <v>실     명</v>
          </cell>
        </row>
      </sheetData>
      <sheetData sheetId="4740">
        <row r="2">
          <cell r="A2" t="str">
            <v>실     명</v>
          </cell>
        </row>
      </sheetData>
      <sheetData sheetId="4741">
        <row r="2">
          <cell r="A2" t="str">
            <v>실     명</v>
          </cell>
        </row>
      </sheetData>
      <sheetData sheetId="4742">
        <row r="2">
          <cell r="A2" t="str">
            <v>실     명</v>
          </cell>
        </row>
      </sheetData>
      <sheetData sheetId="4743">
        <row r="2">
          <cell r="A2" t="str">
            <v>실     명</v>
          </cell>
        </row>
      </sheetData>
      <sheetData sheetId="4744">
        <row r="2">
          <cell r="A2" t="str">
            <v>실     명</v>
          </cell>
        </row>
      </sheetData>
      <sheetData sheetId="4745">
        <row r="2">
          <cell r="A2" t="str">
            <v>실     명</v>
          </cell>
        </row>
      </sheetData>
      <sheetData sheetId="4746">
        <row r="2">
          <cell r="A2" t="str">
            <v>실     명</v>
          </cell>
        </row>
      </sheetData>
      <sheetData sheetId="4747">
        <row r="2">
          <cell r="A2" t="str">
            <v>실     명</v>
          </cell>
        </row>
      </sheetData>
      <sheetData sheetId="4748">
        <row r="2">
          <cell r="A2" t="str">
            <v>실     명</v>
          </cell>
        </row>
      </sheetData>
      <sheetData sheetId="4749">
        <row r="2">
          <cell r="A2" t="str">
            <v>실     명</v>
          </cell>
        </row>
      </sheetData>
      <sheetData sheetId="4750">
        <row r="2">
          <cell r="A2" t="str">
            <v>실     명</v>
          </cell>
        </row>
      </sheetData>
      <sheetData sheetId="4751">
        <row r="2">
          <cell r="A2" t="str">
            <v>실     명</v>
          </cell>
        </row>
      </sheetData>
      <sheetData sheetId="4752">
        <row r="2">
          <cell r="A2" t="str">
            <v>실     명</v>
          </cell>
        </row>
      </sheetData>
      <sheetData sheetId="4753">
        <row r="2">
          <cell r="A2" t="str">
            <v>실     명</v>
          </cell>
        </row>
      </sheetData>
      <sheetData sheetId="4754">
        <row r="2">
          <cell r="A2" t="str">
            <v>실     명</v>
          </cell>
        </row>
      </sheetData>
      <sheetData sheetId="4755">
        <row r="2">
          <cell r="A2" t="str">
            <v>실     명</v>
          </cell>
        </row>
      </sheetData>
      <sheetData sheetId="4756">
        <row r="2">
          <cell r="A2" t="str">
            <v>실     명</v>
          </cell>
        </row>
      </sheetData>
      <sheetData sheetId="4757">
        <row r="2">
          <cell r="A2" t="str">
            <v>실     명</v>
          </cell>
        </row>
      </sheetData>
      <sheetData sheetId="4758">
        <row r="2">
          <cell r="A2" t="str">
            <v>실     명</v>
          </cell>
        </row>
      </sheetData>
      <sheetData sheetId="4759">
        <row r="2">
          <cell r="A2" t="str">
            <v>실     명</v>
          </cell>
        </row>
      </sheetData>
      <sheetData sheetId="4760">
        <row r="2">
          <cell r="A2" t="str">
            <v>실     명</v>
          </cell>
        </row>
      </sheetData>
      <sheetData sheetId="4761">
        <row r="2">
          <cell r="A2" t="str">
            <v>실     명</v>
          </cell>
        </row>
      </sheetData>
      <sheetData sheetId="4762">
        <row r="2">
          <cell r="A2" t="str">
            <v>실     명</v>
          </cell>
        </row>
      </sheetData>
      <sheetData sheetId="4763">
        <row r="2">
          <cell r="A2" t="str">
            <v>실     명</v>
          </cell>
        </row>
      </sheetData>
      <sheetData sheetId="4764">
        <row r="2">
          <cell r="A2" t="str">
            <v>실     명</v>
          </cell>
        </row>
      </sheetData>
      <sheetData sheetId="4765">
        <row r="2">
          <cell r="A2" t="str">
            <v>실     명</v>
          </cell>
        </row>
      </sheetData>
      <sheetData sheetId="4766">
        <row r="2">
          <cell r="A2" t="str">
            <v>실     명</v>
          </cell>
        </row>
      </sheetData>
      <sheetData sheetId="4767">
        <row r="2">
          <cell r="A2" t="str">
            <v>실     명</v>
          </cell>
        </row>
      </sheetData>
      <sheetData sheetId="4768">
        <row r="2">
          <cell r="A2" t="str">
            <v>실     명</v>
          </cell>
        </row>
      </sheetData>
      <sheetData sheetId="4769">
        <row r="2">
          <cell r="A2" t="str">
            <v>실     명</v>
          </cell>
        </row>
      </sheetData>
      <sheetData sheetId="4770">
        <row r="2">
          <cell r="A2" t="str">
            <v>실     명</v>
          </cell>
        </row>
      </sheetData>
      <sheetData sheetId="4771">
        <row r="2">
          <cell r="A2" t="str">
            <v>실     명</v>
          </cell>
        </row>
      </sheetData>
      <sheetData sheetId="4772">
        <row r="2">
          <cell r="A2" t="str">
            <v>실     명</v>
          </cell>
        </row>
      </sheetData>
      <sheetData sheetId="4773">
        <row r="2">
          <cell r="A2" t="str">
            <v>실     명</v>
          </cell>
        </row>
      </sheetData>
      <sheetData sheetId="4774">
        <row r="2">
          <cell r="A2" t="str">
            <v>실     명</v>
          </cell>
        </row>
      </sheetData>
      <sheetData sheetId="4775">
        <row r="2">
          <cell r="A2" t="str">
            <v>실     명</v>
          </cell>
        </row>
      </sheetData>
      <sheetData sheetId="4776">
        <row r="2">
          <cell r="A2" t="str">
            <v>실     명</v>
          </cell>
        </row>
      </sheetData>
      <sheetData sheetId="4777">
        <row r="2">
          <cell r="A2" t="str">
            <v>실     명</v>
          </cell>
        </row>
      </sheetData>
      <sheetData sheetId="4778">
        <row r="2">
          <cell r="A2" t="str">
            <v>실     명</v>
          </cell>
        </row>
      </sheetData>
      <sheetData sheetId="4779">
        <row r="2">
          <cell r="A2" t="str">
            <v>실     명</v>
          </cell>
        </row>
      </sheetData>
      <sheetData sheetId="4780">
        <row r="2">
          <cell r="A2" t="str">
            <v>실     명</v>
          </cell>
        </row>
      </sheetData>
      <sheetData sheetId="4781">
        <row r="2">
          <cell r="A2" t="str">
            <v>실     명</v>
          </cell>
        </row>
      </sheetData>
      <sheetData sheetId="4782">
        <row r="2">
          <cell r="A2" t="str">
            <v>실     명</v>
          </cell>
        </row>
      </sheetData>
      <sheetData sheetId="4783">
        <row r="2">
          <cell r="A2" t="str">
            <v>실     명</v>
          </cell>
        </row>
      </sheetData>
      <sheetData sheetId="4784">
        <row r="2">
          <cell r="A2" t="str">
            <v>실     명</v>
          </cell>
        </row>
      </sheetData>
      <sheetData sheetId="4785">
        <row r="2">
          <cell r="A2" t="str">
            <v>실     명</v>
          </cell>
        </row>
      </sheetData>
      <sheetData sheetId="4786">
        <row r="2">
          <cell r="A2" t="str">
            <v>실     명</v>
          </cell>
        </row>
      </sheetData>
      <sheetData sheetId="4787">
        <row r="2">
          <cell r="A2" t="str">
            <v>실     명</v>
          </cell>
        </row>
      </sheetData>
      <sheetData sheetId="4788">
        <row r="2">
          <cell r="A2" t="str">
            <v>실     명</v>
          </cell>
        </row>
      </sheetData>
      <sheetData sheetId="4789">
        <row r="2">
          <cell r="A2" t="str">
            <v>실     명</v>
          </cell>
        </row>
      </sheetData>
      <sheetData sheetId="4790">
        <row r="2">
          <cell r="A2" t="str">
            <v>실     명</v>
          </cell>
        </row>
      </sheetData>
      <sheetData sheetId="4791">
        <row r="2">
          <cell r="A2" t="str">
            <v>실     명</v>
          </cell>
        </row>
      </sheetData>
      <sheetData sheetId="4792">
        <row r="2">
          <cell r="A2" t="str">
            <v>실     명</v>
          </cell>
        </row>
      </sheetData>
      <sheetData sheetId="4793">
        <row r="2">
          <cell r="A2" t="str">
            <v>실     명</v>
          </cell>
        </row>
      </sheetData>
      <sheetData sheetId="4794">
        <row r="2">
          <cell r="A2" t="str">
            <v>실     명</v>
          </cell>
        </row>
      </sheetData>
      <sheetData sheetId="4795">
        <row r="2">
          <cell r="A2" t="str">
            <v>실     명</v>
          </cell>
        </row>
      </sheetData>
      <sheetData sheetId="4796">
        <row r="2">
          <cell r="A2" t="str">
            <v>실     명</v>
          </cell>
        </row>
      </sheetData>
      <sheetData sheetId="4797">
        <row r="2">
          <cell r="A2" t="str">
            <v>실     명</v>
          </cell>
        </row>
      </sheetData>
      <sheetData sheetId="4798">
        <row r="2">
          <cell r="A2" t="str">
            <v>실     명</v>
          </cell>
        </row>
      </sheetData>
      <sheetData sheetId="4799">
        <row r="2">
          <cell r="A2" t="str">
            <v>실     명</v>
          </cell>
        </row>
      </sheetData>
      <sheetData sheetId="4800">
        <row r="2">
          <cell r="A2" t="str">
            <v>실     명</v>
          </cell>
        </row>
      </sheetData>
      <sheetData sheetId="4801">
        <row r="2">
          <cell r="A2" t="str">
            <v>실     명</v>
          </cell>
        </row>
      </sheetData>
      <sheetData sheetId="4802">
        <row r="2">
          <cell r="A2" t="str">
            <v>실     명</v>
          </cell>
        </row>
      </sheetData>
      <sheetData sheetId="4803">
        <row r="2">
          <cell r="A2" t="str">
            <v>실     명</v>
          </cell>
        </row>
      </sheetData>
      <sheetData sheetId="4804">
        <row r="2">
          <cell r="A2" t="str">
            <v>실     명</v>
          </cell>
        </row>
      </sheetData>
      <sheetData sheetId="4805">
        <row r="2">
          <cell r="A2" t="str">
            <v>실     명</v>
          </cell>
        </row>
      </sheetData>
      <sheetData sheetId="4806">
        <row r="2">
          <cell r="A2" t="str">
            <v>실     명</v>
          </cell>
        </row>
      </sheetData>
      <sheetData sheetId="4807">
        <row r="2">
          <cell r="A2" t="str">
            <v>실     명</v>
          </cell>
        </row>
      </sheetData>
      <sheetData sheetId="4808">
        <row r="2">
          <cell r="A2" t="str">
            <v>실     명</v>
          </cell>
        </row>
      </sheetData>
      <sheetData sheetId="4809">
        <row r="2">
          <cell r="A2" t="str">
            <v>실     명</v>
          </cell>
        </row>
      </sheetData>
      <sheetData sheetId="4810">
        <row r="2">
          <cell r="A2" t="str">
            <v>실     명</v>
          </cell>
        </row>
      </sheetData>
      <sheetData sheetId="4811">
        <row r="2">
          <cell r="A2" t="str">
            <v>실     명</v>
          </cell>
        </row>
      </sheetData>
      <sheetData sheetId="4812">
        <row r="2">
          <cell r="A2" t="str">
            <v>실     명</v>
          </cell>
        </row>
      </sheetData>
      <sheetData sheetId="4813">
        <row r="2">
          <cell r="A2" t="str">
            <v>실     명</v>
          </cell>
        </row>
      </sheetData>
      <sheetData sheetId="4814">
        <row r="2">
          <cell r="A2" t="str">
            <v>실     명</v>
          </cell>
        </row>
      </sheetData>
      <sheetData sheetId="4815">
        <row r="2">
          <cell r="A2" t="str">
            <v>실     명</v>
          </cell>
        </row>
      </sheetData>
      <sheetData sheetId="4816">
        <row r="2">
          <cell r="A2" t="str">
            <v>실     명</v>
          </cell>
        </row>
      </sheetData>
      <sheetData sheetId="4817">
        <row r="2">
          <cell r="A2" t="str">
            <v>실     명</v>
          </cell>
        </row>
      </sheetData>
      <sheetData sheetId="4818">
        <row r="2">
          <cell r="A2" t="str">
            <v>실     명</v>
          </cell>
        </row>
      </sheetData>
      <sheetData sheetId="4819">
        <row r="2">
          <cell r="A2" t="str">
            <v>실     명</v>
          </cell>
        </row>
      </sheetData>
      <sheetData sheetId="4820">
        <row r="2">
          <cell r="A2" t="str">
            <v>실     명</v>
          </cell>
        </row>
      </sheetData>
      <sheetData sheetId="4821">
        <row r="2">
          <cell r="A2" t="str">
            <v>실     명</v>
          </cell>
        </row>
      </sheetData>
      <sheetData sheetId="4822">
        <row r="2">
          <cell r="A2" t="str">
            <v>실     명</v>
          </cell>
        </row>
      </sheetData>
      <sheetData sheetId="4823">
        <row r="2">
          <cell r="A2" t="str">
            <v>실     명</v>
          </cell>
        </row>
      </sheetData>
      <sheetData sheetId="4824">
        <row r="2">
          <cell r="A2" t="str">
            <v>실     명</v>
          </cell>
        </row>
      </sheetData>
      <sheetData sheetId="4825">
        <row r="2">
          <cell r="A2" t="str">
            <v>실     명</v>
          </cell>
        </row>
      </sheetData>
      <sheetData sheetId="4826">
        <row r="2">
          <cell r="A2" t="str">
            <v>실     명</v>
          </cell>
        </row>
      </sheetData>
      <sheetData sheetId="4827">
        <row r="2">
          <cell r="A2" t="str">
            <v>실     명</v>
          </cell>
        </row>
      </sheetData>
      <sheetData sheetId="4828">
        <row r="2">
          <cell r="A2" t="str">
            <v>실     명</v>
          </cell>
        </row>
      </sheetData>
      <sheetData sheetId="4829">
        <row r="2">
          <cell r="A2" t="str">
            <v>실     명</v>
          </cell>
        </row>
      </sheetData>
      <sheetData sheetId="4830">
        <row r="2">
          <cell r="A2" t="str">
            <v>실     명</v>
          </cell>
        </row>
      </sheetData>
      <sheetData sheetId="4831">
        <row r="2">
          <cell r="A2" t="str">
            <v>실     명</v>
          </cell>
        </row>
      </sheetData>
      <sheetData sheetId="4832">
        <row r="2">
          <cell r="A2" t="str">
            <v>실     명</v>
          </cell>
        </row>
      </sheetData>
      <sheetData sheetId="4833">
        <row r="2">
          <cell r="A2" t="str">
            <v>실     명</v>
          </cell>
        </row>
      </sheetData>
      <sheetData sheetId="4834">
        <row r="2">
          <cell r="A2" t="str">
            <v>실     명</v>
          </cell>
        </row>
      </sheetData>
      <sheetData sheetId="4835">
        <row r="2">
          <cell r="A2" t="str">
            <v>실     명</v>
          </cell>
        </row>
      </sheetData>
      <sheetData sheetId="4836">
        <row r="2">
          <cell r="A2" t="str">
            <v>실     명</v>
          </cell>
        </row>
      </sheetData>
      <sheetData sheetId="4837">
        <row r="2">
          <cell r="A2" t="str">
            <v>실     명</v>
          </cell>
        </row>
      </sheetData>
      <sheetData sheetId="4838">
        <row r="2">
          <cell r="A2" t="str">
            <v>실     명</v>
          </cell>
        </row>
      </sheetData>
      <sheetData sheetId="4839">
        <row r="2">
          <cell r="A2" t="str">
            <v>실     명</v>
          </cell>
        </row>
      </sheetData>
      <sheetData sheetId="4840">
        <row r="2">
          <cell r="A2" t="str">
            <v>실     명</v>
          </cell>
        </row>
      </sheetData>
      <sheetData sheetId="4841">
        <row r="2">
          <cell r="A2" t="str">
            <v>실     명</v>
          </cell>
        </row>
      </sheetData>
      <sheetData sheetId="4842">
        <row r="2">
          <cell r="A2" t="str">
            <v>실     명</v>
          </cell>
        </row>
      </sheetData>
      <sheetData sheetId="4843">
        <row r="2">
          <cell r="A2" t="str">
            <v>실     명</v>
          </cell>
        </row>
      </sheetData>
      <sheetData sheetId="4844">
        <row r="2">
          <cell r="A2" t="str">
            <v>실     명</v>
          </cell>
        </row>
      </sheetData>
      <sheetData sheetId="4845">
        <row r="2">
          <cell r="A2" t="str">
            <v>실     명</v>
          </cell>
        </row>
      </sheetData>
      <sheetData sheetId="4846">
        <row r="2">
          <cell r="A2" t="str">
            <v>실     명</v>
          </cell>
        </row>
      </sheetData>
      <sheetData sheetId="4847">
        <row r="2">
          <cell r="A2" t="str">
            <v>실     명</v>
          </cell>
        </row>
      </sheetData>
      <sheetData sheetId="4848">
        <row r="2">
          <cell r="A2" t="str">
            <v>실     명</v>
          </cell>
        </row>
      </sheetData>
      <sheetData sheetId="4849">
        <row r="2">
          <cell r="A2" t="str">
            <v>실     명</v>
          </cell>
        </row>
      </sheetData>
      <sheetData sheetId="4850">
        <row r="2">
          <cell r="A2" t="str">
            <v>실     명</v>
          </cell>
        </row>
      </sheetData>
      <sheetData sheetId="4851">
        <row r="2">
          <cell r="A2" t="str">
            <v>실     명</v>
          </cell>
        </row>
      </sheetData>
      <sheetData sheetId="4852">
        <row r="2">
          <cell r="A2" t="str">
            <v>실     명</v>
          </cell>
        </row>
      </sheetData>
      <sheetData sheetId="4853">
        <row r="2">
          <cell r="A2" t="str">
            <v>실     명</v>
          </cell>
        </row>
      </sheetData>
      <sheetData sheetId="4854">
        <row r="2">
          <cell r="A2" t="str">
            <v>실     명</v>
          </cell>
        </row>
      </sheetData>
      <sheetData sheetId="4855">
        <row r="2">
          <cell r="A2" t="str">
            <v>실     명</v>
          </cell>
        </row>
      </sheetData>
      <sheetData sheetId="4856">
        <row r="2">
          <cell r="A2" t="str">
            <v>실     명</v>
          </cell>
        </row>
      </sheetData>
      <sheetData sheetId="4857">
        <row r="2">
          <cell r="A2" t="str">
            <v>실     명</v>
          </cell>
        </row>
      </sheetData>
      <sheetData sheetId="4858">
        <row r="2">
          <cell r="A2" t="str">
            <v>실     명</v>
          </cell>
        </row>
      </sheetData>
      <sheetData sheetId="4859">
        <row r="2">
          <cell r="A2" t="str">
            <v>실     명</v>
          </cell>
        </row>
      </sheetData>
      <sheetData sheetId="4860">
        <row r="2">
          <cell r="A2" t="str">
            <v>실     명</v>
          </cell>
        </row>
      </sheetData>
      <sheetData sheetId="4861">
        <row r="2">
          <cell r="A2" t="str">
            <v>실     명</v>
          </cell>
        </row>
      </sheetData>
      <sheetData sheetId="4862">
        <row r="2">
          <cell r="A2" t="str">
            <v>실     명</v>
          </cell>
        </row>
      </sheetData>
      <sheetData sheetId="4863">
        <row r="2">
          <cell r="A2" t="str">
            <v>실     명</v>
          </cell>
        </row>
      </sheetData>
      <sheetData sheetId="4864">
        <row r="2">
          <cell r="A2" t="str">
            <v>실     명</v>
          </cell>
        </row>
      </sheetData>
      <sheetData sheetId="4865">
        <row r="2">
          <cell r="A2" t="str">
            <v>실     명</v>
          </cell>
        </row>
      </sheetData>
      <sheetData sheetId="4866">
        <row r="2">
          <cell r="A2" t="str">
            <v>실     명</v>
          </cell>
        </row>
      </sheetData>
      <sheetData sheetId="4867">
        <row r="2">
          <cell r="A2" t="str">
            <v>실     명</v>
          </cell>
        </row>
      </sheetData>
      <sheetData sheetId="4868">
        <row r="2">
          <cell r="A2" t="str">
            <v>실     명</v>
          </cell>
        </row>
      </sheetData>
      <sheetData sheetId="4869">
        <row r="2">
          <cell r="A2" t="str">
            <v>실     명</v>
          </cell>
        </row>
      </sheetData>
      <sheetData sheetId="4870">
        <row r="2">
          <cell r="A2" t="str">
            <v>실     명</v>
          </cell>
        </row>
      </sheetData>
      <sheetData sheetId="4871">
        <row r="2">
          <cell r="A2" t="str">
            <v>실     명</v>
          </cell>
        </row>
      </sheetData>
      <sheetData sheetId="4872">
        <row r="2">
          <cell r="A2" t="str">
            <v>실     명</v>
          </cell>
        </row>
      </sheetData>
      <sheetData sheetId="4873">
        <row r="2">
          <cell r="A2" t="str">
            <v>실     명</v>
          </cell>
        </row>
      </sheetData>
      <sheetData sheetId="4874">
        <row r="2">
          <cell r="A2" t="str">
            <v>실     명</v>
          </cell>
        </row>
      </sheetData>
      <sheetData sheetId="4875">
        <row r="2">
          <cell r="A2" t="str">
            <v>실     명</v>
          </cell>
        </row>
      </sheetData>
      <sheetData sheetId="4876">
        <row r="2">
          <cell r="A2" t="str">
            <v>실     명</v>
          </cell>
        </row>
      </sheetData>
      <sheetData sheetId="4877">
        <row r="2">
          <cell r="A2" t="str">
            <v>실     명</v>
          </cell>
        </row>
      </sheetData>
      <sheetData sheetId="4878">
        <row r="2">
          <cell r="A2" t="str">
            <v>실     명</v>
          </cell>
        </row>
      </sheetData>
      <sheetData sheetId="4879">
        <row r="2">
          <cell r="A2" t="str">
            <v>실     명</v>
          </cell>
        </row>
      </sheetData>
      <sheetData sheetId="4880">
        <row r="2">
          <cell r="A2" t="str">
            <v>실     명</v>
          </cell>
        </row>
      </sheetData>
      <sheetData sheetId="4881">
        <row r="2">
          <cell r="A2" t="str">
            <v>실     명</v>
          </cell>
        </row>
      </sheetData>
      <sheetData sheetId="4882">
        <row r="2">
          <cell r="A2" t="str">
            <v>실     명</v>
          </cell>
        </row>
      </sheetData>
      <sheetData sheetId="4883">
        <row r="2">
          <cell r="A2" t="str">
            <v>실     명</v>
          </cell>
        </row>
      </sheetData>
      <sheetData sheetId="4884">
        <row r="2">
          <cell r="A2" t="str">
            <v>실     명</v>
          </cell>
        </row>
      </sheetData>
      <sheetData sheetId="4885">
        <row r="2">
          <cell r="A2" t="str">
            <v>실     명</v>
          </cell>
        </row>
      </sheetData>
      <sheetData sheetId="4886">
        <row r="2">
          <cell r="A2" t="str">
            <v>실     명</v>
          </cell>
        </row>
      </sheetData>
      <sheetData sheetId="4887">
        <row r="2">
          <cell r="A2" t="str">
            <v>실     명</v>
          </cell>
        </row>
      </sheetData>
      <sheetData sheetId="4888">
        <row r="2">
          <cell r="A2" t="str">
            <v>실     명</v>
          </cell>
        </row>
      </sheetData>
      <sheetData sheetId="4889">
        <row r="2">
          <cell r="A2" t="str">
            <v>실     명</v>
          </cell>
        </row>
      </sheetData>
      <sheetData sheetId="4890">
        <row r="2">
          <cell r="A2" t="str">
            <v>실     명</v>
          </cell>
        </row>
      </sheetData>
      <sheetData sheetId="4891">
        <row r="2">
          <cell r="A2" t="str">
            <v>실     명</v>
          </cell>
        </row>
      </sheetData>
      <sheetData sheetId="4892">
        <row r="2">
          <cell r="A2" t="str">
            <v>실     명</v>
          </cell>
        </row>
      </sheetData>
      <sheetData sheetId="4893">
        <row r="2">
          <cell r="A2" t="str">
            <v>실     명</v>
          </cell>
        </row>
      </sheetData>
      <sheetData sheetId="4894">
        <row r="2">
          <cell r="A2" t="str">
            <v>실     명</v>
          </cell>
        </row>
      </sheetData>
      <sheetData sheetId="4895">
        <row r="2">
          <cell r="A2" t="str">
            <v>실     명</v>
          </cell>
        </row>
      </sheetData>
      <sheetData sheetId="4896">
        <row r="2">
          <cell r="A2" t="str">
            <v>실     명</v>
          </cell>
        </row>
      </sheetData>
      <sheetData sheetId="4897">
        <row r="2">
          <cell r="A2" t="str">
            <v>실     명</v>
          </cell>
        </row>
      </sheetData>
      <sheetData sheetId="4898">
        <row r="2">
          <cell r="A2" t="str">
            <v>실     명</v>
          </cell>
        </row>
      </sheetData>
      <sheetData sheetId="4899">
        <row r="2">
          <cell r="A2" t="str">
            <v>실     명</v>
          </cell>
        </row>
      </sheetData>
      <sheetData sheetId="4900">
        <row r="2">
          <cell r="A2" t="str">
            <v>실     명</v>
          </cell>
        </row>
      </sheetData>
      <sheetData sheetId="4901">
        <row r="2">
          <cell r="A2" t="str">
            <v>실     명</v>
          </cell>
        </row>
      </sheetData>
      <sheetData sheetId="4902">
        <row r="2">
          <cell r="A2" t="str">
            <v>실     명</v>
          </cell>
        </row>
      </sheetData>
      <sheetData sheetId="4903">
        <row r="2">
          <cell r="A2" t="str">
            <v>실     명</v>
          </cell>
        </row>
      </sheetData>
      <sheetData sheetId="4904">
        <row r="2">
          <cell r="A2" t="str">
            <v>실     명</v>
          </cell>
        </row>
      </sheetData>
      <sheetData sheetId="4905">
        <row r="2">
          <cell r="A2" t="str">
            <v>실     명</v>
          </cell>
        </row>
      </sheetData>
      <sheetData sheetId="4906">
        <row r="2">
          <cell r="A2" t="str">
            <v>실     명</v>
          </cell>
        </row>
      </sheetData>
      <sheetData sheetId="4907">
        <row r="2">
          <cell r="A2" t="str">
            <v>실     명</v>
          </cell>
        </row>
      </sheetData>
      <sheetData sheetId="4908">
        <row r="2">
          <cell r="A2" t="str">
            <v>실     명</v>
          </cell>
        </row>
      </sheetData>
      <sheetData sheetId="4909">
        <row r="2">
          <cell r="A2" t="str">
            <v>실     명</v>
          </cell>
        </row>
      </sheetData>
      <sheetData sheetId="4910">
        <row r="2">
          <cell r="A2" t="str">
            <v>실     명</v>
          </cell>
        </row>
      </sheetData>
      <sheetData sheetId="4911">
        <row r="2">
          <cell r="A2" t="str">
            <v>실     명</v>
          </cell>
        </row>
      </sheetData>
      <sheetData sheetId="4912">
        <row r="2">
          <cell r="A2" t="str">
            <v>실     명</v>
          </cell>
        </row>
      </sheetData>
      <sheetData sheetId="4913">
        <row r="2">
          <cell r="A2" t="str">
            <v>실     명</v>
          </cell>
        </row>
      </sheetData>
      <sheetData sheetId="4914">
        <row r="2">
          <cell r="A2" t="str">
            <v>실     명</v>
          </cell>
        </row>
      </sheetData>
      <sheetData sheetId="4915">
        <row r="2">
          <cell r="A2" t="str">
            <v>실     명</v>
          </cell>
        </row>
      </sheetData>
      <sheetData sheetId="4916">
        <row r="2">
          <cell r="A2" t="str">
            <v>실     명</v>
          </cell>
        </row>
      </sheetData>
      <sheetData sheetId="4917">
        <row r="2">
          <cell r="A2" t="str">
            <v>실     명</v>
          </cell>
        </row>
      </sheetData>
      <sheetData sheetId="4918">
        <row r="2">
          <cell r="A2" t="str">
            <v>실     명</v>
          </cell>
        </row>
      </sheetData>
      <sheetData sheetId="4919">
        <row r="2">
          <cell r="A2" t="str">
            <v>실     명</v>
          </cell>
        </row>
      </sheetData>
      <sheetData sheetId="4920">
        <row r="2">
          <cell r="A2" t="str">
            <v>실     명</v>
          </cell>
        </row>
      </sheetData>
      <sheetData sheetId="4921">
        <row r="2">
          <cell r="A2" t="str">
            <v>실     명</v>
          </cell>
        </row>
      </sheetData>
      <sheetData sheetId="4922">
        <row r="2">
          <cell r="A2" t="str">
            <v>실     명</v>
          </cell>
        </row>
      </sheetData>
      <sheetData sheetId="4923">
        <row r="2">
          <cell r="A2" t="str">
            <v>실     명</v>
          </cell>
        </row>
      </sheetData>
      <sheetData sheetId="4924">
        <row r="2">
          <cell r="A2" t="str">
            <v>실     명</v>
          </cell>
        </row>
      </sheetData>
      <sheetData sheetId="4925">
        <row r="2">
          <cell r="A2" t="str">
            <v>실     명</v>
          </cell>
        </row>
      </sheetData>
      <sheetData sheetId="4926">
        <row r="2">
          <cell r="A2" t="str">
            <v>실     명</v>
          </cell>
        </row>
      </sheetData>
      <sheetData sheetId="4927">
        <row r="2">
          <cell r="A2" t="str">
            <v>실     명</v>
          </cell>
        </row>
      </sheetData>
      <sheetData sheetId="4928">
        <row r="2">
          <cell r="A2" t="str">
            <v>실     명</v>
          </cell>
        </row>
      </sheetData>
      <sheetData sheetId="4929">
        <row r="2">
          <cell r="A2" t="str">
            <v>실     명</v>
          </cell>
        </row>
      </sheetData>
      <sheetData sheetId="4930">
        <row r="2">
          <cell r="A2" t="str">
            <v>실     명</v>
          </cell>
        </row>
      </sheetData>
      <sheetData sheetId="4931">
        <row r="2">
          <cell r="A2" t="str">
            <v>실     명</v>
          </cell>
        </row>
      </sheetData>
      <sheetData sheetId="4932">
        <row r="2">
          <cell r="A2" t="str">
            <v>실     명</v>
          </cell>
        </row>
      </sheetData>
      <sheetData sheetId="4933">
        <row r="2">
          <cell r="A2" t="str">
            <v>실     명</v>
          </cell>
        </row>
      </sheetData>
      <sheetData sheetId="4934">
        <row r="2">
          <cell r="A2" t="str">
            <v>실     명</v>
          </cell>
        </row>
      </sheetData>
      <sheetData sheetId="4935">
        <row r="2">
          <cell r="A2" t="str">
            <v>실     명</v>
          </cell>
        </row>
      </sheetData>
      <sheetData sheetId="4936">
        <row r="2">
          <cell r="A2" t="str">
            <v>실     명</v>
          </cell>
        </row>
      </sheetData>
      <sheetData sheetId="4937">
        <row r="2">
          <cell r="A2" t="str">
            <v>실     명</v>
          </cell>
        </row>
      </sheetData>
      <sheetData sheetId="4938">
        <row r="2">
          <cell r="A2" t="str">
            <v>실     명</v>
          </cell>
        </row>
      </sheetData>
      <sheetData sheetId="4939">
        <row r="2">
          <cell r="A2" t="str">
            <v>실     명</v>
          </cell>
        </row>
      </sheetData>
      <sheetData sheetId="4940">
        <row r="2">
          <cell r="A2" t="str">
            <v>실     명</v>
          </cell>
        </row>
      </sheetData>
      <sheetData sheetId="4941">
        <row r="2">
          <cell r="A2" t="str">
            <v>실     명</v>
          </cell>
        </row>
      </sheetData>
      <sheetData sheetId="4942">
        <row r="2">
          <cell r="A2" t="str">
            <v>실     명</v>
          </cell>
        </row>
      </sheetData>
      <sheetData sheetId="4943">
        <row r="2">
          <cell r="A2" t="str">
            <v>실     명</v>
          </cell>
        </row>
      </sheetData>
      <sheetData sheetId="4944">
        <row r="2">
          <cell r="A2" t="str">
            <v>실     명</v>
          </cell>
        </row>
      </sheetData>
      <sheetData sheetId="4945">
        <row r="2">
          <cell r="A2" t="str">
            <v>실     명</v>
          </cell>
        </row>
      </sheetData>
      <sheetData sheetId="4946">
        <row r="2">
          <cell r="A2" t="str">
            <v>실     명</v>
          </cell>
        </row>
      </sheetData>
      <sheetData sheetId="4947">
        <row r="2">
          <cell r="A2" t="str">
            <v>실     명</v>
          </cell>
        </row>
      </sheetData>
      <sheetData sheetId="4948">
        <row r="2">
          <cell r="A2" t="str">
            <v>실     명</v>
          </cell>
        </row>
      </sheetData>
      <sheetData sheetId="4949">
        <row r="2">
          <cell r="A2" t="str">
            <v>실     명</v>
          </cell>
        </row>
      </sheetData>
      <sheetData sheetId="4950">
        <row r="2">
          <cell r="A2" t="str">
            <v>실     명</v>
          </cell>
        </row>
      </sheetData>
      <sheetData sheetId="4951">
        <row r="2">
          <cell r="A2" t="str">
            <v>실     명</v>
          </cell>
        </row>
      </sheetData>
      <sheetData sheetId="4952">
        <row r="2">
          <cell r="A2" t="str">
            <v>실     명</v>
          </cell>
        </row>
      </sheetData>
      <sheetData sheetId="4953">
        <row r="2">
          <cell r="A2" t="str">
            <v>실     명</v>
          </cell>
        </row>
      </sheetData>
      <sheetData sheetId="4954">
        <row r="2">
          <cell r="A2" t="str">
            <v>실     명</v>
          </cell>
        </row>
      </sheetData>
      <sheetData sheetId="4955">
        <row r="2">
          <cell r="A2" t="str">
            <v>실     명</v>
          </cell>
        </row>
      </sheetData>
      <sheetData sheetId="4956">
        <row r="2">
          <cell r="A2" t="str">
            <v>실     명</v>
          </cell>
        </row>
      </sheetData>
      <sheetData sheetId="4957">
        <row r="2">
          <cell r="A2" t="str">
            <v>실     명</v>
          </cell>
        </row>
      </sheetData>
      <sheetData sheetId="4958">
        <row r="2">
          <cell r="A2" t="str">
            <v>실     명</v>
          </cell>
        </row>
      </sheetData>
      <sheetData sheetId="4959">
        <row r="2">
          <cell r="A2" t="str">
            <v>실     명</v>
          </cell>
        </row>
      </sheetData>
      <sheetData sheetId="4960">
        <row r="2">
          <cell r="A2" t="str">
            <v>실     명</v>
          </cell>
        </row>
      </sheetData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>
        <row r="2">
          <cell r="A2" t="str">
            <v>실     명</v>
          </cell>
        </row>
      </sheetData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>
        <row r="2">
          <cell r="A2" t="str">
            <v>실     명</v>
          </cell>
        </row>
      </sheetData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>
        <row r="2">
          <cell r="A2" t="str">
            <v>실     명</v>
          </cell>
        </row>
      </sheetData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/>
      <sheetData sheetId="5074"/>
      <sheetData sheetId="5075"/>
      <sheetData sheetId="5076"/>
      <sheetData sheetId="5077"/>
      <sheetData sheetId="5078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/>
      <sheetData sheetId="5090">
        <row r="2">
          <cell r="A2" t="str">
            <v>실     명</v>
          </cell>
        </row>
      </sheetData>
      <sheetData sheetId="5091">
        <row r="2">
          <cell r="A2" t="str">
            <v>실     명</v>
          </cell>
        </row>
      </sheetData>
      <sheetData sheetId="5092">
        <row r="2">
          <cell r="A2" t="str">
            <v>실     명</v>
          </cell>
        </row>
      </sheetData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>
        <row r="2">
          <cell r="A2" t="str">
            <v>실     명</v>
          </cell>
        </row>
      </sheetData>
      <sheetData sheetId="5102">
        <row r="2">
          <cell r="A2" t="str">
            <v>실     명</v>
          </cell>
        </row>
      </sheetData>
      <sheetData sheetId="5103">
        <row r="2">
          <cell r="A2" t="str">
            <v>실     명</v>
          </cell>
        </row>
      </sheetData>
      <sheetData sheetId="5104">
        <row r="2">
          <cell r="A2" t="str">
            <v>실     명</v>
          </cell>
        </row>
      </sheetData>
      <sheetData sheetId="5105">
        <row r="2">
          <cell r="A2" t="str">
            <v>실     명</v>
          </cell>
        </row>
      </sheetData>
      <sheetData sheetId="5106">
        <row r="2">
          <cell r="A2" t="str">
            <v>실     명</v>
          </cell>
        </row>
      </sheetData>
      <sheetData sheetId="5107">
        <row r="2">
          <cell r="A2" t="str">
            <v>실     명</v>
          </cell>
        </row>
      </sheetData>
      <sheetData sheetId="5108">
        <row r="2">
          <cell r="A2" t="str">
            <v>실     명</v>
          </cell>
        </row>
      </sheetData>
      <sheetData sheetId="5109">
        <row r="2">
          <cell r="A2" t="str">
            <v>실     명</v>
          </cell>
        </row>
      </sheetData>
      <sheetData sheetId="5110">
        <row r="2">
          <cell r="A2" t="str">
            <v>실     명</v>
          </cell>
        </row>
      </sheetData>
      <sheetData sheetId="5111">
        <row r="2">
          <cell r="A2" t="str">
            <v>실     명</v>
          </cell>
        </row>
      </sheetData>
      <sheetData sheetId="5112">
        <row r="2">
          <cell r="A2" t="str">
            <v>실     명</v>
          </cell>
        </row>
      </sheetData>
      <sheetData sheetId="5113">
        <row r="2">
          <cell r="A2" t="str">
            <v>실     명</v>
          </cell>
        </row>
      </sheetData>
      <sheetData sheetId="5114">
        <row r="2">
          <cell r="A2" t="str">
            <v>실     명</v>
          </cell>
        </row>
      </sheetData>
      <sheetData sheetId="5115"/>
      <sheetData sheetId="5116">
        <row r="2">
          <cell r="A2" t="str">
            <v>실     명</v>
          </cell>
        </row>
      </sheetData>
      <sheetData sheetId="5117">
        <row r="2">
          <cell r="A2" t="str">
            <v>실     명</v>
          </cell>
        </row>
      </sheetData>
      <sheetData sheetId="5118">
        <row r="2">
          <cell r="A2" t="str">
            <v>실     명</v>
          </cell>
        </row>
      </sheetData>
      <sheetData sheetId="5119">
        <row r="2">
          <cell r="A2" t="str">
            <v>실     명</v>
          </cell>
        </row>
      </sheetData>
      <sheetData sheetId="5120">
        <row r="2">
          <cell r="A2" t="str">
            <v>실     명</v>
          </cell>
        </row>
      </sheetData>
      <sheetData sheetId="5121">
        <row r="2">
          <cell r="A2" t="str">
            <v>실     명</v>
          </cell>
        </row>
      </sheetData>
      <sheetData sheetId="5122" refreshError="1"/>
      <sheetData sheetId="5123" refreshError="1"/>
      <sheetData sheetId="5124" refreshError="1"/>
      <sheetData sheetId="5125"/>
      <sheetData sheetId="5126"/>
      <sheetData sheetId="5127"/>
      <sheetData sheetId="5128"/>
      <sheetData sheetId="5129"/>
      <sheetData sheetId="5130"/>
      <sheetData sheetId="513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/>
      <sheetData sheetId="5215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/>
      <sheetData sheetId="5305"/>
      <sheetData sheetId="5306"/>
      <sheetData sheetId="5307"/>
      <sheetData sheetId="5308"/>
      <sheetData sheetId="5309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/>
      <sheetData sheetId="5508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/>
      <sheetData sheetId="5583"/>
      <sheetData sheetId="5584"/>
      <sheetData sheetId="5585" refreshError="1"/>
      <sheetData sheetId="5586" refreshError="1"/>
      <sheetData sheetId="5587" refreshError="1"/>
      <sheetData sheetId="5588"/>
      <sheetData sheetId="5589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/>
      <sheetData sheetId="5601" refreshError="1"/>
      <sheetData sheetId="5602" refreshError="1"/>
      <sheetData sheetId="5603" refreshError="1"/>
      <sheetData sheetId="5604"/>
      <sheetData sheetId="5605"/>
      <sheetData sheetId="5606" refreshError="1"/>
      <sheetData sheetId="5607" refreshError="1"/>
      <sheetData sheetId="5608"/>
      <sheetData sheetId="5609"/>
      <sheetData sheetId="5610" refreshError="1"/>
      <sheetData sheetId="5611" refreshError="1"/>
      <sheetData sheetId="5612"/>
      <sheetData sheetId="5613" refreshError="1"/>
      <sheetData sheetId="5614" refreshError="1"/>
      <sheetData sheetId="5615" refreshError="1"/>
      <sheetData sheetId="5616"/>
      <sheetData sheetId="5617" refreshError="1"/>
      <sheetData sheetId="5618"/>
      <sheetData sheetId="5619"/>
      <sheetData sheetId="5620"/>
      <sheetData sheetId="562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/>
      <sheetData sheetId="5677">
        <row r="2">
          <cell r="A2" t="str">
            <v>실     명</v>
          </cell>
        </row>
      </sheetData>
      <sheetData sheetId="5678">
        <row r="2">
          <cell r="A2" t="str">
            <v>실     명</v>
          </cell>
        </row>
      </sheetData>
      <sheetData sheetId="5679">
        <row r="2">
          <cell r="A2" t="str">
            <v>실     명</v>
          </cell>
        </row>
      </sheetData>
      <sheetData sheetId="5680">
        <row r="2">
          <cell r="A2" t="str">
            <v>실     명</v>
          </cell>
        </row>
      </sheetData>
      <sheetData sheetId="5681">
        <row r="2">
          <cell r="A2" t="str">
            <v>실     명</v>
          </cell>
        </row>
      </sheetData>
      <sheetData sheetId="5682">
        <row r="2">
          <cell r="A2" t="str">
            <v>실     명</v>
          </cell>
        </row>
      </sheetData>
      <sheetData sheetId="5683"/>
      <sheetData sheetId="5684">
        <row r="2">
          <cell r="A2" t="str">
            <v>실     명</v>
          </cell>
        </row>
      </sheetData>
      <sheetData sheetId="5685"/>
      <sheetData sheetId="5686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/>
      <sheetData sheetId="5764"/>
      <sheetData sheetId="5765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>
        <row r="2">
          <cell r="A2" t="str">
            <v>실     명</v>
          </cell>
        </row>
      </sheetData>
      <sheetData sheetId="5832">
        <row r="2">
          <cell r="A2" t="str">
            <v>실     명</v>
          </cell>
        </row>
      </sheetData>
      <sheetData sheetId="5833">
        <row r="2">
          <cell r="A2" t="str">
            <v>실     명</v>
          </cell>
        </row>
      </sheetData>
      <sheetData sheetId="5834">
        <row r="2">
          <cell r="A2" t="str">
            <v>실     명</v>
          </cell>
        </row>
      </sheetData>
      <sheetData sheetId="5835">
        <row r="2">
          <cell r="A2" t="str">
            <v>실     명</v>
          </cell>
        </row>
      </sheetData>
      <sheetData sheetId="5836">
        <row r="2">
          <cell r="A2" t="str">
            <v>실     명</v>
          </cell>
        </row>
      </sheetData>
      <sheetData sheetId="5837">
        <row r="2">
          <cell r="A2" t="str">
            <v>실     명</v>
          </cell>
        </row>
      </sheetData>
      <sheetData sheetId="5838">
        <row r="2">
          <cell r="A2" t="str">
            <v>실     명</v>
          </cell>
        </row>
      </sheetData>
      <sheetData sheetId="5839">
        <row r="2">
          <cell r="A2" t="str">
            <v>실     명</v>
          </cell>
        </row>
      </sheetData>
      <sheetData sheetId="5840">
        <row r="2">
          <cell r="A2" t="str">
            <v>실     명</v>
          </cell>
        </row>
      </sheetData>
      <sheetData sheetId="5841">
        <row r="2">
          <cell r="A2" t="str">
            <v>실     명</v>
          </cell>
        </row>
      </sheetData>
      <sheetData sheetId="5842">
        <row r="2">
          <cell r="A2" t="str">
            <v>실     명</v>
          </cell>
        </row>
      </sheetData>
      <sheetData sheetId="5843">
        <row r="2">
          <cell r="A2" t="str">
            <v>실     명</v>
          </cell>
        </row>
      </sheetData>
      <sheetData sheetId="5844">
        <row r="2">
          <cell r="A2" t="str">
            <v>실     명</v>
          </cell>
        </row>
      </sheetData>
      <sheetData sheetId="5845">
        <row r="2">
          <cell r="A2" t="str">
            <v>실     명</v>
          </cell>
        </row>
      </sheetData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>
        <row r="2">
          <cell r="A2" t="str">
            <v>실     명</v>
          </cell>
        </row>
      </sheetData>
      <sheetData sheetId="5869">
        <row r="2">
          <cell r="A2" t="str">
            <v>실     명</v>
          </cell>
        </row>
      </sheetData>
      <sheetData sheetId="5870"/>
      <sheetData sheetId="5871"/>
      <sheetData sheetId="5872"/>
      <sheetData sheetId="5873"/>
      <sheetData sheetId="5874">
        <row r="2">
          <cell r="A2" t="str">
            <v>실     명</v>
          </cell>
        </row>
      </sheetData>
      <sheetData sheetId="5875">
        <row r="2">
          <cell r="A2" t="str">
            <v>실     명</v>
          </cell>
        </row>
      </sheetData>
      <sheetData sheetId="5876"/>
      <sheetData sheetId="5877">
        <row r="2">
          <cell r="A2" t="str">
            <v>실     명</v>
          </cell>
        </row>
      </sheetData>
      <sheetData sheetId="5878">
        <row r="2">
          <cell r="A2" t="str">
            <v>실     명</v>
          </cell>
        </row>
      </sheetData>
      <sheetData sheetId="5879">
        <row r="2">
          <cell r="A2" t="str">
            <v>실     명</v>
          </cell>
        </row>
      </sheetData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>
        <row r="2">
          <cell r="A2" t="str">
            <v>실     명</v>
          </cell>
        </row>
      </sheetData>
      <sheetData sheetId="5893">
        <row r="2">
          <cell r="A2" t="str">
            <v>실     명</v>
          </cell>
        </row>
      </sheetData>
      <sheetData sheetId="5894">
        <row r="2">
          <cell r="A2" t="str">
            <v>실     명</v>
          </cell>
        </row>
      </sheetData>
      <sheetData sheetId="5895">
        <row r="2">
          <cell r="A2" t="str">
            <v>실     명</v>
          </cell>
        </row>
      </sheetData>
      <sheetData sheetId="5896">
        <row r="2">
          <cell r="A2" t="str">
            <v>실     명</v>
          </cell>
        </row>
      </sheetData>
      <sheetData sheetId="5897">
        <row r="2">
          <cell r="A2" t="str">
            <v>실     명</v>
          </cell>
        </row>
      </sheetData>
      <sheetData sheetId="5898">
        <row r="2">
          <cell r="A2" t="str">
            <v>실     명</v>
          </cell>
        </row>
      </sheetData>
      <sheetData sheetId="5899">
        <row r="2">
          <cell r="A2" t="str">
            <v>실     명</v>
          </cell>
        </row>
      </sheetData>
      <sheetData sheetId="5900">
        <row r="2">
          <cell r="A2" t="str">
            <v>실     명</v>
          </cell>
        </row>
      </sheetData>
      <sheetData sheetId="5901">
        <row r="2">
          <cell r="A2" t="str">
            <v>실     명</v>
          </cell>
        </row>
      </sheetData>
      <sheetData sheetId="5902">
        <row r="2">
          <cell r="A2" t="str">
            <v>실     명</v>
          </cell>
        </row>
      </sheetData>
      <sheetData sheetId="5903">
        <row r="2">
          <cell r="A2" t="str">
            <v>실     명</v>
          </cell>
        </row>
      </sheetData>
      <sheetData sheetId="5904">
        <row r="2">
          <cell r="A2" t="str">
            <v>실     명</v>
          </cell>
        </row>
      </sheetData>
      <sheetData sheetId="5905">
        <row r="2">
          <cell r="A2" t="str">
            <v>실     명</v>
          </cell>
        </row>
      </sheetData>
      <sheetData sheetId="5906">
        <row r="2">
          <cell r="A2" t="str">
            <v>실     명</v>
          </cell>
        </row>
      </sheetData>
      <sheetData sheetId="5907">
        <row r="2">
          <cell r="A2" t="str">
            <v>실     명</v>
          </cell>
        </row>
      </sheetData>
      <sheetData sheetId="5908">
        <row r="2">
          <cell r="A2" t="str">
            <v>실     명</v>
          </cell>
        </row>
      </sheetData>
      <sheetData sheetId="5909">
        <row r="2">
          <cell r="A2" t="str">
            <v>실     명</v>
          </cell>
        </row>
      </sheetData>
      <sheetData sheetId="5910">
        <row r="2">
          <cell r="A2" t="str">
            <v>실     명</v>
          </cell>
        </row>
      </sheetData>
      <sheetData sheetId="5911">
        <row r="2">
          <cell r="A2" t="str">
            <v>실     명</v>
          </cell>
        </row>
      </sheetData>
      <sheetData sheetId="5912">
        <row r="2">
          <cell r="A2" t="str">
            <v>실     명</v>
          </cell>
        </row>
      </sheetData>
      <sheetData sheetId="5913">
        <row r="2">
          <cell r="A2" t="str">
            <v>실     명</v>
          </cell>
        </row>
      </sheetData>
      <sheetData sheetId="5914">
        <row r="2">
          <cell r="A2" t="str">
            <v>실     명</v>
          </cell>
        </row>
      </sheetData>
      <sheetData sheetId="5915">
        <row r="2">
          <cell r="A2" t="str">
            <v>실     명</v>
          </cell>
        </row>
      </sheetData>
      <sheetData sheetId="5916">
        <row r="2">
          <cell r="A2" t="str">
            <v>실     명</v>
          </cell>
        </row>
      </sheetData>
      <sheetData sheetId="5917">
        <row r="2">
          <cell r="A2" t="str">
            <v>실     명</v>
          </cell>
        </row>
      </sheetData>
      <sheetData sheetId="5918">
        <row r="2">
          <cell r="A2" t="str">
            <v>실     명</v>
          </cell>
        </row>
      </sheetData>
      <sheetData sheetId="5919">
        <row r="2">
          <cell r="A2" t="str">
            <v>실     명</v>
          </cell>
        </row>
      </sheetData>
      <sheetData sheetId="5920">
        <row r="2">
          <cell r="A2" t="str">
            <v>실     명</v>
          </cell>
        </row>
      </sheetData>
      <sheetData sheetId="5921">
        <row r="2">
          <cell r="A2" t="str">
            <v>실     명</v>
          </cell>
        </row>
      </sheetData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>
        <row r="2">
          <cell r="A2" t="str">
            <v>실     명</v>
          </cell>
        </row>
      </sheetData>
      <sheetData sheetId="6064">
        <row r="2">
          <cell r="A2" t="str">
            <v>실     명</v>
          </cell>
        </row>
      </sheetData>
      <sheetData sheetId="6065">
        <row r="2">
          <cell r="A2" t="str">
            <v>실     명</v>
          </cell>
        </row>
      </sheetData>
      <sheetData sheetId="6066">
        <row r="2">
          <cell r="A2" t="str">
            <v>실     명</v>
          </cell>
        </row>
      </sheetData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>
        <row r="2">
          <cell r="A2" t="str">
            <v>실     명</v>
          </cell>
        </row>
      </sheetData>
      <sheetData sheetId="6079">
        <row r="2">
          <cell r="A2" t="str">
            <v>실     명</v>
          </cell>
        </row>
      </sheetData>
      <sheetData sheetId="6080">
        <row r="2">
          <cell r="A2" t="str">
            <v>실     명</v>
          </cell>
        </row>
      </sheetData>
      <sheetData sheetId="6081">
        <row r="2">
          <cell r="A2" t="str">
            <v>실     명</v>
          </cell>
        </row>
      </sheetData>
      <sheetData sheetId="6082">
        <row r="2">
          <cell r="A2" t="str">
            <v>실     명</v>
          </cell>
        </row>
      </sheetData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>
        <row r="2">
          <cell r="A2" t="str">
            <v>실     명</v>
          </cell>
        </row>
      </sheetData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>
        <row r="2">
          <cell r="A2" t="str">
            <v>실     명</v>
          </cell>
        </row>
      </sheetData>
      <sheetData sheetId="6175">
        <row r="2">
          <cell r="A2" t="str">
            <v>실     명</v>
          </cell>
        </row>
      </sheetData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>
        <row r="2">
          <cell r="A2" t="str">
            <v>실     명</v>
          </cell>
        </row>
      </sheetData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소개"/>
      <sheetName val="차량별점검"/>
      <sheetName val="단가"/>
      <sheetName val="5사남"/>
      <sheetName val="인원자료"/>
      <sheetName val="DATE"/>
      <sheetName val="H4A11"/>
      <sheetName val="TIE-IN"/>
      <sheetName val="95하U$가격"/>
      <sheetName val="요율"/>
      <sheetName val="자재대"/>
      <sheetName val="해외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외주현황.wq1"/>
      <sheetName val="인사자료총집계"/>
      <sheetName val="남양시작동010313100%"/>
      <sheetName val="N賃率-職"/>
      <sheetName val="차액보증"/>
      <sheetName val="6호기"/>
      <sheetName val="#REF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PI"/>
      <sheetName val="Baby일위대가"/>
      <sheetName val="대비"/>
      <sheetName val="간이연락"/>
      <sheetName val="1월"/>
      <sheetName val="MIJIBI"/>
      <sheetName val="공식방문지"/>
      <sheetName val="p2-1"/>
      <sheetName val="울산시산표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제안서"/>
      <sheetName val="행정표준(1)"/>
      <sheetName val="행정표준(2)"/>
      <sheetName val="집계표"/>
      <sheetName val="기안지"/>
      <sheetName val="15"/>
      <sheetName val="영업소실적"/>
      <sheetName val="wall"/>
      <sheetName val="Front"/>
      <sheetName val="업무계획1"/>
      <sheetName val="¼ö¸®°á°ú"/>
      <sheetName val="Data"/>
      <sheetName val="총괄표"/>
      <sheetName val="신규DEP"/>
      <sheetName val="인원01"/>
      <sheetName val="노무비"/>
      <sheetName val="내역서(총)"/>
      <sheetName val="0000"/>
      <sheetName val="자체실적1Q"/>
      <sheetName val="간접경상비"/>
      <sheetName val="노무비단가"/>
      <sheetName val="지점장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은행"/>
      <sheetName val="직노"/>
      <sheetName val="설계내역서"/>
      <sheetName val="일위대가표"/>
      <sheetName val="대공종"/>
      <sheetName val="노임"/>
      <sheetName val="산5-7"/>
      <sheetName val="플랜트 설치"/>
      <sheetName val="F4-F7"/>
      <sheetName val="건축공사실행"/>
      <sheetName val="투찰"/>
      <sheetName val="내역대비표(코크스)"/>
      <sheetName val="5.경상직원"/>
      <sheetName val="도급견적가"/>
      <sheetName val="1.설계조건"/>
      <sheetName val="남양시작동자105노65기1.3화1.2"/>
      <sheetName val="카메라"/>
      <sheetName val="C.배수관공"/>
      <sheetName val="T기성9605"/>
      <sheetName val="5"/>
      <sheetName val="CTEMCOST"/>
      <sheetName val="Total"/>
      <sheetName val="인건비"/>
      <sheetName val="Data&amp;Result"/>
      <sheetName val="BS(Detail)"/>
      <sheetName val="수배전반"/>
      <sheetName val="1차 내역서"/>
      <sheetName val="자재(원원+원대)"/>
      <sheetName val="여과지동"/>
      <sheetName val="기초자료"/>
      <sheetName val="95MAKER"/>
      <sheetName val="내역1"/>
      <sheetName val="단가조사"/>
      <sheetName val="조명시설"/>
      <sheetName val="사업부배부A"/>
      <sheetName val="카렌스센터계량기설치공사"/>
      <sheetName val="횡배수관집현황(2공구)"/>
      <sheetName val="전문품의"/>
      <sheetName val="개산공사비"/>
      <sheetName val="입찰내역 발주처 양식"/>
      <sheetName val="주식"/>
      <sheetName val="중기일위대가"/>
      <sheetName val="시중노임"/>
      <sheetName val="갑지"/>
      <sheetName val="슬래브(PF)(하류)"/>
      <sheetName val="조건"/>
      <sheetName val="Sheet4"/>
      <sheetName val="입찰안"/>
      <sheetName val="현장주소"/>
      <sheetName val="캐완일정표 "/>
      <sheetName val="CAUDIT"/>
      <sheetName val="일위대가"/>
      <sheetName val="예총"/>
      <sheetName val="별표총괄"/>
      <sheetName val="갑지(추정)"/>
      <sheetName val="BEND LOSS"/>
      <sheetName val="현장관리비내역 "/>
      <sheetName val="1차설계변경내역"/>
      <sheetName val="현장관리비"/>
      <sheetName val="6F8"/>
      <sheetName val="전체"/>
      <sheetName val="전체내역 (2)"/>
      <sheetName val="시중노임단가"/>
      <sheetName val="건축토목내역"/>
      <sheetName val="입적표"/>
      <sheetName val="xxxxxx"/>
      <sheetName val="득점현황"/>
      <sheetName val="내역"/>
      <sheetName val="공통가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기성원가계획(2000년)"/>
      <sheetName val="운반수량총집계표(1)"/>
      <sheetName val="단가산출"/>
      <sheetName val="현장조직"/>
      <sheetName val="월별인원"/>
      <sheetName val="급여"/>
      <sheetName val="의료,국민"/>
      <sheetName val="표지"/>
      <sheetName val="관리비 집계표"/>
      <sheetName val="관리,부대비"/>
      <sheetName val="도급정산현황"/>
      <sheetName val="조명시설"/>
      <sheetName val="조건"/>
      <sheetName val="수리결과"/>
      <sheetName val="내역대비표(코크스)"/>
      <sheetName val="분전함신설"/>
      <sheetName val="접지1종"/>
      <sheetName val="사유서제출현황-2"/>
      <sheetName val="5.경상직원"/>
      <sheetName val="Sheet1 (2)"/>
      <sheetName val="노임단가"/>
      <sheetName val="배수공"/>
      <sheetName val="Sheet1"/>
      <sheetName val="#REF"/>
      <sheetName val="인사자료총집계"/>
      <sheetName val="대공종"/>
      <sheetName val="파이프류"/>
      <sheetName val="경상직원"/>
      <sheetName val="물류최종8월7"/>
      <sheetName val="PAINT"/>
      <sheetName val="유림총괄"/>
      <sheetName val="콘크리트타설집계표"/>
      <sheetName val="터파기및재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굴착시간주간집계표"/>
      <sheetName val="장비고장시간주간"/>
      <sheetName val="콘크리트타설집계표"/>
      <sheetName val="공사진행"/>
      <sheetName val="작업분석"/>
      <sheetName val="지층효율(HG,BC)"/>
      <sheetName val=" 지층효율(BC)"/>
      <sheetName val="지질주상도"/>
      <sheetName val="입력"/>
      <sheetName val="2.대외공문"/>
      <sheetName val="조명시설"/>
      <sheetName val="단가산출"/>
      <sheetName val="Sheet1 (2)"/>
      <sheetName val="교통처리우회도로"/>
      <sheetName val="#REF"/>
      <sheetName val="코드표"/>
      <sheetName val="5사남"/>
      <sheetName val="집계표"/>
      <sheetName val="5.경상직원"/>
      <sheetName val="수리결과"/>
      <sheetName val="물류최종8월7"/>
      <sheetName val="총괄표"/>
      <sheetName val="노임"/>
      <sheetName val="내역대비표(코크스)"/>
      <sheetName val="2002하반기노임기준"/>
      <sheetName val="매출부문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굴착시간주간집계표"/>
      <sheetName val="장비고장시간주간"/>
      <sheetName val="콘크리트타설집계표"/>
      <sheetName val="공사진행"/>
      <sheetName val="작업분석"/>
      <sheetName val="지층효율(HG,BC)"/>
      <sheetName val=" 지층효율(BC)"/>
      <sheetName val="지질주상도"/>
      <sheetName val="2.대외공문"/>
      <sheetName val="자재"/>
      <sheetName val="Sheet1 (2)"/>
      <sheetName val="조명시설"/>
      <sheetName val="물류최종8월7"/>
      <sheetName val="코드표"/>
      <sheetName val="집계표"/>
      <sheetName val="일위대가표"/>
      <sheetName val="일위대가(가설)"/>
      <sheetName val="단가산출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갑지()차"/>
      <sheetName val="내역갑지(금차)"/>
      <sheetName val="Sheet1"/>
      <sheetName val="Sheet2"/>
      <sheetName val="Sheet3"/>
      <sheetName val="조명시설"/>
      <sheetName val="단가"/>
      <sheetName val="선정요령"/>
      <sheetName val="1.설계조건"/>
      <sheetName val="콘크리트타설집계표"/>
      <sheetName val="주차구획선수량"/>
      <sheetName val="N賃率-職"/>
      <sheetName val="수량산출"/>
      <sheetName val="구조물터파기수량집계"/>
      <sheetName val="측구터파기공수량집계"/>
      <sheetName val="배수공 시멘트 및 골재량 산출"/>
      <sheetName val="실행철강하도"/>
      <sheetName val="Total"/>
      <sheetName val="토공집계표"/>
      <sheetName val="TABLE DB"/>
      <sheetName val="쌍용 data base"/>
      <sheetName val="토공(우물통,기타) "/>
      <sheetName val="물류최종8월7"/>
      <sheetName val="수리결과"/>
      <sheetName val="9GNG운반"/>
      <sheetName val="내역대비표(코크스)"/>
      <sheetName val="입찰안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2000년1차"/>
      <sheetName val="2000전체분"/>
      <sheetName val="교통대책내역"/>
      <sheetName val="집계표"/>
      <sheetName val="조명일위"/>
      <sheetName val="조명율표"/>
      <sheetName val="투찰내역"/>
      <sheetName val="조경일람"/>
      <sheetName val="부대공사비"/>
      <sheetName val="내역서"/>
      <sheetName val="BID"/>
      <sheetName val="단가일람"/>
      <sheetName val="차액보증"/>
      <sheetName val="SLAB데이터"/>
      <sheetName val="#REF"/>
      <sheetName val="간접1"/>
      <sheetName val="정부노임단가"/>
      <sheetName val="99총공사내역서"/>
      <sheetName val="퍼스트"/>
      <sheetName val="약품공급2"/>
      <sheetName val="지질조사"/>
      <sheetName val="노임"/>
      <sheetName val="접지수량"/>
      <sheetName val="Total 단위경유량집계"/>
      <sheetName val="조명시설"/>
      <sheetName val="원가계산서"/>
      <sheetName val="DANGA"/>
      <sheetName val="일위대가"/>
      <sheetName val="설계조건"/>
      <sheetName val="CALCULATION"/>
      <sheetName val="C1ㅇ"/>
      <sheetName val="sheet1"/>
      <sheetName val="1,2공구원가계산서"/>
      <sheetName val="2공구산출내역"/>
      <sheetName val="1공구산출내역서"/>
      <sheetName val="실행철강하도"/>
      <sheetName val="RE9604"/>
      <sheetName val="단가"/>
      <sheetName val="내역서(전기)"/>
      <sheetName val="실행내역"/>
      <sheetName val="MOTOR"/>
      <sheetName val="전체제잡비"/>
      <sheetName val="산근"/>
      <sheetName val="마산월령동골조물량변경"/>
      <sheetName val="DB"/>
      <sheetName val="제경비"/>
      <sheetName val="건축내역"/>
      <sheetName val="기계경비(시간당)"/>
      <sheetName val="잡철물"/>
      <sheetName val="기계경비일람"/>
      <sheetName val="내역(원안-대안)"/>
      <sheetName val="준검 내역서"/>
      <sheetName val="교각1"/>
      <sheetName val="기본단가표"/>
      <sheetName val="재료집계표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하남내역"/>
      <sheetName val="항목(1)"/>
      <sheetName val="총괄표"/>
      <sheetName val="SIL98"/>
      <sheetName val="산출근거"/>
      <sheetName val="BH-1 (2)"/>
      <sheetName val="품셈TABLE"/>
      <sheetName val="5회토적"/>
      <sheetName val="hvac(제어동)"/>
      <sheetName val="관급"/>
      <sheetName val="N賃率-職"/>
      <sheetName val="금액내역서"/>
      <sheetName val="자재일람"/>
      <sheetName val="1.수인터널"/>
      <sheetName val="일위목록"/>
      <sheetName val="요율"/>
      <sheetName val="4.전기"/>
      <sheetName val="조경"/>
      <sheetName val="1001"/>
      <sheetName val="노임단가"/>
      <sheetName val="단위단가"/>
      <sheetName val="수량산출서"/>
      <sheetName val="공사비예산서(토목분)"/>
      <sheetName val="적점"/>
      <sheetName val="당진1,2호기전선관설치및접지4차공사내역서-을지"/>
      <sheetName val="기계내역서"/>
      <sheetName val="공사개요"/>
      <sheetName val="매입세율"/>
      <sheetName val="관리비비계상"/>
      <sheetName val="직공비"/>
      <sheetName val="설비2차"/>
      <sheetName val="NYS"/>
      <sheetName val="총괄내역서"/>
      <sheetName val="표  지"/>
      <sheetName val="일위대가표"/>
      <sheetName val="대포2교접속"/>
      <sheetName val="천방교접속"/>
      <sheetName val="견적조건"/>
      <sheetName val="현장지지물물량"/>
      <sheetName val="내역(중앙)"/>
      <sheetName val="예산서"/>
      <sheetName val="예가내역서"/>
      <sheetName val="경비2내역"/>
      <sheetName val="직노"/>
      <sheetName val="ITEM"/>
      <sheetName val="공문"/>
      <sheetName val="결재갑지"/>
      <sheetName val="제안서"/>
      <sheetName val="행정표준(1)"/>
      <sheetName val="행정표준(2)"/>
      <sheetName val="간접(90)"/>
      <sheetName val="일반공사"/>
      <sheetName val="현장설명"/>
      <sheetName val="자료"/>
      <sheetName val="예산변경원인분석"/>
      <sheetName val="터파기및재료"/>
      <sheetName val="초기화면"/>
      <sheetName val="폐기물"/>
      <sheetName val="인원계획"/>
      <sheetName val="DATA"/>
      <sheetName val="금융비용"/>
      <sheetName val="타공종이기"/>
      <sheetName val="데이타"/>
      <sheetName val="INPUT"/>
      <sheetName val="도급"/>
      <sheetName val="3련 BOX"/>
      <sheetName val="토목주소"/>
      <sheetName val="작성방법"/>
      <sheetName val="전기"/>
      <sheetName val="노원열병합  건축공사기성내역서"/>
      <sheetName val="운반"/>
      <sheetName val="세부내역"/>
      <sheetName val="대전21토목내역서"/>
      <sheetName val="실행(1)"/>
      <sheetName val="ABUT수량-A1"/>
      <sheetName val="분전반"/>
      <sheetName val="참조-(1)"/>
      <sheetName val="이형관"/>
      <sheetName val="산출내역서"/>
      <sheetName val="원가계산서구조조정"/>
      <sheetName val="오저간내역서"/>
      <sheetName val="I.설계조건"/>
      <sheetName val="증감내역서"/>
      <sheetName val="Sheet3"/>
      <sheetName val="참조"/>
      <sheetName val="앉음벽 (2)"/>
      <sheetName val="6호기"/>
      <sheetName val="접지1종"/>
      <sheetName val="설계내역서"/>
      <sheetName val="을"/>
      <sheetName val="001"/>
      <sheetName val="대비"/>
      <sheetName val="문학간접"/>
      <sheetName val="1.설계조건"/>
      <sheetName val="조도계산서 (도서)"/>
      <sheetName val="11.우각부 보강"/>
      <sheetName val="제출내역 (2)"/>
      <sheetName val="프로젝트"/>
      <sheetName val="SHEET PILE단가"/>
      <sheetName val="98지급계획"/>
      <sheetName val="소비자가"/>
      <sheetName val="일반부표"/>
      <sheetName val="구조물견적서"/>
      <sheetName val="입력데이타"/>
      <sheetName val="전기내역서(총계)"/>
      <sheetName val="도급-집계"/>
      <sheetName val="ancillary"/>
      <sheetName val="토공A"/>
      <sheetName val="분뇨"/>
      <sheetName val="단가산출"/>
      <sheetName val="원가"/>
      <sheetName val="설계예산서"/>
      <sheetName val="ilch"/>
      <sheetName val="소포내역 (2)"/>
      <sheetName val="COVER"/>
      <sheetName val="여과지동"/>
      <sheetName val="기초자료"/>
      <sheetName val="자재단가"/>
      <sheetName val="Total"/>
      <sheetName val="01AC"/>
      <sheetName val="간접비계산"/>
      <sheetName val="정화조내역"/>
      <sheetName val="_HIT__HMC 견적_3900_"/>
      <sheetName val="7. 현장관리비 "/>
      <sheetName val="6. 안전관리비"/>
      <sheetName val="배수내역"/>
      <sheetName val="갑지"/>
      <sheetName val="말뚝지지력산정"/>
      <sheetName val="적용단가"/>
      <sheetName val="입력"/>
      <sheetName val="품셈"/>
      <sheetName val="일위대가목록"/>
      <sheetName val="예산총괄"/>
      <sheetName val="공사원가계산서"/>
      <sheetName val="신림자금"/>
      <sheetName val="횡배위치"/>
      <sheetName val="기초일위"/>
      <sheetName val="시설일위"/>
      <sheetName val="운반비"/>
      <sheetName val="2000양배"/>
      <sheetName val="추가예산"/>
      <sheetName val="을-ATYPE"/>
      <sheetName val="제1호단위수량"/>
      <sheetName val="자재단가비교표"/>
      <sheetName val="단가대비표"/>
      <sheetName val="코드표"/>
      <sheetName val="여수토토적"/>
      <sheetName val="구조물수량집계표"/>
      <sheetName val="사업전망"/>
      <sheetName val="현장업무"/>
      <sheetName val="PIPING"/>
      <sheetName val="MSS 2"/>
      <sheetName val="전주2本1"/>
      <sheetName val="신호등일위대가"/>
      <sheetName val="보증수수료산출"/>
      <sheetName val="2.1  노무비 평균단가산출"/>
      <sheetName val="경비"/>
      <sheetName val="우수관매설및 우수받이"/>
      <sheetName val="명세서"/>
      <sheetName val="A-4"/>
      <sheetName val="인부노임"/>
      <sheetName val="전체"/>
      <sheetName val="I一般比"/>
      <sheetName val="내역_ver1.0"/>
      <sheetName val="적용표"/>
      <sheetName val="수정2"/>
      <sheetName val="재료비"/>
      <sheetName val="보고서 기기리스트"/>
      <sheetName val="할증"/>
      <sheetName val="내역(창신)"/>
      <sheetName val="Resource2"/>
      <sheetName val="소야공정계획표"/>
      <sheetName val="내   역"/>
      <sheetName val="단가조사-2"/>
      <sheetName val="금호"/>
      <sheetName val="자재단가표"/>
      <sheetName val="bearing"/>
      <sheetName val="가격조사서"/>
      <sheetName val="검암내역"/>
      <sheetName val="물량표S"/>
      <sheetName val="시멘트"/>
      <sheetName val="Macro(차단기)"/>
      <sheetName val="원가+내역"/>
      <sheetName val="JUCKEYK"/>
      <sheetName val="A 견적"/>
      <sheetName val="전기일위목록"/>
      <sheetName val="토목내역"/>
      <sheetName val="사급자재"/>
      <sheetName val="lee"/>
      <sheetName val="집계표소트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중기일위대가"/>
      <sheetName val="교량"/>
      <sheetName val="Macro1"/>
      <sheetName val="연결임시"/>
      <sheetName val="기계공사"/>
      <sheetName val="봉양~조차장간고하개명(신설)"/>
      <sheetName val="11.산출(전열)"/>
      <sheetName val="6.산출(동력)"/>
      <sheetName val="7.산출(TRAY)"/>
      <sheetName val="설계서(7)"/>
      <sheetName val="예산서(6)"/>
      <sheetName val="13LPMCC"/>
      <sheetName val="측구터파기공수량집계"/>
      <sheetName val="배수공 시멘트 및 골재량 산출"/>
      <sheetName val="용소리교"/>
      <sheetName val="현장관리비"/>
      <sheetName val="상-교대(A1-A2)"/>
      <sheetName val="토목"/>
      <sheetName val="플랜트 설치"/>
      <sheetName val="99월별경비계획"/>
      <sheetName val="내역원본"/>
      <sheetName val="결과조달"/>
      <sheetName val="노임단가표"/>
      <sheetName val="5.산출(전력)"/>
      <sheetName val="광산내역"/>
      <sheetName val="부재예실1월"/>
      <sheetName val="제품원재"/>
      <sheetName val="소방사항"/>
      <sheetName val="조건표"/>
      <sheetName val="날개벽수량표"/>
      <sheetName val="배수내역 (2)"/>
      <sheetName val="간이영수증"/>
      <sheetName val="일위집계(기존)"/>
      <sheetName val="8설7발"/>
      <sheetName val="역T형옹벽단위수량"/>
      <sheetName val="산출내역서집계표"/>
      <sheetName val="type-F"/>
      <sheetName val="기성내역"/>
      <sheetName val="일위대가(1)"/>
      <sheetName val="원계약고시공및준비구분"/>
      <sheetName val="설계"/>
      <sheetName val="갑지(추정)"/>
      <sheetName val="현장관리비참조"/>
      <sheetName val="200"/>
      <sheetName val="부대내역"/>
      <sheetName val="b_balju"/>
      <sheetName val="SUMMARY(S)"/>
      <sheetName val="EQT-ESTN"/>
      <sheetName val="내역(가지)"/>
      <sheetName val="건설성적"/>
      <sheetName val="99-0002"/>
      <sheetName val="asd"/>
      <sheetName val="70%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백암비스타내역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전기실-1"/>
      <sheetName val="설계서(본관)"/>
      <sheetName val="단가조건(02년)"/>
      <sheetName val="공통가설"/>
      <sheetName val=" HIT-&gt;HMC 견적(3900)"/>
      <sheetName val="투찰추정"/>
      <sheetName val="검토"/>
      <sheetName val="부속동"/>
      <sheetName val="APT"/>
      <sheetName val="구간별관경"/>
      <sheetName val="인사자료총집계"/>
      <sheetName val="전체_1설계"/>
      <sheetName val="중기"/>
      <sheetName val="현금흐름"/>
      <sheetName val="데리네이타현황"/>
      <sheetName val="일용노임단가"/>
      <sheetName val="EBSDATA"/>
      <sheetName val="TYPE-A"/>
      <sheetName val="6PILE  (돌출)"/>
      <sheetName val="바닥판"/>
      <sheetName val="입력DATA"/>
      <sheetName val="SLAB"/>
      <sheetName val="계수시트"/>
      <sheetName val="d118"/>
      <sheetName val="전기일위대가"/>
      <sheetName val="전 기"/>
      <sheetName val="CORE#2"/>
      <sheetName val="관급자재"/>
      <sheetName val="내역표지"/>
      <sheetName val="spc 배관견적"/>
      <sheetName val="목차 "/>
      <sheetName val="화재 탐지 설비"/>
      <sheetName val="장비"/>
      <sheetName val="노무"/>
      <sheetName val="세골재  T2 변경 현황"/>
      <sheetName val="1.설계기준"/>
      <sheetName val="퇴직금(울산천상)"/>
      <sheetName val="FM"/>
      <sheetName val="별표 "/>
      <sheetName val="기기리스트"/>
      <sheetName val="unit 4"/>
      <sheetName val="견적서"/>
      <sheetName val="POL6차-PIPING"/>
      <sheetName val="원가총괄"/>
      <sheetName val="귀래 설계 공내역서"/>
      <sheetName val="INPUT-DATA"/>
      <sheetName val="총괄-1"/>
      <sheetName val="전라자금"/>
      <sheetName val="시설물일위"/>
      <sheetName val="기초코드"/>
      <sheetName val="Y-WORK"/>
      <sheetName val="내역서1"/>
      <sheetName val="WING3"/>
      <sheetName val="전입"/>
      <sheetName val="일위"/>
      <sheetName val="장비단가표"/>
      <sheetName val="Customer Databas"/>
      <sheetName val="동방설계서"/>
      <sheetName val="1.취수장"/>
      <sheetName val="별첨1-임식"/>
      <sheetName val="기본자료"/>
      <sheetName val="중기비"/>
      <sheetName val="신천3호용수로"/>
      <sheetName val="정산내역"/>
      <sheetName val="Cash Flow-1"/>
      <sheetName val="3.1공사현황 공정표"/>
      <sheetName val="단가(적용)"/>
      <sheetName val="지불내역(자재외)"/>
      <sheetName val="입찰"/>
      <sheetName val="현경"/>
      <sheetName val="1"/>
      <sheetName val="파일구성"/>
      <sheetName val="유입량"/>
      <sheetName val="C97상"/>
      <sheetName val="편입토지조서"/>
      <sheetName val="배수통관(좌)"/>
      <sheetName val="건축공사"/>
      <sheetName val="#2_일위대가목록"/>
      <sheetName val="직재"/>
      <sheetName val="전동기"/>
      <sheetName val="일위대가(집계)"/>
      <sheetName val="주관사업"/>
      <sheetName val="공사비총괄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공정증감대ㅈ표"/>
      <sheetName val="SG"/>
      <sheetName val="투입내역"/>
      <sheetName val="시설물기초"/>
      <sheetName val="예가표"/>
      <sheetName val="1유리"/>
      <sheetName val="공통단가"/>
      <sheetName val="노임 단가"/>
      <sheetName val="Sheet5"/>
      <sheetName val="재료값"/>
      <sheetName val="접속도로1"/>
      <sheetName val="BH_1 _2_"/>
      <sheetName val="실행(ALT1)"/>
      <sheetName val="개인별 순위표"/>
      <sheetName val="INDEX"/>
      <sheetName val="프랜트면허"/>
      <sheetName val="냉천부속동"/>
      <sheetName val="네고율"/>
      <sheetName val="중기사용료산출근거"/>
      <sheetName val="단가산출1"/>
      <sheetName val="미드수량"/>
      <sheetName val="단면가정"/>
      <sheetName val="물량표"/>
      <sheetName val="정리계획CF평가"/>
      <sheetName val="1월"/>
      <sheetName val="노임이"/>
      <sheetName val="재료"/>
      <sheetName val="저장소"/>
      <sheetName val="내역집계"/>
      <sheetName val="직접경비호표"/>
      <sheetName val="101동"/>
      <sheetName val="부서코드표"/>
      <sheetName val="기본일위"/>
      <sheetName val="모델명"/>
      <sheetName val="수량산출"/>
      <sheetName val="6공구(당초)"/>
      <sheetName val="ELEC"/>
      <sheetName val="PAY"/>
      <sheetName val="설 계"/>
      <sheetName val="정렬"/>
      <sheetName val="일위대가목차"/>
      <sheetName val="안정계산"/>
      <sheetName val="단면검토"/>
      <sheetName val="2000년하반기"/>
      <sheetName val="수량산출서집계(1-4차)"/>
      <sheetName val="수지예산"/>
      <sheetName val="(1)본선수량집계"/>
      <sheetName val="재집"/>
      <sheetName val="총"/>
      <sheetName val="오산갈곳"/>
      <sheetName val="증감분석"/>
      <sheetName val="공기압축기실"/>
      <sheetName val="원도급"/>
      <sheetName val="하도급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개산공사비"/>
      <sheetName val="재개발"/>
      <sheetName val="연습"/>
      <sheetName val="장비단가"/>
      <sheetName val="8.현장관리비"/>
      <sheetName val="7.안전관리비"/>
      <sheetName val="단가산출서"/>
      <sheetName val="중사"/>
      <sheetName val="자료입력"/>
      <sheetName val="적용단위길이"/>
      <sheetName val="전기혼잡제경비(45)"/>
      <sheetName val="공사비집계"/>
      <sheetName val="재료비단가"/>
      <sheetName val="시운전연료비"/>
      <sheetName val="골조시행"/>
      <sheetName val="시운전연료"/>
      <sheetName val="조경수목"/>
      <sheetName val="퇴직공제부금"/>
      <sheetName val="평균노임"/>
      <sheetName val="실행"/>
      <sheetName val="내역서 "/>
      <sheetName val="분석"/>
      <sheetName val="입찰보고"/>
      <sheetName val="가설건물"/>
      <sheetName val="MSS_2"/>
      <sheetName val="업체자료"/>
      <sheetName val="MILL"/>
      <sheetName val="9GNG운반"/>
      <sheetName val="제노임"/>
      <sheetName val="철거산출근거"/>
      <sheetName val="CODE"/>
      <sheetName val="PAINT"/>
      <sheetName val="합계"/>
      <sheetName val="설치"/>
      <sheetName val="건축"/>
      <sheetName val="덕전리"/>
      <sheetName val="1,2,3,4,5단위수량"/>
      <sheetName val="Sheet2"/>
      <sheetName val="계산표지"/>
      <sheetName val="노임변동률"/>
      <sheetName val="청천내"/>
      <sheetName val="한전일위"/>
      <sheetName val="1안"/>
      <sheetName val="BQ"/>
      <sheetName val="집계및폼"/>
      <sheetName val="04_10_11"/>
      <sheetName val="원가서"/>
      <sheetName val="인건비"/>
      <sheetName val="대공종"/>
      <sheetName val="집 계 표"/>
      <sheetName val="유림골조"/>
      <sheetName val="손익분석"/>
      <sheetName val="분전반일위대가"/>
      <sheetName val="공사비총괄표"/>
      <sheetName val="일위대가표48"/>
      <sheetName val="10공구일위"/>
      <sheetName val="전기공사"/>
      <sheetName val="기별(종합)"/>
      <sheetName val="환율change"/>
      <sheetName val="당초"/>
      <sheetName val="단가표"/>
      <sheetName val="결재란"/>
      <sheetName val="공사비산출내역"/>
      <sheetName val="시화점실행"/>
      <sheetName val="RETAIL (ABOVE)"/>
      <sheetName val="지구단위계획"/>
      <sheetName val="원형1호맨홀토공수량"/>
      <sheetName val="협력업체"/>
      <sheetName val="코드1"/>
      <sheetName val="코드2"/>
      <sheetName val="도담구내 개소별 명세"/>
      <sheetName val="직접비"/>
      <sheetName val="코드"/>
      <sheetName val="품목납기"/>
      <sheetName val="대림경상68억"/>
      <sheetName val="목차"/>
      <sheetName val="단가적용"/>
      <sheetName val="통신물량"/>
      <sheetName val="자금청구"/>
      <sheetName val="시중노임단가"/>
      <sheetName val="CC16-내역서"/>
      <sheetName val="장비비 명세서1"/>
      <sheetName val="입찰견적보고서"/>
      <sheetName val="토공계산서(부체도로)"/>
      <sheetName val="AS복구"/>
      <sheetName val="중기터파기"/>
      <sheetName val="변수값"/>
      <sheetName val="중기상차"/>
      <sheetName val="부대공(BOQ)"/>
      <sheetName val="공량산출서"/>
      <sheetName val="횡배수관토공수량"/>
      <sheetName val="코드일람표2001년10월"/>
      <sheetName val="세부추진"/>
      <sheetName val="상용보강"/>
      <sheetName val="단가조사서"/>
      <sheetName val="준공정산"/>
      <sheetName val="상수도토공집계표"/>
      <sheetName val="자재co"/>
      <sheetName val="INSTR"/>
      <sheetName val="#3_일위대가목록"/>
      <sheetName val="기본"/>
      <sheetName val="자동제어"/>
      <sheetName val="단중표"/>
      <sheetName val="7"/>
      <sheetName val="投标材料清单 "/>
      <sheetName val="TCDB"/>
      <sheetName val="손익차9월2"/>
      <sheetName val="득점현황"/>
      <sheetName val="단가(반정1교-원주)"/>
      <sheetName val="교각계산"/>
      <sheetName val="3.공통공사대비"/>
      <sheetName val="sub"/>
      <sheetName val="검색방"/>
      <sheetName val="관공일위대가"/>
      <sheetName val="관자재"/>
      <sheetName val="단가 및 재료비"/>
      <sheetName val="관접합및자재집계표"/>
      <sheetName val="TOT"/>
      <sheetName val="집계장(대목_실행)"/>
      <sheetName val="Macro(전선)"/>
      <sheetName val="간접비(1)"/>
      <sheetName val="수량집계"/>
      <sheetName val="식재인부"/>
      <sheetName val="남양내역"/>
      <sheetName val="MAIN_TABLE"/>
      <sheetName val="현장별"/>
      <sheetName val="98수문일위"/>
      <sheetName val="암거"/>
      <sheetName val="현금예금"/>
      <sheetName val="사유서제출현황-2"/>
      <sheetName val="단   산"/>
      <sheetName val="실    단"/>
      <sheetName val="점수계산1-2"/>
      <sheetName val="2000노임기준"/>
      <sheetName val="-배수구조총재료"/>
      <sheetName val="입력정보"/>
      <sheetName val="2.대외공문"/>
      <sheetName val="청주(철골발주의뢰서)"/>
      <sheetName val="VE절감"/>
      <sheetName val="분전함신설"/>
      <sheetName val="내역서비교"/>
      <sheetName val="A1"/>
      <sheetName val="비주거용"/>
      <sheetName val="대치판정"/>
      <sheetName val="일위(시설)"/>
      <sheetName val="노무비 근거"/>
      <sheetName val="단가조사"/>
      <sheetName val="재료비노무비"/>
      <sheetName val="DHEQSUPT"/>
      <sheetName val="토사(PE)"/>
      <sheetName val="투찰가"/>
      <sheetName val="2련간지"/>
      <sheetName val="몰탈"/>
      <sheetName val="중기사용료"/>
      <sheetName val="인천제철"/>
      <sheetName val="차수"/>
      <sheetName val="노임단가 (2)"/>
      <sheetName val="하중계산"/>
      <sheetName val="소화실적"/>
      <sheetName val="96수출"/>
      <sheetName val="내역서을지"/>
      <sheetName val="SHL"/>
      <sheetName val="1단계"/>
      <sheetName val="기본단가"/>
      <sheetName val="적용환율"/>
      <sheetName val="범례표"/>
      <sheetName val="Eq. Mobilization"/>
      <sheetName val="7.공정표"/>
      <sheetName val="단면 (2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제잡비"/>
      <sheetName val="개요"/>
      <sheetName val="원본"/>
      <sheetName val="평3"/>
      <sheetName val="옥내소화전계산서"/>
      <sheetName val="SHEET"/>
      <sheetName val="인원"/>
      <sheetName val="CODE1"/>
      <sheetName val="1공구(입찰내역)"/>
      <sheetName val="Sheet4"/>
      <sheetName val="심사물량"/>
      <sheetName val="인부신상자료"/>
      <sheetName val="BJJIN"/>
      <sheetName val="구의33고"/>
      <sheetName val="유림총괄"/>
      <sheetName val="제품목록"/>
      <sheetName val="신고조서"/>
      <sheetName val="EJ"/>
      <sheetName val="주beam"/>
      <sheetName val="일위_파일"/>
      <sheetName val="이토변실(A3-LINE)"/>
      <sheetName val="guard(mac)"/>
      <sheetName val="5. 현장관리비(new) "/>
      <sheetName val="건축내역서"/>
      <sheetName val="현관"/>
      <sheetName val="정산을지"/>
      <sheetName val="실행(표지,갑,을)"/>
      <sheetName val="김해토지조서"/>
      <sheetName val="실지수기호표"/>
      <sheetName val="Baby일위대가"/>
      <sheetName val="표준건축비"/>
      <sheetName val="관리,공감"/>
      <sheetName val="Sheet6"/>
      <sheetName val="인력터파기"/>
      <sheetName val="제수변 수량집계표(보통)"/>
      <sheetName val="건축2"/>
      <sheetName val="CM 1"/>
      <sheetName val="5.동별횡주관경"/>
      <sheetName val="월별수입"/>
      <sheetName val="위치"/>
      <sheetName val="본사인상전"/>
      <sheetName val="울산자금"/>
      <sheetName val="동해title"/>
      <sheetName val="N賃率_職"/>
      <sheetName val="기계실냉난방"/>
      <sheetName val="HVAC"/>
      <sheetName val="확정분요약"/>
      <sheetName val="확정분세부"/>
      <sheetName val="일위총괄"/>
      <sheetName val=" 갑지"/>
      <sheetName val="학생내역"/>
      <sheetName val="도실건시"/>
      <sheetName val="제경비산출서"/>
      <sheetName val="전산망"/>
      <sheetName val="일정"/>
      <sheetName val="일위단가"/>
      <sheetName val="기안"/>
      <sheetName val="가시설단위수량"/>
      <sheetName val="맨홀토공"/>
      <sheetName val="맨홀수량산출"/>
      <sheetName val="일위대가1"/>
      <sheetName val="Macro3"/>
      <sheetName val="실행대비"/>
      <sheetName val="용수간선"/>
      <sheetName val=""/>
      <sheetName val="공사수행방안"/>
      <sheetName val="수량산출서 (2)"/>
      <sheetName val="공정코드"/>
      <sheetName val="가설식당"/>
      <sheetName val="이월"/>
      <sheetName val="장비 (2)"/>
      <sheetName val="COST"/>
      <sheetName val="전선 및 전선관"/>
      <sheetName val="공조기"/>
      <sheetName val="3BL공동구 수량"/>
      <sheetName val="APT내역"/>
      <sheetName val="부대시설"/>
      <sheetName val="Sheet17"/>
      <sheetName val="LF자재단가"/>
      <sheetName val="금리계산"/>
      <sheetName val="공통(20-91)"/>
      <sheetName val="환경평가"/>
      <sheetName val="95MAKER"/>
      <sheetName val="계정"/>
      <sheetName val="자동세륜기"/>
      <sheetName val="1회"/>
      <sheetName val="내역서1999.8최종"/>
      <sheetName val="입력데이타(비인쇄용)"/>
      <sheetName val="구성비"/>
      <sheetName val="Sheet1 (2)"/>
      <sheetName val="산식3"/>
      <sheetName val="암거 제원표"/>
      <sheetName val="본사공가현황"/>
      <sheetName val="도수로현황"/>
      <sheetName val="도급FORM"/>
      <sheetName val="콘크리트타설집계표"/>
      <sheetName val="양식_자재단가조사표"/>
      <sheetName val="부총"/>
      <sheetName val="대운반(철재)"/>
      <sheetName val="단위수량"/>
      <sheetName val="장비집계"/>
      <sheetName val="조작대(1연)"/>
      <sheetName val="위치조서"/>
      <sheetName val="6. 수량산출서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옥외외등집계표"/>
      <sheetName val="산출"/>
      <sheetName val="소방"/>
      <sheetName val="예산코드"/>
      <sheetName val="원가입력"/>
      <sheetName val="기준"/>
      <sheetName val="철근량"/>
      <sheetName val="일위대_x0000__x0000_Ԁ_x0000_䀀"/>
      <sheetName val="골조"/>
      <sheetName val="현장경비"/>
      <sheetName val="일위산출근거"/>
      <sheetName val="참조 (2)"/>
      <sheetName val="수문일1"/>
      <sheetName val="실적공사비"/>
      <sheetName val="일위대가집계"/>
      <sheetName val="동물이동통로"/>
      <sheetName val="토목내역서"/>
      <sheetName val="보고서_기기리스트1"/>
      <sheetName val="형상"/>
      <sheetName val="수량명세서"/>
      <sheetName val="I_설계조_x0000_"/>
      <sheetName val="집계표(육상)"/>
      <sheetName val="목록표"/>
      <sheetName val="설계명세서"/>
      <sheetName val="자재"/>
      <sheetName val="산근1"/>
      <sheetName val="조립1부실적"/>
      <sheetName val="재정비내역"/>
      <sheetName val="지적고시내역"/>
      <sheetName val="B"/>
      <sheetName val="기성(1차) "/>
      <sheetName val="NOMUBI"/>
      <sheetName val="sw1"/>
      <sheetName val="목록"/>
      <sheetName val="노무비"/>
      <sheetName val="개요2"/>
      <sheetName val="1.CB"/>
      <sheetName val="변수"/>
      <sheetName val="수배전(갑)"/>
      <sheetName val="투찰"/>
      <sheetName val="토공(1)"/>
      <sheetName val="준공조서갑지"/>
      <sheetName val="일위대가(계측기설치)"/>
      <sheetName val="재적표"/>
      <sheetName val="가시설(TYPE-A)"/>
      <sheetName val="1-1평균터파기고(1)"/>
      <sheetName val="제품정보"/>
      <sheetName val="상품수불(합산)"/>
      <sheetName val="wall"/>
      <sheetName val="일위대㐀븁_x0000__x0000_退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구조물"/>
      <sheetName val="대전(세창동)"/>
      <sheetName val="간접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비교1"/>
      <sheetName val="에어샵공사"/>
      <sheetName val="Sheet16"/>
      <sheetName val="효율표"/>
      <sheetName val="견내"/>
      <sheetName val="esc"/>
      <sheetName val="관경별내역서"/>
      <sheetName val="조도계산서_(도서_x0000_"/>
      <sheetName val="일위대가 "/>
      <sheetName val="1ST"/>
      <sheetName val="4 LINE"/>
      <sheetName val="7 th"/>
      <sheetName val="CTEMCOST"/>
      <sheetName val="ELECTRIC"/>
      <sheetName val="SCHEDULE"/>
      <sheetName val="기계실"/>
      <sheetName val="포장(수량)-관로부"/>
      <sheetName val="골재산출"/>
      <sheetName val="전철"/>
      <sheetName val="수우미양가(Vlookup)"/>
      <sheetName val="하수급견적대비"/>
      <sheetName val="설계서"/>
      <sheetName val="20관리비율"/>
      <sheetName val="수량산출서집계"/>
      <sheetName val="맨홀수량"/>
      <sheetName val="5사남"/>
      <sheetName val="일위CODE"/>
      <sheetName val="콘_재료분리(1)"/>
      <sheetName val="NNV"/>
      <sheetName val="04변경-상하"/>
      <sheetName val="CON'C"/>
      <sheetName val="간접비"/>
      <sheetName val="실행내역서(DCU)"/>
      <sheetName val="토공 토적표"/>
      <sheetName val="현황산출서"/>
      <sheetName val="MSS"/>
      <sheetName val="정화조"/>
      <sheetName val="토공 total"/>
      <sheetName val="공기압舓⿫_x0005_"/>
      <sheetName val="공기압妐&quot;姜"/>
      <sheetName val="新철폐복2"/>
      <sheetName val="新철폐복3"/>
      <sheetName val="新철폐복"/>
      <sheetName val="내역서(100%)"/>
      <sheetName val="아파트 "/>
      <sheetName val="변경내역"/>
      <sheetName val="상반기손익차2총괄"/>
      <sheetName val="49일위"/>
      <sheetName val="22일위"/>
      <sheetName val="자재단가리스트"/>
      <sheetName val="전압강하자료"/>
      <sheetName val="현장조사"/>
      <sheetName val="REDUCER"/>
      <sheetName val="WE'T"/>
      <sheetName val="견적의뢰서"/>
      <sheetName val="인건-측정"/>
      <sheetName val="갑지.을지"/>
      <sheetName val="기타"/>
      <sheetName val="각종양식"/>
      <sheetName val="&lt;--"/>
      <sheetName val="전사 (2)"/>
      <sheetName val="BA (2)"/>
      <sheetName val="CP (2)"/>
      <sheetName val="시산표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마스터원본"/>
      <sheetName val="접속도수량집계표"/>
      <sheetName val="전기단가조사서"/>
      <sheetName val="난간벽단위"/>
      <sheetName val="울산자동제어"/>
      <sheetName val="단위중량"/>
      <sheetName val="조직"/>
      <sheetName val="정산서"/>
      <sheetName val="지급자재"/>
      <sheetName val="간지"/>
      <sheetName val="안정검토"/>
      <sheetName val="경비_원본"/>
      <sheetName val="식음료"/>
      <sheetName val="apt수량"/>
      <sheetName val="현금"/>
      <sheetName val="첨부1"/>
      <sheetName val="LIST"/>
      <sheetName val="기성갑지"/>
      <sheetName val="MIJIBI"/>
      <sheetName val="0Title"/>
      <sheetName val="할빙수"/>
      <sheetName val="포장수량집계"/>
      <sheetName val="예산조서(전송)"/>
      <sheetName val="간접경상비"/>
      <sheetName val="주bea_xdcf0_"/>
      <sheetName val="유효폭의 계산"/>
      <sheetName val="다곡2교"/>
      <sheetName val="날개수집"/>
      <sheetName val="한일양산"/>
      <sheetName val="2-2.매출분석"/>
      <sheetName val="J"/>
      <sheetName val="견적시담(송포2공구)"/>
      <sheetName val="(당평)자재"/>
      <sheetName val="감가상각비대체내역"/>
      <sheetName val="2"/>
      <sheetName val="변경명신물량 (2)"/>
      <sheetName val="덤프트럭계수"/>
      <sheetName val="조경수량"/>
      <sheetName val="부하LOAD"/>
      <sheetName val="미납품 현황"/>
      <sheetName val="물류최종8월7"/>
      <sheetName val="설-원가"/>
      <sheetName val="세목별"/>
      <sheetName val="일위대가목록표"/>
      <sheetName val="K1자재(3차등)"/>
      <sheetName val="제수변수량"/>
      <sheetName val="교대(A1)"/>
      <sheetName val="I_설계조多"/>
      <sheetName val="일위1"/>
      <sheetName val="보할"/>
      <sheetName val="배수관연장조서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자재집계"/>
      <sheetName val="F4-F7"/>
      <sheetName val="FAB별"/>
      <sheetName val="화설내"/>
      <sheetName val="송전기본"/>
      <sheetName val="부대대비"/>
      <sheetName val="냉연집계"/>
      <sheetName val="15100"/>
      <sheetName val="자갈,시멘트,모래산출"/>
      <sheetName val="집계"/>
      <sheetName val="기준액"/>
      <sheetName val="담보"/>
      <sheetName val="선정요령"/>
      <sheetName val="건축원가계산서"/>
      <sheetName val="수정계획3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2분기"/>
      <sheetName val="예산실적전체당월"/>
      <sheetName val="건축집계"/>
      <sheetName val="H-pile(298x299)"/>
      <sheetName val="H-pile(250x250)"/>
      <sheetName val="시추조사비"/>
      <sheetName val="S0"/>
      <sheetName val="을부담운반비"/>
      <sheetName val="STEEL BOX 단면설계(SEC.8)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사업부구분코드"/>
      <sheetName val="급,배기팬"/>
      <sheetName val="단양 00 아파트-세부내역"/>
      <sheetName val="임차비용"/>
      <sheetName val="인적사항(누적)"/>
      <sheetName val="내역1"/>
      <sheetName val="매입"/>
      <sheetName val="Scenario"/>
      <sheetName val="기존단가 (2)"/>
      <sheetName val="대_x0000__x0000_"/>
      <sheetName val="95년12월말"/>
      <sheetName val="설계내역(2001)"/>
      <sheetName val="제조노임"/>
      <sheetName val="인입관수량총괄"/>
      <sheetName val="데이터유효성검사자료"/>
      <sheetName val="기본설계기준"/>
      <sheetName val="자격 땡겨오기"/>
      <sheetName val="설명서 "/>
      <sheetName val="FACTOR"/>
      <sheetName val="램머"/>
      <sheetName val="1,2,3,4_x0000__x0000_界Þ多⽬"/>
      <sheetName val="1,2,3,4_x0005__x0000__x0000__x0000__x0000_"/>
      <sheetName val="영업소실적"/>
      <sheetName val="과업지시서"/>
      <sheetName val="2.단면가정 (양곡1교)"/>
      <sheetName val="단가비교표_공통1"/>
      <sheetName val="판정1교토공"/>
      <sheetName val="05년 상"/>
      <sheetName val="영흥TL(UP,DOWN) "/>
      <sheetName val="8.PILE  (돌출)"/>
      <sheetName val="DTCT"/>
      <sheetName val="실_인건비(5월부터)"/>
      <sheetName val="현장별정리"/>
      <sheetName val="GDP"/>
      <sheetName val="일일입력"/>
      <sheetName val="품목등록"/>
      <sheetName val="표지 (2)"/>
      <sheetName val="수완하도"/>
      <sheetName val="김포내역"/>
      <sheetName val="우석문틀"/>
      <sheetName val="제1영업소"/>
      <sheetName val="제2영업소"/>
      <sheetName val="제3영업소"/>
      <sheetName val="ITB COST"/>
      <sheetName val="결재_x0000_"/>
      <sheetName val="매출그래프"/>
      <sheetName val="원료"/>
      <sheetName val="전도품의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4. VOs summary"/>
      <sheetName val="125x125"/>
      <sheetName val="예총"/>
      <sheetName val="SEX"/>
      <sheetName val="Quantity"/>
      <sheetName val="TOSHIBA-Structure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관급현황"/>
      <sheetName val="기술조건"/>
      <sheetName val="1.내역(청.하역장전등)"/>
      <sheetName val="기계"/>
      <sheetName val="자재테이블"/>
      <sheetName val="WEON"/>
      <sheetName val="단가조사-1"/>
      <sheetName val="갑지_설계 내역서"/>
      <sheetName val="6_산출닑⾱_x0005__x0000_"/>
      <sheetName val="단가산출(T)"/>
      <sheetName val="코_x0000_"/>
      <sheetName val="기타#9"/>
      <sheetName val="현장실사자료"/>
      <sheetName val="만년달력"/>
      <sheetName val="직접뀀鞖/_x0000_"/>
      <sheetName val="학익동신동아5차CD365"/>
      <sheetName val="문10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건축공사집계"/>
      <sheetName val="설변단가적용현황"/>
      <sheetName val="변경내역서"/>
      <sheetName val=" 견적서"/>
      <sheetName val="미장"/>
      <sheetName val="철골"/>
      <sheetName val="6동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집계장"/>
      <sheetName val="품셈총괄표"/>
      <sheetName val="Chiet tinh dz35"/>
      <sheetName val="RATE"/>
      <sheetName val="4.2.1 마루높이 검토"/>
      <sheetName val="유지정비"/>
      <sheetName val="용역인건비"/>
      <sheetName val="JUCK"/>
      <sheetName val="수량산출서 갑지"/>
      <sheetName val="7_산출(⠀榅弁䘿_x0000_"/>
      <sheetName val="하조서"/>
      <sheetName val="2002상반기노임기준"/>
      <sheetName val="수량계산"/>
      <sheetName val="일위산출"/>
      <sheetName val="종단계산"/>
      <sheetName val="용산1(해보)"/>
      <sheetName val="내역_verᔈ_x0000__x0000_"/>
      <sheetName val="계산_x0000__x0000_"/>
      <sheetName val="LD"/>
      <sheetName val="산출근거#2-3"/>
      <sheetName val="설계명세"/>
      <sheetName val="재료할증"/>
      <sheetName val="2000.05"/>
      <sheetName val="보고"/>
      <sheetName val="장문교(대전)"/>
      <sheetName val="계정1"/>
      <sheetName val="품셈 "/>
      <sheetName val="음성cable"/>
      <sheetName val="M-EMS GP-570(BIT)"/>
      <sheetName val="일위대"/>
      <sheetName val="일위대㐀븁"/>
      <sheetName val="일반수량총괄집계"/>
      <sheetName val="오동"/>
      <sheetName val="대조"/>
      <sheetName val="나한"/>
      <sheetName val="내역서 제출"/>
      <sheetName val="DATA LISTS"/>
      <sheetName val="시운전"/>
      <sheetName val="시운전绸7"/>
      <sheetName val="수량산출목록표"/>
      <sheetName val="인구"/>
      <sheetName val="설계예산서(2_소천우회토목)"/>
      <sheetName val="투찰(하수)"/>
      <sheetName val="수토공단위당"/>
      <sheetName val="부안변전"/>
      <sheetName val="구조물터파기수량집계"/>
      <sheetName val="일위집계"/>
      <sheetName val="설원"/>
      <sheetName val="정리계槜〚_x0000__x0000_䇀"/>
      <sheetName val="주bea?"/>
      <sheetName val="제수문집계"/>
      <sheetName val="Data&amp;Result"/>
      <sheetName val="토공(완충)"/>
      <sheetName val="자재기성 신청서.xlsx"/>
      <sheetName val="ASP"/>
      <sheetName val="원_x0000__x0000_"/>
      <sheetName val="보활"/>
      <sheetName val="집행(2-1)"/>
      <sheetName val="돈암사업"/>
      <sheetName val="TABLE DB"/>
      <sheetName val="쌍용 data base"/>
      <sheetName val=" FURNACE현설"/>
      <sheetName val="97 사업추정(WEKI)"/>
      <sheetName val="10공-_x0000_Ԁ"/>
      <sheetName val="6__안전관慨⻥"/>
      <sheetName val="단가시흥"/>
      <sheetName val="공량·_x0000__x0000_"/>
      <sheetName val="공량×"/>
      <sheetName val="신대방33(적용)"/>
      <sheetName val="9GNG운¼"/>
      <sheetName val="[입찰안.xls]직접뀀鞖/_x0000_"/>
      <sheetName val="[입찰안.xls][입찰안.xls]직접뀀鞖/_x0000_"/>
      <sheetName val="토공_total"/>
      <sheetName val="공기압舓⿫"/>
      <sheetName val="기성(1차)_"/>
      <sheetName val="요율표"/>
      <sheetName val="3련_B䀀㽚"/>
      <sheetName val="마감산출"/>
      <sheetName val="세부내역서"/>
      <sheetName val="design_crit_x0000__x0000__x0005__x0000_"/>
      <sheetName val="업체별기성내역"/>
      <sheetName val="사진첩"/>
      <sheetName val="8.설치품셈"/>
      <sheetName val="7월11일"/>
      <sheetName val="조직관리비"/>
      <sheetName val="수선비"/>
      <sheetName val="원가명세"/>
      <sheetName val="사발차명세표"/>
      <sheetName val="손익"/>
      <sheetName val="분개장·원장"/>
      <sheetName val="plan&amp;section_of__x0000__x0000__x0005__x0000_冰﹢Ƚ_x0000__x0000__x0000_"/>
      <sheetName val="Bảng mã VT"/>
      <sheetName val="시약"/>
      <sheetName val="전기2005"/>
      <sheetName val="통신2005"/>
      <sheetName val="공사비증감"/>
      <sheetName val="VXXXXXXX"/>
      <sheetName val="중기조종사 단위단가"/>
      <sheetName val="참조표"/>
      <sheetName val="pile_bearing_capa_&amp;_¬웰ﾕ쀀_x0005_"/>
      <sheetName val="pile_bearing_capa_&amp;_¬웰ﾕ_x0000_ﳪ_x0005_"/>
      <sheetName val="뚝토공"/>
      <sheetName val="[입찰안.xls][입찰안.xls][입찰안.xls]B_13"/>
      <sheetName val="공사비예산서"/>
      <sheetName val="공사비예"/>
      <sheetName val="b_balju_cho"/>
      <sheetName val="장비가동"/>
      <sheetName val="소포내역_x0000__x0000__x0005__x0000_"/>
      <sheetName val="[입찰안.xls][입찰안.xls][입찰안.xls]B_12"/>
      <sheetName val="[입찰안.xls][입찰안.xls][입찰안.xls]B_11"/>
      <sheetName val="[입찰안.xls][입찰안.xls][입찰안.xls]B__2"/>
      <sheetName val="납부서"/>
      <sheetName val="3련_Bꨀ덽"/>
      <sheetName val="working_load_at０ʵŚÃ堠ᴕ_x0000__x0000__x0000__x0000__x0000__x0000_"/>
      <sheetName val="자단"/>
      <sheetName val="내역(인테리어 실내)(도급)"/>
      <sheetName val="내역(인테리어 실외)(도급)"/>
      <sheetName val="공기압¬_x0000_Ԁ"/>
      <sheetName val="Front"/>
      <sheetName val="0.목록1"/>
      <sheetName val="[입찰안.xls][입찰안.xls][입찰안.xls]B_10"/>
      <sheetName val="[입찰안.xls][입찰안.xls][입찰안.xls]B__3"/>
      <sheetName val="[입찰안.xls][입찰안.xls][입찰안.xls]B__7"/>
      <sheetName val="[입찰안.xls][입찰안.xls][입찰안.xls]B__4"/>
      <sheetName val="[입찰안.xls][입찰안.xls][입찰안.xls]B__5"/>
      <sheetName val="[입찰안.xls][입찰안.xls][입찰안.xls]B__6"/>
      <sheetName val="[입찰안.xls][입찰안.xls][입찰안.xls]B__8"/>
      <sheetName val="[입찰안.xls][입찰안.xls][입찰안.xls]B__9"/>
      <sheetName val="식재"/>
      <sheetName val="시설물"/>
      <sheetName val="식재출력용"/>
      <sheetName val="유지관리"/>
      <sheetName val="조도계산서Å_x0000_Ԁ_x0000__x0000_"/>
      <sheetName val="조도계산서Å_x0000_Ԁ_x0000_耀"/>
      <sheetName val="일위대가(집계_x0000_"/>
      <sheetName val="토공집계표"/>
      <sheetName val="5호광장_(만점)3"/>
      <sheetName val="인천국제_(만점)_(2)3"/>
      <sheetName val="Total_단위경유량집계3"/>
      <sheetName val="토공유동표(전체_당초)3"/>
      <sheetName val="준검_내역서3"/>
      <sheetName val="1_수인터널3"/>
      <sheetName val="BH-1_(2)3"/>
      <sheetName val="표__지3"/>
      <sheetName val="投标材料清单_2"/>
      <sheetName val="앉음벽_(2)3"/>
      <sheetName val="4_전기3"/>
      <sheetName val="_HIT__HMC_견적_3900_3"/>
      <sheetName val="I_설계조건3"/>
      <sheetName val="7__현장관리비_3"/>
      <sheetName val="6__안전관리비3"/>
      <sheetName val="노원열병합__건축공사기성내역서3"/>
      <sheetName val="1_설계조건3"/>
      <sheetName val="조도계산서_(도서)3"/>
      <sheetName val="소포내역_(2)3"/>
      <sheetName val="MSS_23"/>
      <sheetName val="11_산출(전열)3"/>
      <sheetName val="6_산출(동력)3"/>
      <sheetName val="7_산출(TRAY)3"/>
      <sheetName val="5_산출(전력)2"/>
      <sheetName val="수량산출서(전력간선_지하D_C)2"/>
      <sheetName val="우수관매설및_우수받이3"/>
      <sheetName val="11_우각부_보강3"/>
      <sheetName val="제출내역_(2)3"/>
      <sheetName val="내___역2"/>
      <sheetName val="내역_ver1_03"/>
      <sheetName val="플랜트_설치2"/>
      <sheetName val="plan&amp;section_of_foundation3"/>
      <sheetName val="pile_bearing_capa_&amp;_arrenge3"/>
      <sheetName val="working_load_at_the_btm_ft_3"/>
      <sheetName val="stability_check3"/>
      <sheetName val="design_criteria3"/>
      <sheetName val="2_1__노무비_평균단가산출2"/>
      <sheetName val="보고서_기기리스트2"/>
      <sheetName val="3련_BOX3"/>
      <sheetName val="배수내역_(2)2"/>
      <sheetName val="배수공_시멘트_및_골재량_산출2"/>
      <sheetName val="A_견적2"/>
      <sheetName val="unit_42"/>
      <sheetName val="spc_배관견적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Sheet1_(2)1"/>
      <sheetName val="Eq__Mobilization2"/>
      <sheetName val="노무비_근거1"/>
      <sheetName val="제수변_수량집계표(보통)1"/>
      <sheetName val="장비_(2)1"/>
      <sheetName val="3BL공동구_수량1"/>
      <sheetName val="5_동별횡주관경1"/>
      <sheetName val="암거_제원표1"/>
      <sheetName val="CM_11"/>
      <sheetName val="_갑지1"/>
      <sheetName val="6__수량산출서1"/>
      <sheetName val="참조_(2)1"/>
      <sheetName val="일위대가_1"/>
      <sheetName val="4_LINE1"/>
      <sheetName val="7_th1"/>
      <sheetName val="도담구내_개소별_명柖1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수량산출서_(2)"/>
      <sheetName val="1_CB"/>
      <sheetName val="습식및_셀프레벨링1"/>
      <sheetName val="1차_내역서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전사_(2)"/>
      <sheetName val="BA_(2)"/>
      <sheetName val="CP_(2)"/>
      <sheetName val="토공_토적표"/>
      <sheetName val="4__VOs_summary"/>
      <sheetName val="주bea"/>
      <sheetName val="변경명신물량_(2)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기존단가_(2)"/>
      <sheetName val="外構・目次"/>
      <sheetName val="工場棟・目次"/>
      <sheetName val="事務棟・目次"/>
      <sheetName val="gvl"/>
      <sheetName val="電気設備表"/>
      <sheetName val="预算"/>
      <sheetName val="Bảng_mã_VT"/>
      <sheetName val="Chiet_tinh_dz35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Elec LG"/>
      <sheetName val="ESTI."/>
      <sheetName val="DI-ESTI"/>
      <sheetName val="1_MV"/>
      <sheetName val="받을어음"/>
      <sheetName val="시작"/>
      <sheetName val="투자자산"/>
      <sheetName val="대손상각"/>
      <sheetName val="Translation"/>
      <sheetName val="D &amp; W sizes"/>
      <sheetName val="単価表"/>
      <sheetName val="Gia vat tu"/>
      <sheetName val="DI_ESTI"/>
      <sheetName val="dtct cong"/>
      <sheetName val="HS"/>
      <sheetName val="01. DATA"/>
      <sheetName val="BG"/>
      <sheetName val="LEGEND"/>
      <sheetName val="NOTE"/>
      <sheetName val="SCOPE OF WORK"/>
      <sheetName val="IBASE"/>
      <sheetName val="DGCT (01)"/>
      <sheetName val="Chi tiet"/>
      <sheetName val="FitOutConfCentre"/>
      <sheetName val="예산M12A"/>
      <sheetName val="단_x0005__x0000_"/>
      <sheetName val="CONCRETE"/>
      <sheetName val="원가&amp;하도급원가"/>
      <sheetName val="[입찰안.xls][입찰안.xls][입찰안.xls]B_14"/>
      <sheetName val="[입찰안.xls][입찰안.xls][입찰안.xls]B_18"/>
      <sheetName val="[입찰안.xls][입찰안.xls][입찰안.xls]B_16"/>
      <sheetName val="[입찰안.xls][입찰안.xls][입찰안.xls]B_15"/>
      <sheetName val="[입찰안.xls][입찰안.xls][입찰안.xls]B_17"/>
      <sheetName val="적산"/>
      <sheetName val="[입찰안.xls][입찰안.xls][입찰안.xls]B_30"/>
      <sheetName val="[입찰안.xls][입찰안.xls][입찰안.xls]B_29"/>
      <sheetName val="[입찰안.xls][입찰안.xls][입찰안.xls]B_2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3"/>
      <sheetName val="[입찰안.xls][입찰안.xls][입찰안.xls]B_24"/>
      <sheetName val="[입찰안.xls][입찰안.xls][입찰안.xls]B_25"/>
      <sheetName val="[입찰안.xls][입찰안.xls][입찰안.xls]B_26"/>
      <sheetName val="[입찰안.xls][입찰안.xls][입찰안.xls]B_27"/>
      <sheetName val="[입찰안.xls][입찰안.xls][입찰안.xls]B_59"/>
      <sheetName val="[입찰안.xls][입찰안.xls][입찰안.xls]B_58"/>
      <sheetName val="[입찰안.xls][입찰안.xls][입찰안.xls]B_57"/>
      <sheetName val="가로등내역서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정리계槜で_x0000__x0000_ｐ"/>
      <sheetName val="정리계槜で_x0000__x0000_㟠"/>
      <sheetName val="일위총괄표"/>
      <sheetName val="부안일위"/>
      <sheetName val="만봉용지매수비(총괄)"/>
      <sheetName val="일위(토,포,부)"/>
      <sheetName val="(원)기흥상갈"/>
      <sheetName val="갑지_을지"/>
      <sheetName val="2-2_매출분석"/>
      <sheetName val="설명서_"/>
      <sheetName val="유효폭의_계산"/>
      <sheetName val="STEEL_BOX_단면설계(SEC_8)"/>
      <sheetName val="미납품_현황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현장경비(공사금액별)"/>
      <sheetName val="자격증"/>
      <sheetName val="제잡비1"/>
      <sheetName val="[입찰안.xls][입찰안.xls][입찰안.xls]B_33"/>
      <sheetName val="[입찰안.xls][입찰안.xls][입찰안.xls]B_31"/>
      <sheetName val="[입찰안.xls][입찰안.xls][입찰안.xls]B_34"/>
      <sheetName val="[입찰안.xls][입찰안.xls][입찰안.xls]B_32"/>
      <sheetName val="[입찰안.xls][입찰안.xls][입찰안.xls]B_35"/>
      <sheetName val="[입찰안.xls][입찰안.xls][입찰안.xls]B_37"/>
      <sheetName val="[입찰안.xls][입찰안.xls][입찰안.xls]B_36"/>
      <sheetName val="[입찰안.xls][입찰안.xls][입찰안.xls]___2"/>
      <sheetName val="PROJ. DATA"/>
      <sheetName val=" Beams Sched "/>
      <sheetName val="현우실적"/>
      <sheetName val="cal1"/>
      <sheetName val="bqmpaloc"/>
      <sheetName val="[입찰안.xls][입찰안.xls][입찰안.xls]B_40"/>
      <sheetName val="[입찰안.xls][입찰안.xls][입찰안.xls]B_41"/>
      <sheetName val="[입찰안.xls][입찰안.xls][입찰안.xls]B_42"/>
      <sheetName val="발주내역"/>
      <sheetName val="nhôm 1,2mm"/>
      <sheetName val="nhôm 1,4mm"/>
      <sheetName val="[입찰안.xls][입찰안.xls][입찰안.xls]B_38"/>
      <sheetName val="[입찰안.xls][입찰안.xls][입찰안.xls]B_39"/>
      <sheetName val="[입찰안.xls][입찰안.xls][입찰안.xls]B_43"/>
      <sheetName val="[입찰안.xls][입찰안.xls][입찰안.xls]B_46"/>
      <sheetName val="[입찰안.xls][입찰안.xls][입찰안.xls]B_45"/>
      <sheetName val="[입찰안.xls][입찰안.xls][입찰안.xls]B_44"/>
      <sheetName val="[입찰안.xls][입찰안.xls][입찰안.xls]B_49"/>
      <sheetName val="[입찰안.xls][입찰안.xls][입찰안.xls]B_50"/>
      <sheetName val="[입찰안.xls][입찰안.xls][입찰안.xls]B_48"/>
      <sheetName val="[입찰안.xls][입찰안.xls][입찰안.xls]B_47"/>
      <sheetName val="[입찰안.xls][입찰안.xls][입찰안.xls]B_53"/>
      <sheetName val="[입찰안.xls][입찰안.xls][입찰안.xls]B_51"/>
      <sheetName val="[입찰안.xls][입찰안.xls][입찰안.xls]B_52"/>
      <sheetName val="[입찰안.xls][입찰안.xls][입찰안.xls]B_56"/>
      <sheetName val="[입찰안.xls][입찰안.xls][입찰안.xls]B_54"/>
      <sheetName val="[입찰안.xls][입찰안.xls][입찰안.xls]B_55"/>
      <sheetName val="[입찰안.xls][입찰안.xls][입찰안.xls]B_60"/>
      <sheetName val="발주A"/>
      <sheetName val="H-PILE수량집계"/>
      <sheetName val="1,2,3,4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So sanh"/>
      <sheetName val="주bea_"/>
      <sheetName val="DHEQ㧈讄䰀漐"/>
      <sheetName val="[입찰안.xls][입찰안.xls][입찰안.xls]B_61"/>
      <sheetName val="수량산출서집계(_x0000__x0000__x0005__x0000_"/>
      <sheetName val="수량산출서집계(_x0000__x0000__x0005__x0000_瞀"/>
      <sheetName val="물가시세"/>
      <sheetName val="본사업"/>
      <sheetName val="총투자비"/>
      <sheetName val="wbs2차"/>
      <sheetName val="수량"/>
      <sheetName val="교량전기"/>
      <sheetName val="손익차9월頀"/>
      <sheetName val="시운전壒》"/>
      <sheetName val="CableSchedule"/>
      <sheetName val="빗물받이(910-510-410)"/>
      <sheetName val="을지"/>
      <sheetName val="차량(구)"/>
      <sheetName val="배수로집계"/>
      <sheetName val="현장"/>
      <sheetName val="참고자료"/>
      <sheetName val="대차대조표"/>
      <sheetName val="손익계산서"/>
      <sheetName val="이익잉여금"/>
      <sheetName val="상세손익"/>
      <sheetName val="수량산출서집´_x0000_Ԁ_x0000_耀֜䌛"/>
      <sheetName val="자재대"/>
      <sheetName val="입상내역"/>
      <sheetName val="Gian"/>
      <sheetName val="중강당 내역"/>
      <sheetName val="[입찰안.xls][입찰안.xls][입찰안.xls]_127"/>
      <sheetName val="[입찰안.xls][입찰안.xls][입찰안.xls]_125"/>
      <sheetName val="[입찰안.xls][입찰안.xls][입찰안.xls]_126"/>
      <sheetName val="[입찰안.xls][입찰안.xls][입찰안.xls]B_66"/>
      <sheetName val="[입찰안.xls][입찰안.xls][입찰안.xls]B_67"/>
      <sheetName val="[입찰안.xls][입찰안.xls][입찰안.xls]B_62"/>
      <sheetName val="[입찰안.xls][입찰안.xls][입찰안.xls]B_64"/>
      <sheetName val="[입찰안.xls][입찰안.xls][입찰안.xls]B_63"/>
      <sheetName val="[입찰안.xls][입찰안.xls][입찰안.xls]B_65"/>
      <sheetName val="견적비교표 (2)"/>
      <sheetName val="작성방법(지우지마세요)"/>
      <sheetName val="결재방(지우지 마세요)"/>
      <sheetName val="0"/>
      <sheetName val="Cọc nhồi"/>
      <sheetName val="Phan tich ca may"/>
      <sheetName val="Chenh lech ca may"/>
      <sheetName val="TLg CN&amp;Laixe"/>
      <sheetName val="TLg CN&amp;Laixe (2)"/>
      <sheetName val="TLg Laitau"/>
      <sheetName val="TLg Laitau (2)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tvt"/>
      <sheetName val="SCOPE_OF_WORK"/>
      <sheetName val="거래처CODE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Gia VLNCMTC"/>
      <sheetName val="BIDDING-SUM"/>
      <sheetName val="Dầm 1"/>
      <sheetName val="제품마스터"/>
      <sheetName val="chitiet"/>
      <sheetName val="Config"/>
      <sheetName val="Chiet tinh don gia CM"/>
      <sheetName val="조경수볰"/>
      <sheetName val="[입찰안.xls][입찰안.xls][입찰안.xls]B_82"/>
      <sheetName val="[입찰안.xls][입찰안.xls][입찰안.xls]B_68"/>
      <sheetName val="[입찰안.xls][입찰안.xls][입찰안.xls]B_70"/>
      <sheetName val="[입찰안.xls][입찰안.xls][입찰안.xls]B_69"/>
      <sheetName val="[입찰안.xls][입찰안.xls][입찰안.xls]B_71"/>
      <sheetName val="[입찰안.xls][입찰안.xls][입찰안.xls]B_73"/>
      <sheetName val="[입찰안.xls][입찰안.xls][입찰안.xls]B_72"/>
      <sheetName val="[입찰안.xls][입찰안.xls][입찰안.xls]B_77"/>
      <sheetName val="[입찰안.xls][입찰안.xls][입찰안.xls]B_83"/>
      <sheetName val="[입찰안.xls][입찰안.xls][입찰안.xls]B_74"/>
      <sheetName val="[입찰안.xls][입찰안.xls][입찰안.xls]B_75"/>
      <sheetName val="[입찰안.xls][입찰안.xls][입찰안.xls]B_76"/>
      <sheetName val="[입찰안.xls][입찰안.xls][입찰안.xls]B_79"/>
      <sheetName val="[입찰안.xls][입찰안.xls][입찰안.xls]B_78"/>
      <sheetName val="[입찰안.xls][입찰안.xls][입찰안.xls]B_80"/>
      <sheetName val="[입찰안.xls][입찰안.xls][입찰안.xls]B_81"/>
      <sheetName val="NP-총정리"/>
      <sheetName val="[입찰안.xls][입찰안.xls][입찰안.xls]B_88"/>
      <sheetName val="[입찰안.xls][입찰안.xls][입찰안.xls]B_84"/>
      <sheetName val="[입찰안.xls][입찰안.xls][입찰안.xls]B_85"/>
      <sheetName val="[입찰안.xls][입찰안.xls][입찰안.xls]B_86"/>
      <sheetName val="[입찰안.xls][입찰안.xls][입찰안.xls]B_87"/>
      <sheetName val="CB"/>
      <sheetName val="[입찰안.xls][입찰안.xls][입찰안.xls]___3"/>
      <sheetName val="노무비계"/>
      <sheetName val="1,2,3,4_x0005_"/>
      <sheetName val="EXCHANGE RATE"/>
      <sheetName val="정리계槜〚"/>
      <sheetName val="10공-"/>
      <sheetName val="design_crit"/>
      <sheetName val="조도계산서Ì_x0000_Ԁ_x0000_耀"/>
      <sheetName val="의견양식"/>
      <sheetName val="전기혼잡제경⻉ⴋԯ_x0000_缀"/>
      <sheetName val="pile_bearing_ca怀꿟세_x0000_䘀뤙_x0000__x0000_Ԁ_x0000_"/>
      <sheetName val="갑지_을지1"/>
      <sheetName val="2-2_매출분석1"/>
      <sheetName val="유효폭의_계산1"/>
      <sheetName val="미납품_현황1"/>
      <sheetName val="표지_(2)1"/>
      <sheetName val="STEEL_BOX_단면설계(SEC_8)1"/>
      <sheetName val="설명서_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2000_05"/>
      <sheetName val="05년_상1"/>
      <sheetName val="영흥TL(UP,DOWN)_1"/>
      <sheetName val="8_PILE__(돌출)1"/>
      <sheetName val="ITB_COST1"/>
      <sheetName val="6_산출닑⾱"/>
      <sheetName val="1,2,3,4"/>
      <sheetName val="4_2_1_마루높이_검토1"/>
      <sheetName val="TABLE_DB"/>
      <sheetName val="쌍용_data_base"/>
      <sheetName val="_견적서1"/>
      <sheetName val="수량산출서_갑지1"/>
      <sheetName val="품셈_"/>
      <sheetName val="M-EMS_GP-570(BIT)"/>
      <sheetName val="19_07월_세_계"/>
      <sheetName val="19_07항목별(시트복사금지100번쓰기)"/>
      <sheetName val="19_05월"/>
      <sheetName val="내역서_제출1"/>
      <sheetName val="_FURNACE현설"/>
      <sheetName val="97_사업추정(WEKI)"/>
      <sheetName val="[입찰안_xls]직접뀀鞖/"/>
      <sheetName val="[입찰안_xls][입찰안_xls]직접뀀鞖/"/>
      <sheetName val="자재기성_신청서_xlsx"/>
      <sheetName val="plan&amp;section_of_冰﹢Ƚ"/>
      <sheetName val="중기조종사_단위단가"/>
      <sheetName val="pile_bearing_capa_&amp;_¬웰ﾕ쀀"/>
      <sheetName val="pile_bearing_capa_&amp;_¬웰ﾕﳪ"/>
      <sheetName val="8_설치품셈"/>
      <sheetName val="소포내역"/>
      <sheetName val="0_목록1"/>
      <sheetName val="[입찰안_xls][입찰안_xls][입찰안_xls]___2"/>
      <sheetName val="내역(인테리어_실내)(도급)"/>
      <sheetName val="내역(인테리어_실외)(도급)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11_산출(전열)6"/>
      <sheetName val="6_산출(동력)6"/>
      <sheetName val="7_산출(TRAY)6"/>
      <sheetName val="5_산출(전력)5"/>
      <sheetName val="표__지6"/>
      <sheetName val="4_전기6"/>
      <sheetName val="BH-1_(2)6"/>
      <sheetName val="1_설계조건6"/>
      <sheetName val="조도계산서_(도서)6"/>
      <sheetName val="I_설계조건6"/>
      <sheetName val="앉음벽_(2)6"/>
      <sheetName val="노원열병합__건축공사기성내역서6"/>
      <sheetName val="수량산출서(전력간선_지하D_C)5"/>
      <sheetName val="소포내역_(2)6"/>
      <sheetName val="MSS_26"/>
      <sheetName val="우수관매설및_우수받이6"/>
      <sheetName val="11_우각부_보강6"/>
      <sheetName val="제출내역_(2)6"/>
      <sheetName val="A_견적5"/>
      <sheetName val="3련_BOX6"/>
      <sheetName val="2_1__노무비_평균단가산출5"/>
      <sheetName val="내역_ver1_06"/>
      <sheetName val="보고서_기기리스트5"/>
      <sheetName val="7__현장관리비_6"/>
      <sheetName val="6__안전관리비6"/>
      <sheetName val="_HIT__HMC_견적_3900_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배수공_시멘트_및_골재량_산출5"/>
      <sheetName val="배수내역_(2)5"/>
      <sheetName val="내___역5"/>
      <sheetName val="_HIT-&gt;HMC_견적(3900)5"/>
      <sheetName val="6PILE__(돌출)5"/>
      <sheetName val="SHEET_PILE단가5"/>
      <sheetName val="플랜트_설치5"/>
      <sheetName val="spc_배관견적5"/>
      <sheetName val="1_취수장5"/>
      <sheetName val="3_1공사현황_공정표5"/>
      <sheetName val="Customer_Databas5"/>
      <sheetName val="화재_탐지_설비5"/>
      <sheetName val="2차전체변경예정_(2)5"/>
      <sheetName val="전_기5"/>
      <sheetName val="설_계5"/>
      <sheetName val="목차_5"/>
      <sheetName val="unit_45"/>
      <sheetName val="노임_단가5"/>
      <sheetName val="귀래_설계_공내역서5"/>
      <sheetName val="BH_1__2_5"/>
      <sheetName val="세골재__T2_변경_현황5"/>
      <sheetName val="1_설계기준5"/>
      <sheetName val="집_계_표5"/>
      <sheetName val="참조_(2)4"/>
      <sheetName val="도담구내_개소별_명세5"/>
      <sheetName val="Cash_Flow-15"/>
      <sheetName val="8_현장관리비5"/>
      <sheetName val="7_안전관리비5"/>
      <sheetName val="개인별_순위표5"/>
      <sheetName val="별표_5"/>
      <sheetName val="내역서_5"/>
      <sheetName val="노임단가_(2)5"/>
      <sheetName val="제수변_수량집계표(보통)4"/>
      <sheetName val="投标材料清单_5"/>
      <sheetName val="3_공통공사대비5"/>
      <sheetName val="단가_및_재료비5"/>
      <sheetName val="RETAIL_(ABOVE)5"/>
      <sheetName val="5__현장관리비(new)_5"/>
      <sheetName val="장비비_명세서15"/>
      <sheetName val="단___산4"/>
      <sheetName val="실____단4"/>
      <sheetName val="암거_제원표4"/>
      <sheetName val="7_공정표5"/>
      <sheetName val="단면_(2)5"/>
      <sheetName val="2_대외공문5"/>
      <sheetName val="Eq__Mobilization5"/>
      <sheetName val="노무비_근거4"/>
      <sheetName val="전선_및_전선관4"/>
      <sheetName val="3BL공동구_수량4"/>
      <sheetName val="내역서1999_8최종4"/>
      <sheetName val="Sheet1_(2)4"/>
      <sheetName val="_갑지4"/>
      <sheetName val="5_동별횡주관경4"/>
      <sheetName val="CM_14"/>
      <sheetName val="6__수량산출서4"/>
      <sheetName val="장비_(2)4"/>
      <sheetName val="수량산출서_(2)3"/>
      <sheetName val="토공_total3"/>
      <sheetName val="기성(1차)_3"/>
      <sheetName val="일위대가_4"/>
      <sheetName val="4_LINE4"/>
      <sheetName val="7_th4"/>
      <sheetName val="습식및_셀프레벨링4"/>
      <sheetName val="1차_내역서4"/>
      <sheetName val="BSD_(2)3"/>
      <sheetName val="바_한일양산3"/>
      <sheetName val="Project_Brief3"/>
      <sheetName val="영업_일13"/>
      <sheetName val="기기_내역서3"/>
      <sheetName val="아파트_2"/>
      <sheetName val="1_CB3"/>
      <sheetName val="_소방공사_산출근거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전사_(2)3"/>
      <sheetName val="BA_(2)3"/>
      <sheetName val="CP_(2)3"/>
      <sheetName val="토공_토적표3"/>
      <sheetName val="변경명신물량_(2)3"/>
      <sheetName val="기존단가_(2)3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Cost_bd-&quot;A&quot;4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4__VOs_summary3"/>
      <sheetName val="Chiet_tinh_dz353"/>
      <sheetName val="19_07월_세_계1"/>
      <sheetName val="19_07항목별(시트복사금지100번쓰기)1"/>
      <sheetName val="19_05월1"/>
      <sheetName val="DATA_LISTS1"/>
      <sheetName val="_FURNACE현설1"/>
      <sheetName val="97_사업추정(WEKI)1"/>
      <sheetName val="8_설치품셈1"/>
      <sheetName val="내역서_제출2"/>
      <sheetName val="TABLE_DB1"/>
      <sheetName val="쌍용_data_base1"/>
      <sheetName val="Bảng_mã_VT3"/>
      <sheetName val="중기조종사_단위단가1"/>
      <sheetName val="자재기성_신청서_xlsx1"/>
      <sheetName val="0_목록11"/>
      <sheetName val="Elec_LG1"/>
      <sheetName val="ESTI_1"/>
      <sheetName val="[입찰안_xls][입찰안_xls][입찰안_xls]___1"/>
      <sheetName val="내역(인테리어_실내)(도급)1"/>
      <sheetName val="내역(인테리어_실외)(도급)1"/>
      <sheetName val="D_&amp;_W_sizes1"/>
      <sheetName val="Gia_vat_tu1"/>
      <sheetName val="dtct_cong1"/>
      <sheetName val="So_sanh"/>
      <sheetName val="단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장비코드표_0506012"/>
      <sheetName val="2007년_생산1부장비2"/>
      <sheetName val="2008년_생산부전장비코드2"/>
      <sheetName val="DDB부_장비_관리현황2"/>
      <sheetName val="Xunit_(단위환산)2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DGCT_(01)1"/>
      <sheetName val="SCOPE_OF_WORK1"/>
      <sheetName val="Chi_tiet1"/>
      <sheetName val="nhôm_1,2mm1"/>
      <sheetName val="nhôm_1,4mm1"/>
      <sheetName val="01__DATA1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[입찰안.xls][입찰안.xls][입찰안.xls]_124"/>
      <sheetName val="[입찰안.xls][입찰안.xls][입찰안.xls]_123"/>
      <sheetName val="[입찰안.xls][입찰안.xls][입찰안.xls]B_89"/>
      <sheetName val="[입찰안.xls][입찰안.xls][입찰안.xls]B_90"/>
      <sheetName val="[입찰안.xls][입찰안.xls][입찰안.xls]B_91"/>
      <sheetName val="[입찰안.xls][입찰안.xls][입찰안.xls]B_93"/>
      <sheetName val="[입찰안.xls][입찰안.xls][입찰안.xls]B_92"/>
      <sheetName val="[입찰안.xls][입찰안.xls][입찰안.xls]_100"/>
      <sheetName val="[입찰안.xls][입찰안.xls][입찰안.xls]B_99"/>
      <sheetName val="[입찰안.xls][입찰안.xls][입찰안.xls]B_98"/>
      <sheetName val="[입찰안.xls][입찰안.xls][입찰안.xls]B_97"/>
      <sheetName val="[입찰안.xls][입찰안.xls][입찰안.xls]B_95"/>
      <sheetName val="[입찰안.xls][입찰안.xls][입찰안.xls]B_94"/>
      <sheetName val="[입찰안.xls][입찰안.xls][입찰안.xls]B_96"/>
      <sheetName val="[입찰안.xls][입찰안.xls][입찰안.xls]_118"/>
      <sheetName val="[입찰안.xls][입찰안.xls][입찰안.xls]_101"/>
      <sheetName val="[입찰안.xls][입찰안.xls][입찰안.xls]_104"/>
      <sheetName val="[입찰안.xls][입찰안.xls][입찰안.xls]_103"/>
      <sheetName val="[입찰안.xls][입찰안.xls][입찰안.xls]_106"/>
      <sheetName val="[입찰안.xls][입찰안.xls][입찰안.xls]_102"/>
      <sheetName val="[입찰안.xls][입찰안.xls][입찰안.xls]_107"/>
      <sheetName val="[입찰안.xls][입찰안.xls][입찰안.xls]_105"/>
      <sheetName val="[입찰안.xls][입찰안.xls][입찰안.xls]_109"/>
      <sheetName val="[입찰안.xls][입찰안.xls][입찰안.xls]_111"/>
      <sheetName val="[입찰안.xls][입찰안.xls][입찰안.xls]_110"/>
      <sheetName val="[입찰안.xls][입찰안.xls][입찰안.xls]_108"/>
      <sheetName val="[입찰안.xls][입찰안.xls][입찰안.xls]_113"/>
      <sheetName val="[입찰안.xls][입찰안.xls][입찰안.xls]_114"/>
      <sheetName val="[입찰안.xls][입찰안.xls][입찰안.xls]_115"/>
      <sheetName val="[입찰안.xls][입찰안.xls][입찰안.xls]_112"/>
      <sheetName val="[입찰안.xls][입찰안.xls][입찰안.xls]_116"/>
      <sheetName val="[입찰안.xls][입찰안.xls][입찰안.xls]_117"/>
      <sheetName val="[입찰안.xls][입찰안.xls][입찰안.xls]_121"/>
      <sheetName val="[입찰안.xls][입찰안.xls][입찰안.xls]_120"/>
      <sheetName val="[입찰안.xls][입찰안.xls][입찰안.xls]_122"/>
      <sheetName val="[입찰안.xls][입찰안.xls][입찰안.xls]_119"/>
      <sheetName val="테이블"/>
      <sheetName val="기계경비산출기준"/>
      <sheetName val="TOWER 12TON"/>
      <sheetName val="총괄집계표"/>
      <sheetName val="일위대가耀쾑_x0000_"/>
      <sheetName val="일위대가갂窹"/>
      <sheetName val="일위대가_x0000__x0000_렀"/>
      <sheetName val="일위대가ꤥ"/>
      <sheetName val="적용비율"/>
      <sheetName val="0001new"/>
      <sheetName val="특수선일위대가"/>
      <sheetName val="공사투입계획(변경결의)19.9"/>
      <sheetName val="노무비 월별지급현황19.9"/>
      <sheetName val="갑지(외주기성)19.9"/>
      <sheetName val="재학생"/>
      <sheetName val="Sàn T1"/>
      <sheetName val="Lỗ thông gió"/>
      <sheetName val="Sàn tầng 01 ( old )"/>
      <sheetName val="KTCK"/>
      <sheetName val="THKP"/>
      <sheetName val="DAF-2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PS-Labour_M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DNTT"/>
      <sheetName val="실행내역서 "/>
      <sheetName val="각종단가"/>
      <sheetName val="중기가격"/>
      <sheetName val="집계장(뀀ﰡ 縞悧縳"/>
      <sheetName val="집계장(뀀ﰡ_x0000_䀰"/>
      <sheetName val="plan&amp;section_of勉_x0010__x0000__x0000__x0000__x0000__x0000__x0001_Ԁ_x0000__xdc00_"/>
      <sheetName val="단면ⲴǾ"/>
      <sheetName val="RAB AR&amp;STR"/>
      <sheetName val="Isolasi Luar Dalam"/>
      <sheetName val="Isolasi Luar"/>
      <sheetName val="Tiepdia"/>
      <sheetName val="노임단가 및 기계경비"/>
      <sheetName val="심사계산"/>
      <sheetName val="조도계산서Å"/>
      <sheetName val="plan&amp;section_of_"/>
      <sheetName val="pile_bearing_capa_&amp;_¬웰ﾕ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Div26 - Elect"/>
      <sheetName val="Phan_tich_ca_may"/>
      <sheetName val="Chenh_lech_ca_may"/>
      <sheetName val="TLg_CN&amp;Laixe"/>
      <sheetName val="TLg_CN&amp;Laixe_(2)"/>
      <sheetName val="TLg_Laitau"/>
      <sheetName val="TLg_Laitau_(2)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Dầm_1"/>
      <sheetName val="Gia_VLNCMTC"/>
      <sheetName val="Sàn_T1"/>
      <sheetName val="Lỗ_thông_gió"/>
      <sheetName val="Sàn_tầng_01_(_old_)"/>
      <sheetName val="Chiet_tinh_don_gia_CM"/>
      <sheetName val="Measure_1306"/>
      <sheetName val="EE_(3)"/>
      <sheetName val="DG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장悱_x0017_"/>
      <sheetName val="정리계槜で"/>
      <sheetName val="공기압¬"/>
      <sheetName val="[입찰안.xls][입찰안.xls][입찰안.xls]_128"/>
      <sheetName val="[입찰안.xls][입찰안.xls][입찰안.xls]_129"/>
      <sheetName val="[입찰안.xls][입찰안.xls][입찰안.xls]_130"/>
      <sheetName val="Cong"/>
      <sheetName val="GC산출"/>
      <sheetName val="BOQ"/>
      <sheetName val="1.R18 BF"/>
      <sheetName val="A"/>
      <sheetName val="G"/>
      <sheetName val="F-B"/>
      <sheetName val="H-J"/>
      <sheetName val="6.External works-R18"/>
      <sheetName val="[입찰안.xls][입찰안.xls][입찰안.xls]_138"/>
      <sheetName val="[입찰안.xls][입찰안.xls][입찰안.xls]_131"/>
      <sheetName val="할증 "/>
      <sheetName val="eq_data"/>
      <sheetName val="간접비 총괄표"/>
      <sheetName val="수량산출서집계("/>
      <sheetName val="수량산출서집´"/>
      <sheetName val="Requirement(Work Crew)"/>
      <sheetName val="노임단가(일반)"/>
      <sheetName val="Mc1"/>
      <sheetName val="영창26"/>
      <sheetName val="3련_BÈ_x0000_"/>
      <sheetName val="설명"/>
      <sheetName val="[입찰안.xls][입찰안.xls][입찰안.xls]_134"/>
      <sheetName val="[입찰안.xls][입찰안.xls][입찰안.xls]_133"/>
      <sheetName val="[입찰안.xls][입찰안.xls][입찰안.xls]_132"/>
      <sheetName val="[입찰안.xls][입찰안.xls][입찰안.xls]_135"/>
      <sheetName val="[입찰안.xls][입찰안.xls][입찰안.xls]_137"/>
      <sheetName val="[입찰안.xls][입찰안.xls][입찰안.xls]_136"/>
      <sheetName val="[입찰안.xls][입찰안.xls][입찰안.xls]_141"/>
      <sheetName val="[입찰안.xls][입찰안.xls][입찰안.xls]_139"/>
      <sheetName val="[입찰안.xls][입찰안.xls][입찰안.xls]_140"/>
      <sheetName val="[입찰안.xls][입찰안.xls][입찰안.xls]_142"/>
      <sheetName val="[입찰안.xls][입찰안.xls][입찰안.xls]_144"/>
      <sheetName val="[입찰안.xls][입찰안.xls][입찰안.xls]_143"/>
      <sheetName val="[입찰안.xls][입찰안.xls][입찰안.xls]_146"/>
      <sheetName val="[입찰안.xls][입찰안.xls][입찰안.xls]_149"/>
      <sheetName val="[입찰안.xls][입찰안.xls][입찰안.xls]_147"/>
      <sheetName val="[입찰안.xls][입찰안.xls][입찰안.xls]_145"/>
      <sheetName val="[입찰안.xls][입찰안.xls][입찰안.xls]_148"/>
      <sheetName val="[입찰안.xls][입찰안.xls][입찰안.xls]_151"/>
      <sheetName val="[입찰안.xls][입찰안.xls][입찰안.xls]_150"/>
      <sheetName val="[입찰안.xls][입찰안.xls][입찰안.xls]_152"/>
      <sheetName val="노.표-조"/>
      <sheetName val="A LINE"/>
      <sheetName val="pile_bearing_ca怀꿟세"/>
      <sheetName val="전기혼잡제경⻉ⴋԯ"/>
      <sheetName val="[입찰안.xls][입찰안.xls][입찰안.xls]_344"/>
      <sheetName val="[입찰안.xls][입찰안.xls][입찰안.xls]_343"/>
      <sheetName val="[입찰안.xls][입찰안.xls][입찰안.xls]_192"/>
      <sheetName val="정리계槜〩_x0000__x0000_８"/>
      <sheetName val="[입찰안.xls][입찰안.xls][입찰안.xls]_154"/>
      <sheetName val="[입찰안.xls][입찰안.xls][입찰안.xls]_153"/>
      <sheetName val="401"/>
      <sheetName val="[입찰안.xls][입찰안.xls][입찰안.xls]_163"/>
      <sheetName val="[입찰안.xls][입찰안.xls][입찰안.xls]_161"/>
      <sheetName val="[입찰안.xls][입찰안.xls][입찰안.xls]_156"/>
      <sheetName val="[입찰안.xls][입찰안.xls][입찰안.xls]_155"/>
      <sheetName val="[입찰안.xls][입찰안.xls][입찰안.xls]___4"/>
      <sheetName val="조달단가"/>
      <sheetName val="공사착공계"/>
      <sheetName val="비용"/>
      <sheetName val="전신"/>
      <sheetName val="원본(갑지)"/>
      <sheetName val="조경내역서"/>
      <sheetName val="공기압淀퍦"/>
      <sheetName val="_HIT__HMC_견_x0000__x0000__x0005__x0000_ꉀ펔ɠ"/>
      <sheetName val="[입찰안.xls][입찰안.xls][입찰안.xls]_157"/>
      <sheetName val="[입찰안.xls][입찰안.xls][입찰안.xls]_158"/>
      <sheetName val="AS접수관리"/>
      <sheetName val="일위대가목록(ems)"/>
      <sheetName val="원본자재"/>
      <sheetName val="6-1.보오링(1)"/>
      <sheetName val="PTDGDT"/>
      <sheetName val="일위대??Ԁ?䀀"/>
      <sheetName val="일위대㐀븁??退"/>
      <sheetName val="I_설계조?"/>
      <sheetName val="조도계산서_(도서?"/>
      <sheetName val="대??"/>
      <sheetName val="예산"/>
      <sheetName val="POL6차-PIPÁ_x0000_Ԁ"/>
      <sheetName val="POL6차-PIPⶌ쌈"/>
      <sheetName val="General Data"/>
      <sheetName val="1-7(재가공내역)"/>
      <sheetName val="노임변ᡆ콞"/>
      <sheetName val="표준차도부연장집계-ASP"/>
      <sheetName val="산출0"/>
      <sheetName val="VCV-BE-TONG"/>
      <sheetName val="Dulieu"/>
      <sheetName val="Bill 01 - CTN"/>
      <sheetName val="TEMP"/>
      <sheetName val="Gia"/>
      <sheetName val="020.235.2363"/>
      <sheetName val="GAEYO"/>
      <sheetName val="직접뀀鞖_"/>
      <sheetName val="CHITIET VL-NC-TT1p"/>
      <sheetName val="Project Infor"/>
      <sheetName val="Data input"/>
      <sheetName val="[입찰안_xls][입찰안_xls][입찰안_xls]B_17"/>
      <sheetName val="[입찰안_xls][입찰안_xls][입찰안_xls]B__5"/>
      <sheetName val="[입찰안_xls][입찰안_xls][입찰안_xls]B__8"/>
      <sheetName val="[입찰안_xls][입찰안_xls][입찰안_xls]B__6"/>
      <sheetName val="[입찰안_xls][입찰안_xls][입찰안_xls]B_23"/>
      <sheetName val="[입찰안_xls][입찰안_xls][입찰안_xls]B__7"/>
      <sheetName val="[입찰안_xls][입찰안_xls][입찰안_xls]B__9"/>
      <sheetName val="[입찰안_xls][입찰안_xls][입찰안_xls]B_10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5"/>
      <sheetName val="[입찰안_xls][입찰안_xls][입찰안_xls]B_24"/>
      <sheetName val="[입찰안_xls][입찰안_xls][입찰안_xls]B_26"/>
      <sheetName val="[입찰안_xls][입찰안_xls][입찰안_xls]B_27"/>
      <sheetName val="기계경비시간당손료목록"/>
      <sheetName val="[입찰안.xls][입찰안.xls][입찰안.xls]_160"/>
      <sheetName val="[입찰안.xls][입찰안.xls][입찰안.xls]_159"/>
      <sheetName val="[입찰안.xls][입찰안.xls][입찰안.xls]_162"/>
      <sheetName val="[입찰안.xls][입찰안.xls][입찰안.xls]_165"/>
      <sheetName val="[입찰안.xls][입찰안.xls][입찰안.xls]_164"/>
      <sheetName val="[입찰안.xls][입찰안.xls][입찰안.xls]_167"/>
      <sheetName val="[입찰안.xls][입찰안.xls][입찰안.xls]_168"/>
      <sheetName val="[입찰안.xls][입찰안.xls][입찰안.xls]_166"/>
      <sheetName val="[입찰안.xls][입찰안.xls][입찰안.xls]_169"/>
      <sheetName val="O＆P"/>
      <sheetName val="매각(6)"/>
      <sheetName val="토공수량산출"/>
      <sheetName val="토적계산서"/>
      <sheetName val="stability_xdc00_䘢䠂檱䠛檳"/>
      <sheetName val="휴가비,급량비"/>
      <sheetName val="[입찰안.xls][입찰안.xls][입찰안.xls]_170"/>
      <sheetName val="[입찰안.xls][입찰안.xls][입찰안.xls]_172"/>
      <sheetName val="[입찰안.xls][입찰안.xls][입찰안.xls]_171"/>
      <sheetName val="[입찰안.xls][입찰안.xls][입찰안.xls]_189"/>
      <sheetName val="[입찰안.xls][입찰안.xls][입찰안.xls]_176"/>
      <sheetName val="[입찰안.xls][입찰안.xls][입찰안.xls]_173"/>
      <sheetName val="[입찰안.xls][입찰안.xls][입찰안.xls]_174"/>
      <sheetName val="[입찰안.xls][입찰안.xls][입찰안.xls]_175"/>
      <sheetName val="[입찰안.xls][입찰안.xls][입찰안.xls]_187"/>
      <sheetName val="[입찰안.xls][입찰안.xls][입찰안.xls]_188"/>
      <sheetName val="Cable임피던스"/>
      <sheetName val="토공분배표"/>
      <sheetName val="판매시설"/>
      <sheetName val="경서-통신"/>
      <sheetName val="정산변경"/>
      <sheetName val="골재"/>
      <sheetName val="[입찰안.xls][입찰안.xls][입찰안.xls]_179"/>
      <sheetName val="[입찰안.xls][입찰안.xls][입찰안.xls]_177"/>
      <sheetName val="[입찰안.xls][입찰안.xls][입찰안.xls]_178"/>
      <sheetName val="[입찰안.xls][입찰안.xls][입찰안.xls]_180"/>
      <sheetName val="[입찰안.xls][입찰안.xls][입찰안.xls]_181"/>
      <sheetName val="[입찰안.xls][입찰안.xls][입찰안.xls]_182"/>
      <sheetName val="[입찰안.xls][입찰안.xls][입찰안.xls]_183"/>
      <sheetName val="[입찰안.xls][입찰안.xls][입찰안.xls]_185"/>
      <sheetName val="[입찰안.xls][입찰안.xls][입찰안.xls]_186"/>
      <sheetName val="[입찰안.xls][입찰안.xls][입찰안.xls]_184"/>
      <sheetName val="[입찰안.xls][입찰안.xls][입찰안.xls]_190"/>
      <sheetName val="[입찰안.xls][입찰안.xls][입찰안.xls]_191"/>
      <sheetName val="45,46"/>
      <sheetName val="[입찰안.xls][입찰안.xls][입찰안.xls]_342"/>
      <sheetName val="신우"/>
      <sheetName val="집계장(Â_x0000_蠀1_x0000__x0000_"/>
      <sheetName val="사  업  비  수  지  예  산  서"/>
      <sheetName val="특별땅고르기"/>
      <sheetName val="정리계㑸4鉨M槜"/>
      <sheetName val="내역서(삼호)"/>
      <sheetName val="운반비(시흥)"/>
      <sheetName val="リスト"/>
      <sheetName val="절대지우지말것"/>
      <sheetName val="1안98Billing"/>
      <sheetName val="[입찰안.xls][입찰안.xls][입찰안.xls]_225"/>
      <sheetName val="[입찰안.xls][입찰안.xls][입찰안.xls]_226"/>
      <sheetName val="[입찰안.xls][입찰안.xls][입찰안.xls]_227"/>
      <sheetName val="공사직종별노임"/>
      <sheetName val="[입찰안.xls][입찰안.xls][입찰안.xls]_194"/>
      <sheetName val="[입찰안.xls][입찰안.xls][입찰안.xls]_195"/>
      <sheetName val="[입찰안.xls][입찰안.xls][입찰안.xls]_196"/>
      <sheetName val="[입찰안.xls][입찰안.xls][입찰안.xls]_193"/>
      <sheetName val="[입찰안.xls][입찰안.xls][입찰안.xls]_197"/>
      <sheetName val="[입찰안.xls][입찰안.xls][입찰안.xls]_202"/>
      <sheetName val="[입찰안.xls][입찰안.xls][입찰안.xls]_198"/>
      <sheetName val="[입찰안.xls][입찰안.xls][입찰안.xls]_199"/>
      <sheetName val="[입찰안.xls][입찰안.xls][입찰안.xls]_201"/>
      <sheetName val="[입찰안.xls][입찰안.xls][입찰안.xls]_200"/>
      <sheetName val="MATRLDATA"/>
      <sheetName val="조도계산서Ì"/>
      <sheetName val="_입찰안.xls__입찰안.xls_직접뀀鞖_"/>
      <sheetName val="_입찰안.xls_직접뀀鞖_"/>
      <sheetName val="PL98"/>
      <sheetName val="bs"/>
      <sheetName val="BSM9601"/>
      <sheetName val="Sheet2 (2)"/>
      <sheetName val="인건비(환율)"/>
      <sheetName val="기계경비"/>
      <sheetName val="[입찰안.xls][입찰안.xls][입찰안.xls]_203"/>
      <sheetName val="[입찰안.xls][입찰안.xls][입찰안.xls]_204"/>
      <sheetName val="[입찰안.xls][입찰안.xls][입찰안.xls]_205"/>
      <sheetName val="새로이 설치할 정비기반시설 조서 나번 (2)"/>
      <sheetName val="급여대장(입력용)"/>
      <sheetName val="성명데이터"/>
      <sheetName val="design_c_x0000__x0000_Ȑꙭî_x0000_"/>
      <sheetName val="bang TH"/>
      <sheetName val="cov-estimate"/>
      <sheetName val="결재_x005f_x0000_"/>
      <sheetName val="KH-Q1,Q2,01"/>
      <sheetName val="BMS"/>
      <sheetName val="入力作成表"/>
      <sheetName val="Btra"/>
      <sheetName val="SUMMARY"/>
      <sheetName val="KC-moi"/>
      <sheetName val="XL4Poppy"/>
      <sheetName val="Phan tho"/>
      <sheetName val="Data-year2001i"/>
      <sheetName val="Tien Thuong"/>
      <sheetName val="NC XL 6T cuoi 01 CTy"/>
      <sheetName val="Data -6T dau"/>
      <sheetName val="Cong 6T"/>
      <sheetName val="6__안전관_x0000__x0000_"/>
      <sheetName val="[입찰안.xls][입찰안.xls][입찰안.xls]_206"/>
      <sheetName val="[입찰안.xls][입찰안.xls][입찰안.xls]_207"/>
      <sheetName val="[입찰안.xls][입찰안.xls][입찰안.xls]_208"/>
      <sheetName val="[입찰안.xls][입찰안.xls][입찰안.xls]_209"/>
      <sheetName val="[입찰안.xls][입찰안.xls][입찰안.xls]_210"/>
      <sheetName val="[입찰안.xls][입찰안.xls][입찰안.xls]_211"/>
      <sheetName val="[입찰안.xls][입찰안.xls][입찰안.xls]_212"/>
      <sheetName val="[입찰안.xls][입찰안.xls][입찰안.xls]_213"/>
      <sheetName val="[입찰안.xls][입찰안.xls][입찰안.xls]_214"/>
      <sheetName val="[입찰안.xls][입찰안.xls][입찰안.xls]_218"/>
      <sheetName val="[입찰안.xls][입찰안.xls][입찰안.xls]_215"/>
      <sheetName val="[입찰안.xls][입찰안.xls][입찰안.xls]_216"/>
      <sheetName val="[입찰안.xls][입찰안.xls][입찰안.xls]_217"/>
      <sheetName val="[입찰안.xls][입찰안.xls][입찰안.xls]_223"/>
      <sheetName val="[입찰안.xls][입찰안.xls][입찰안.xls]_221"/>
      <sheetName val="[입찰안.xls][입찰안.xls][입찰안.xls]_219"/>
      <sheetName val="[입찰안.xls][입찰안.xls][입찰안.xls]_220"/>
      <sheetName val="[입찰안.xls][입찰안.xls][입찰안.xls]_224"/>
      <sheetName val="[입찰안.xls][입찰안.xls][입찰안.xls]_222"/>
      <sheetName val="[입찰안.xls][입찰안.xls][입찰안.xls]_320"/>
      <sheetName val="[입찰안.xls][입찰안.xls][입찰안.xls]_325"/>
      <sheetName val="[입찰안.xls][입찰안.xls][입찰안.xls]_321"/>
      <sheetName val="수지½_x0000_"/>
      <sheetName val="장_x0000__x0000_Ԁ"/>
      <sheetName val="[입찰안.xls][입찰안.xls][입찰안.xls]_318"/>
      <sheetName val="[입찰안.xls][입찰안.xls][입찰안.xls]_319"/>
      <sheetName val="[입찰안.xls][입찰안.xls][입찰안.xls]_278"/>
      <sheetName val="[입찰안.xls][입찰안.xls][입찰안.xls]_273"/>
      <sheetName val="[입찰안.xls][입찰안.xls][입찰안.xls]_258"/>
      <sheetName val="[입찰안.xls][입찰안.xls][입찰안.xls]_245"/>
      <sheetName val="[입찰안.xls][입찰안.xls][입찰안.xls]_229"/>
      <sheetName val="[입찰안.xls][입찰안.xls][입찰안.xls]_228"/>
      <sheetName val="[입찰안.xls][입찰안.xls][입찰안.xls]_230"/>
      <sheetName val="[입찰안.xls][입찰안.xls][입찰안.xls]_231"/>
      <sheetName val="[입찰안.xls][입찰안.xls][입찰안.xls]_232"/>
      <sheetName val="[입찰안.xls][입찰안.xls][입찰안.xls]_233"/>
      <sheetName val="[입찰안.xls][입찰안.xls][입찰안.xls]_234"/>
      <sheetName val="[입찰안.xls][입찰안.xls][입찰안.xls]_235"/>
      <sheetName val="[입찰안.xls][입찰안.xls][입찰안.xls]_236"/>
      <sheetName val="[입찰안.xls][입찰안.xls][입찰안.xls]_237"/>
      <sheetName val="[입찰안.xls][입찰안.xls][입찰안.xls]_238"/>
      <sheetName val="[입찰안.xls][입찰안.xls][입찰안.xls]_239"/>
      <sheetName val="[입찰안.xls][입찰안.xls][입찰안.xls]_240"/>
      <sheetName val="[입찰안.xls][입찰안.xls][입찰안.xls]_242"/>
      <sheetName val="[입찰안.xls][입찰안.xls][입찰안.xls]_241"/>
      <sheetName val="[입찰안.xls][입찰안.xls][입찰안.xls]_243"/>
      <sheetName val="[입찰안.xls][입찰안.xls][입찰안.xls]_244"/>
      <sheetName val="[입찰안.xls][입찰안.xls][입찰안.xls]_246"/>
      <sheetName val="[입찰안.xls][입찰안.xls][입찰안.xls]_247"/>
      <sheetName val="[입찰안.xls][입찰안.xls][입찰안.xls]_248"/>
      <sheetName val="[입찰안.xls][입찰안.xls][입찰안.xls]_249"/>
      <sheetName val="[입찰안.xls][입찰안.xls][입찰안.xls]_251"/>
      <sheetName val="[입찰안.xls][입찰안.xls][입찰안.xls]_250"/>
      <sheetName val="[입찰안.xls][입찰안.xls][입찰안.xls]_254"/>
      <sheetName val="[입찰안.xls][입찰안.xls][입찰안.xls]_252"/>
      <sheetName val="[입찰안.xls][입찰안.xls][입찰안.xls]_253"/>
      <sheetName val="[입찰안.xls][입찰안.xls][입찰안.xls]_255"/>
      <sheetName val="[입찰안.xls][입찰안.xls][입찰안.xls]_256"/>
      <sheetName val="[입찰안.xls][입찰안.xls][입찰안.xls]_257"/>
      <sheetName val="[입찰안.xls][입찰안.xls][입찰안.xls]_274"/>
      <sheetName val="[입찰안.xls][입찰안.xls][입찰안.xls]_259"/>
      <sheetName val="[입찰안.xls][입찰안.xls][입찰안.xls]_260"/>
      <sheetName val="[입찰안.xls][입찰안.xls][입찰안.xls]_261"/>
      <sheetName val="[입찰안.xls][입찰안.xls][입찰안.xls]_262"/>
      <sheetName val="[입찰안.xls][입찰안.xls][입찰안.xls]_266"/>
      <sheetName val="[입찰안.xls][입찰안.xls][입찰안.xls]_263"/>
      <sheetName val="[입찰안.xls][입찰안.xls][입찰안.xls]_264"/>
      <sheetName val="[입찰안.xls][입찰안.xls][입찰안.xls]_265"/>
      <sheetName val="[입찰안.xls][입찰안.xls][입찰안.xls]_267"/>
      <sheetName val="[입찰안.xls][입찰안.xls][입찰안.xls]_268"/>
      <sheetName val="[입찰안.xls][입찰안.xls][입찰안.xls]_269"/>
      <sheetName val="[입찰안.xls][입찰안.xls][입찰안.xls]_270"/>
      <sheetName val="[입찰안.xls][입찰안.xls][입찰안.xls]_271"/>
      <sheetName val="[입찰안.xls][입찰안.xls][입찰안.xls]_272"/>
      <sheetName val="[입찰안.xls][입찰안.xls][입찰안.xls]_275"/>
      <sheetName val="[입찰안.xls][입찰안.xls][입찰안.xls]_277"/>
      <sheetName val="[입찰안.xls][입찰안.xls][입찰안.xls]_276"/>
      <sheetName val="[입찰안.xls][입찰안.xls][입찰안.xls]_279"/>
      <sheetName val="[입찰안.xls][입찰안.xls][입찰안.xls]_281"/>
      <sheetName val="[입찰안.xls][입찰안.xls][입찰안.xls]_280"/>
      <sheetName val="[입찰안.xls][입찰안.xls][입찰안.xls]_282"/>
      <sheetName val="[입찰안.xls][입찰안.xls][입찰안.xls]_314"/>
      <sheetName val="[입찰안.xls][입찰안.xls][입찰안.xls]_283"/>
      <sheetName val="[입찰안.xls][입찰안.xls][입찰안.xls]_316"/>
      <sheetName val="[입찰안.xls][입찰안.xls][입찰안.xls]_315"/>
      <sheetName val="[입찰안.xls][입찰안.xls][입찰안.xls]_304"/>
      <sheetName val="[입찰안.xls][입찰안.xls][입찰안.xls]_284"/>
      <sheetName val="[입찰안.xls][입찰안.xls][입찰안.xls]_286"/>
      <sheetName val="[입찰안.xls][입찰안.xls][입찰안.xls]_297"/>
      <sheetName val="[입찰안.xls][입찰안.xls][입찰안.xls]_285"/>
      <sheetName val="[입찰안.xls][입찰안.xls][입찰안.xls]_288"/>
      <sheetName val="[입찰안.xls][입찰안.xls][입찰안.xls]_287"/>
      <sheetName val="[입찰안.xls][입찰안.xls][입찰안.xls]_291"/>
      <sheetName val="[입찰안.xls][입찰안.xls][입찰안.xls]_289"/>
      <sheetName val="[입찰안.xls][입찰안.xls][입찰안.xls]_290"/>
      <sheetName val="[입찰안.xls][입찰안.xls][입찰안.xls]_292"/>
      <sheetName val="[입찰안.xls][입찰안.xls][입찰안.xls]_293"/>
      <sheetName val="[입찰안.xls][입찰안.xls][입찰안.xls]_294"/>
      <sheetName val="[입찰안.xls][입찰안.xls][입찰안.xls]_296"/>
      <sheetName val="[입찰안.xls][입찰안.xls][입찰안.xls]_295"/>
      <sheetName val="[입찰안.xls][입찰안.xls][입찰안.xls]_302"/>
      <sheetName val="[입찰안.xls][입찰안.xls][입찰안.xls]_299"/>
      <sheetName val="[입찰안.xls][입찰안.xls][입찰안.xls]_298"/>
      <sheetName val="[입찰안.xls][입찰안.xls][입찰안.xls]_300"/>
      <sheetName val="[입찰안.xls][입찰안.xls][입찰안.xls]_301"/>
      <sheetName val="[입찰안.xls][입찰안.xls][입찰안.xls]_303"/>
      <sheetName val="[입찰안.xls][입찰안.xls][입찰안.xls]_305"/>
      <sheetName val="[입찰안.xls][입찰안.xls][입찰안.xls]_306"/>
      <sheetName val="[입찰안.xls][입찰안.xls][입찰안.xls]_307"/>
      <sheetName val="[입찰안.xls][입찰안.xls][입찰안.xls]_308"/>
      <sheetName val="[입찰안.xls][입찰안.xls][입찰안.xls]_309"/>
      <sheetName val="[입찰안.xls][입찰안.xls][입찰안.xls]_310"/>
      <sheetName val="[입찰안.xls][입찰안.xls][입찰안.xls]_311"/>
      <sheetName val="[입찰안.xls][입찰안.xls][입찰안.xls]_312"/>
      <sheetName val="[입찰안.xls][입찰안.xls][입찰안.xls]_313"/>
      <sheetName val="[입찰안.xls][입찰안.xls][입찰안.xls]_317"/>
      <sheetName val="[입찰안.xls][입찰안.xls][입찰안.xls]_326"/>
      <sheetName val="[입찰안.xls][입찰안.xls][입찰안.xls]_327"/>
      <sheetName val="[입찰안.xls][입찰안.xls][입찰안.xls]_323"/>
      <sheetName val="[입찰안.xls][입찰안.xls][입찰안.xls]_322"/>
      <sheetName val="[입찰안.xls][입찰안.xls][입찰안.xls]_324"/>
      <sheetName val="POL6차-PIPÁ"/>
      <sheetName val="교대(A1-A2)"/>
      <sheetName val="Sheet15"/>
      <sheetName val="600(3)a"/>
      <sheetName val="내역_ver1_"/>
      <sheetName val="내역_ver1_뀀"/>
      <sheetName val="자가"/>
      <sheetName val="노원열병합__건축공사기성내역_x0000_"/>
      <sheetName val="금강견적"/>
      <sheetName val="본실행경비"/>
      <sheetName val="홈용접표"/>
      <sheetName val="Areas"/>
      <sheetName val="BQ-E20-02(Rp)"/>
      <sheetName val="Khoi luong"/>
      <sheetName val="원도_x0000_"/>
      <sheetName val="공통உ"/>
      <sheetName val="일위대가(집계刀"/>
      <sheetName val="[입찰안.xls][입찰안.xls][입찰안.xls]___5"/>
      <sheetName val="[입찰안.xls][입찰안.xls][입찰안.xls]___6"/>
      <sheetName val="[입찰안.xls][입찰안_xls]직접뀀鞖/"/>
      <sheetName val="[입찰안.xls][입찰안_xls][입찰안_xls]___2"/>
      <sheetName val="공기압᪬቙԰"/>
      <sheetName val="전사계"/>
      <sheetName val="[입찰안.xls][입찰안.xls][입찰안.xls]_328"/>
      <sheetName val="[입찰안.xls][입찰안.xls][입찰안.xls]_329"/>
      <sheetName val="[입찰안.xls][입찰안.xls][입찰안.xls]_330"/>
      <sheetName val="[입찰안.xls][입찰안.xls][입찰안.xls]_332"/>
      <sheetName val="[입찰안.xls][입찰안.xls][입찰안.xls]_333"/>
      <sheetName val="[입찰안.xls][입찰안.xls][입찰안.xls]_331"/>
      <sheetName val="[입찰안.xls][입찰안.xls][입찰안.xls]_334"/>
      <sheetName val="[입찰안.xls][입찰안.xls][입찰안.xls]_335"/>
      <sheetName val="[입찰안.xls][입찰안.xls][입찰안.xls]_336"/>
      <sheetName val="[입찰안.xls][입찰안.xls][입찰안.xls]_337"/>
      <sheetName val="[입찰안.xls][입찰안.xls][입찰안.xls]_341"/>
      <sheetName val="[입찰안.xls][입찰안.xls][입찰안.xls]_340"/>
      <sheetName val="[입찰안.xls][입찰안.xls][입찰안.xls]_338"/>
      <sheetName val="[입찰안.xls][입찰안.xls][입찰안.xls]_339"/>
      <sheetName val="[입찰안.xls][입찰안.xls][입찰안.xls]_345"/>
      <sheetName val="[입찰안.xls][입찰안.xls][입찰안.xls]_349"/>
      <sheetName val="[입찰안.xls][입찰안.xls][입찰안.xls]_348"/>
      <sheetName val="[입찰안.xls][입찰안.xls][입찰안.xls]_347"/>
      <sheetName val="공기압郀傲2"/>
      <sheetName val="표준항목"/>
      <sheetName val="정리계_x0000__x0000__x0005__x0000_앀"/>
      <sheetName val="정리계_x0000__x0000__x0005__x0000__xde00_"/>
      <sheetName val="정리계_x0000__x0000__x0005__x0000_"/>
      <sheetName val="VL"/>
      <sheetName val="정리계槜〽_x0000__x0000_ｐ"/>
      <sheetName val="구조물집계"/>
      <sheetName val="토공집계"/>
      <sheetName val="소화"/>
      <sheetName val="3련_B£_x0000_"/>
      <sheetName val="콘크리트"/>
      <sheetName val="건ꗝ"/>
      <sheetName val="건Ȍ"/>
      <sheetName val="[입찰안.xls][입찰안.xls][입찰안.xls]___7"/>
      <sheetName val="[입찰안.xls][입찰안_xls][입찰안_xls]___3"/>
      <sheetName val="[입찰안.xls][입찰안.xls][입찰안_xls]___2"/>
      <sheetName val="한³_x0000__x0000_"/>
      <sheetName val="전신환매도율"/>
      <sheetName val="공량산출근거서"/>
      <sheetName val="C_DATA"/>
      <sheetName val="건濐"/>
      <sheetName val="유림콘도"/>
      <sheetName val="배명(단가)"/>
      <sheetName val="SORCE1"/>
      <sheetName val="엔지니어링"/>
      <sheetName val="co-no.2"/>
      <sheetName val="전체수량집계"/>
      <sheetName val="54಺潭"/>
      <sheetName val="전기내역서"/>
      <sheetName val="직접ఀ핧蠀兿"/>
      <sheetName val="[입찰안.xls][입찰안.xls][입찰안.xls]_346"/>
      <sheetName val="조경수_x0000_"/>
      <sheetName val="B__2"/>
      <sheetName val="B__3"/>
      <sheetName val="___2"/>
      <sheetName val="B__4"/>
      <sheetName val="B__5"/>
      <sheetName val="B__6"/>
      <sheetName val="B__7"/>
      <sheetName val="B__8"/>
      <sheetName val="B_14"/>
      <sheetName val="B__9"/>
      <sheetName val="B_10"/>
      <sheetName val="B_11"/>
      <sheetName val="B_12"/>
      <sheetName val="B_13"/>
      <sheetName val="B_15"/>
      <sheetName val="B_16"/>
      <sheetName val="B_17"/>
      <sheetName val="B_18"/>
      <sheetName val="B_23"/>
      <sheetName val="B_19"/>
      <sheetName val="B_20"/>
      <sheetName val="B_21"/>
      <sheetName val="B_22"/>
      <sheetName val="B_25"/>
      <sheetName val="B_24"/>
      <sheetName val="B_26"/>
      <sheetName val="B_27"/>
      <sheetName val="___3"/>
      <sheetName val="B_60"/>
      <sheetName val="B_54"/>
      <sheetName val="B_53"/>
      <sheetName val="B_44"/>
      <sheetName val="B_33"/>
      <sheetName val="B_31"/>
      <sheetName val="B_30"/>
      <sheetName val="B_29"/>
      <sheetName val="B_28"/>
      <sheetName val="B_35"/>
      <sheetName val="B_32"/>
      <sheetName val="B_40"/>
      <sheetName val="B_34"/>
      <sheetName val="B_41"/>
      <sheetName val="B_36"/>
      <sheetName val="B_37"/>
      <sheetName val="B_42"/>
      <sheetName val="B_38"/>
      <sheetName val="B_39"/>
      <sheetName val="B_43"/>
      <sheetName val="B_47"/>
      <sheetName val="B_45"/>
      <sheetName val="B_48"/>
      <sheetName val="B_46"/>
      <sheetName val="B_51"/>
      <sheetName val="B_50"/>
      <sheetName val="B_49"/>
      <sheetName val="B_52"/>
      <sheetName val="B_55"/>
      <sheetName val="B_57"/>
      <sheetName val="B_58"/>
      <sheetName val="B_56"/>
      <sheetName val="B_59"/>
      <sheetName val="B_62"/>
      <sheetName val="B_61"/>
      <sheetName val="B_63"/>
      <sheetName val="B_64"/>
      <sheetName val="B_65"/>
      <sheetName val="B_66"/>
      <sheetName val="Data_Store"/>
      <sheetName val="Master"/>
      <sheetName val="Girder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ctTBA"/>
      <sheetName val="escon"/>
      <sheetName val="TinhGiaNC"/>
      <sheetName val="DTICH (Full)"/>
      <sheetName val="DGG"/>
      <sheetName val="DTICH(FDC)"/>
      <sheetName val="TSO_CHUNG"/>
      <sheetName val="COST SUMMARY"/>
      <sheetName val="주소"/>
      <sheetName val="판"/>
      <sheetName val="[입찰안.xls][입찰안.xls]_____xls_1146"/>
      <sheetName val="[입찰안.xls][입찰안.xls]_____xls_1147"/>
      <sheetName val="집계장(Â_x0000_Ԁ_x0000_怀㲨"/>
      <sheetName val="[입찰안.xls][입찰안.xls][입찰안.xls]___8"/>
      <sheetName val="[입찰안.xls][입찰안_xls][입찰안_xls]___4"/>
      <sheetName val="[입찰안.xls][입찰안.xls][입찰안_xls]___3"/>
      <sheetName val="[입찰안.xls][입찰안.xls][입찰안.xls]_350"/>
      <sheetName val="[입찰안.xls][입찰안.xls][입찰안.xls]_351"/>
      <sheetName val="[입찰안.xls][입찰안.xls][입찰안.xls]_352"/>
      <sheetName val="[입찰안.xls][입찰안.xls][입찰안.xls]_353"/>
      <sheetName val="[입찰안.xls][입찰안.xls][입찰안.xls]_354"/>
      <sheetName val="[입찰안.xls][입찰안.xls][입찰안.xls]_357"/>
      <sheetName val="[입찰안.xls][입찰안.xls][입찰안.xls]_356"/>
      <sheetName val="[입찰안.xls][입찰안.xls][입찰안.xls]_359"/>
      <sheetName val="[입찰안.xls][입찰안.xls][입찰안.xls]_355"/>
      <sheetName val="[입찰안.xls][입찰안.xls][입찰안.xls]_358"/>
      <sheetName val="내역서을"/>
      <sheetName val="plan&amp;section_of勉_x0010_"/>
      <sheetName val="[입찰안.xls][입찰안.xls][입찰안.xls]_363"/>
      <sheetName val="[입찰안.xls][입찰안.xls][입찰안.xls]_360"/>
      <sheetName val="[입찰안.xls][입찰안.xls][입찰안.xls]_361"/>
      <sheetName val="[입찰안.xls][입찰안.xls][입찰안.xls]_362"/>
      <sheetName val="산수배수"/>
      <sheetName val="[입찰안.xls][입찰안.xls]_____xls_1057"/>
      <sheetName val="[입찰안.xls][입찰안.xls]_____xls_1055"/>
      <sheetName val="[입찰안.xls][입찰안.xls]_____xls_1054"/>
      <sheetName val="[입찰안.xls][입찰안.xls][입찰안.xls]_375"/>
      <sheetName val="[입찰안.xls][입찰안.xls][입찰안.xls]_389"/>
      <sheetName val="[입찰안.xls][입찰안.xls][입찰안.xls]_364"/>
      <sheetName val="[입찰안.xls][입찰안.xls][입찰안.xls]_365"/>
      <sheetName val="[입찰안.xls][입찰안.xls][입찰안.xls]_366"/>
      <sheetName val="[입찰안.xls][입찰안.xls][입찰안.xls]_367"/>
      <sheetName val="[입찰안.xls][입찰안.xls][입찰안.xls]_368"/>
      <sheetName val="[입찰안.xls][입찰안.xls][입찰안.xls]_370"/>
      <sheetName val="[입찰안.xls][입찰안.xls][입찰안.xls]_369"/>
      <sheetName val="[입찰안.xls][입찰안.xls][입찰안.xls]_373"/>
      <sheetName val="[입찰안.xls][입찰안.xls][입찰안.xls]_371"/>
      <sheetName val="[입찰안.xls][입찰안.xls][입찰안.xls]_372"/>
      <sheetName val="[입찰안.xls][입찰안.xls][입찰안.xls]_374"/>
      <sheetName val="[입찰안.xls][입찰안.xls][입찰안.xls]_390"/>
      <sheetName val="[입찰안.xls][입찰안.xls][입찰안.xls]_388"/>
      <sheetName val="[입찰안.xls][입찰안.xls][입찰안.xls]_376"/>
      <sheetName val="[입찰안.xls][입찰안.xls][입찰안.xls]_377"/>
      <sheetName val="[입찰안.xls][입찰안.xls][입찰안.xls]_378"/>
      <sheetName val="[입찰안.xls][입찰안.xls][입찰안.xls]_379"/>
      <sheetName val="[입찰안.xls][입찰안.xls][입찰안.xls]_380"/>
      <sheetName val="[입찰안.xls][입찰안.xls][입찰안.xls]_381"/>
      <sheetName val="[입찰안.xls][입찰안.xls][입찰안.xls]_382"/>
      <sheetName val="[입찰안.xls][입찰안.xls][입찰안.xls]_384"/>
      <sheetName val="[입찰안.xls][입찰안.xls][입찰안.xls]_383"/>
      <sheetName val="[입찰안.xls][입찰안.xls][입찰안.xls]_387"/>
      <sheetName val="[입찰안.xls][입찰안.xls][입찰안.xls]_385"/>
      <sheetName val="[입찰안.xls][입찰안.xls][입찰안.xls]_386"/>
      <sheetName val="[입찰안.xls][입찰안.xls][입찰안.xls]_412"/>
      <sheetName val="[입찰안.xls][입찰안.xls][입찰안.xls]_419"/>
      <sheetName val="[입찰안.xls][입찰안.xls][입찰안.xls]_391"/>
      <sheetName val="[입찰안.xls][입찰안.xls][입찰안.xls]_392"/>
      <sheetName val="[입찰안.xls][입찰안.xls][입찰안.xls]_394"/>
      <sheetName val="[입찰안.xls][입찰안.xls][입찰안.xls]_393"/>
      <sheetName val="[입찰안.xls][입찰안.xls][입찰안.xls]_395"/>
      <sheetName val="[입찰안.xls][입찰안.xls][입찰안.xls]_396"/>
      <sheetName val="[입찰안.xls][입찰안.xls][입찰안.xls]_397"/>
      <sheetName val="[입찰안.xls][입찰안.xls][입찰안.xls]_398"/>
      <sheetName val="[입찰안.xls][입찰안.xls][입찰안.xls]_399"/>
      <sheetName val="[입찰안.xls][입찰안.xls][입찰안.xls]_400"/>
      <sheetName val="[입찰안.xls][입찰안.xls][입찰안.xls]_401"/>
      <sheetName val="[입찰안.xls][입찰안.xls][입찰안.xls]_402"/>
      <sheetName val="[입찰안.xls][입찰안.xls][입찰안.xls]_403"/>
      <sheetName val="[입찰안.xls][입찰안.xls][입찰안.xls]_405"/>
      <sheetName val="[입찰안.xls][입찰안.xls][입찰안.xls]_404"/>
      <sheetName val="[입찰안.xls][입찰안.xls][입찰안.xls]_406"/>
      <sheetName val="[입찰안.xls][입찰안.xls][입찰안.xls]_407"/>
      <sheetName val="[입찰안.xls][입찰안.xls][입찰안.xls]_409"/>
      <sheetName val="[입찰안.xls][입찰안.xls][입찰안.xls]_408"/>
      <sheetName val="[입찰안.xls][입찰안.xls][입찰안.xls]_410"/>
      <sheetName val="[입찰안.xls][입찰안.xls][입찰안.xls]_411"/>
      <sheetName val="[입찰안.xls][입찰안.xls][입찰안.xls]_418"/>
      <sheetName val="[입찰안.xls][입찰안.xls][입찰안.xls]_416"/>
      <sheetName val="[입찰안.xls][입찰안.xls][입찰안.xls]_413"/>
      <sheetName val="[입찰안.xls][입찰안.xls][입찰안.xls]_414"/>
      <sheetName val="[입찰안.xls][입찰안.xls][입찰안.xls]_415"/>
      <sheetName val="[입찰안.xls][입찰안.xls][입찰안.xls]_417"/>
      <sheetName val="[입찰안.xls][입찰안.xls][입찰안.xls]_421"/>
      <sheetName val="[입찰안.xls][입찰안.xls][입찰안.xls]_420"/>
      <sheetName val="[입찰안.xls][입찰안.xls][입찰안.xls]_483"/>
      <sheetName val="[입찰안.xls][입찰안.xls][입찰안.xls]_424"/>
      <sheetName val="[입찰안.xls][입찰안.xls][입찰안.xls]_422"/>
      <sheetName val="[입찰안.xls][입찰안.xls][입찰안.xls]_423"/>
      <sheetName val="[입찰안.xls][입찰안.xls][입찰안.xls]_426"/>
      <sheetName val="[입찰안.xls][입찰안.xls][입찰안.xls]_425"/>
      <sheetName val="[입찰안.xls][입찰안.xls][입찰안.xls]_427"/>
      <sheetName val="[입찰안.xls][입찰안.xls][입찰안.xls]_485"/>
      <sheetName val="[입찰안.xls][입찰안.xls][입찰안.xls]_428"/>
      <sheetName val="[입찰안.xls][입찰안.xls][입찰안.xls]_429"/>
      <sheetName val="[입찰안.xls][입찰안.xls][입찰안.xls]_432"/>
      <sheetName val="[입찰안.xls][입찰안.xls][입찰안.xls]_430"/>
      <sheetName val="[입찰안.xls][입찰안.xls][입찰안.xls]_431"/>
      <sheetName val="[입찰안.xls][입찰안.xls][입찰안.xls]_433"/>
      <sheetName val="[입찰안.xls][입찰안.xls][입찰안.xls]_435"/>
      <sheetName val="[입찰안.xls][입찰안.xls][입찰안.xls]_434"/>
      <sheetName val="[입찰안.xls][입찰안.xls][입찰안.xls]_436"/>
      <sheetName val="[입찰안.xls][입찰안.xls][입찰안.xls]_437"/>
      <sheetName val="[입찰안.xls][입찰안.xls][입찰안.xls]_438"/>
      <sheetName val="[입찰안.xls][입찰안.xls][입찰안.xls]_439"/>
      <sheetName val="[입찰안.xls][입찰안.xls][입찰안.xls]_441"/>
      <sheetName val="[입찰안.xls][입찰안.xls][입찰안.xls]_440"/>
      <sheetName val="[입찰안.xls][입찰안.xls][입찰안.xls]_442"/>
      <sheetName val="[입찰안.xls][입찰안.xls][입찰안.xls]_443"/>
      <sheetName val="[입찰안.xls][입찰안.xls][입찰안.xls]_444"/>
      <sheetName val="[입찰안.xls][입찰안.xls][입찰안.xls]_446"/>
      <sheetName val="[입찰안.xls][입찰안.xls][입찰안.xls]_445"/>
      <sheetName val="[입찰안.xls][입찰안.xls][입찰안.xls]_450"/>
      <sheetName val="[입찰안.xls][입찰안.xls][입찰안.xls]_447"/>
      <sheetName val="[입찰안.xls][입찰안.xls][입찰안.xls]_448"/>
      <sheetName val="[입찰안.xls][입찰안.xls][입찰안.xls]_449"/>
      <sheetName val="[입찰안.xls][입찰안.xls][입찰안.xls]_452"/>
      <sheetName val="[입찰안.xls][입찰안.xls][입찰안.xls]_451"/>
      <sheetName val="[입찰안.xls][입찰안.xls][입찰안.xls]_453"/>
      <sheetName val="[입찰안.xls][입찰안.xls][입찰안.xls]_454"/>
      <sheetName val="[입찰안.xls][입찰안.xls][입찰안.xls]_455"/>
      <sheetName val="[입찰안.xls][입찰안.xls][입찰안.xls]_456"/>
      <sheetName val="[입찰안.xls][입찰안.xls][입찰안.xls]_457"/>
      <sheetName val="[입찰안.xls][입찰안.xls][입찰안.xls]_458"/>
      <sheetName val="[입찰안.xls][입찰안.xls][입찰안.xls]_459"/>
      <sheetName val="[입찰안.xls][입찰안.xls][입찰안.xls]_460"/>
      <sheetName val="[입찰안.xls][입찰안.xls][입찰안.xls]_462"/>
      <sheetName val="[입찰안.xls][입찰안.xls][입찰안.xls]_461"/>
      <sheetName val="[입찰안.xls][입찰안.xls][입찰안.xls]_463"/>
      <sheetName val="[입찰안.xls][입찰안.xls][입찰안.xls]_464"/>
      <sheetName val="[입찰안.xls][입찰안.xls][입찰안.xls]_465"/>
      <sheetName val="[입찰안.xls][입찰안.xls][입찰안.xls]_466"/>
      <sheetName val="[입찰안.xls][입찰안.xls][입찰안.xls]_467"/>
      <sheetName val="[입찰안.xls][입찰안.xls][입찰안.xls]_468"/>
      <sheetName val="[입찰안.xls][입찰안.xls][입찰안.xls]_470"/>
      <sheetName val="[입찰안.xls][입찰안.xls][입찰안.xls]_469"/>
      <sheetName val="[입찰안.xls][입찰안.xls][입찰안.xls]_472"/>
      <sheetName val="[입찰안.xls][입찰안.xls][입찰안.xls]_471"/>
      <sheetName val="[입찰안.xls][입찰안.xls][입찰안.xls]_476"/>
      <sheetName val="[입찰안.xls][입찰안.xls][입찰안.xls]_474"/>
      <sheetName val="[입찰안.xls][입찰안.xls][입찰안.xls]_473"/>
      <sheetName val="[입찰안.xls][입찰안.xls][입찰안.xls]_475"/>
      <sheetName val="[입찰안.xls][입찰안.xls][입찰안.xls]_478"/>
      <sheetName val="[입찰안.xls][입찰안.xls][입찰안.xls]_477"/>
      <sheetName val="[입찰안.xls][입찰안.xls][입찰안.xls]_480"/>
      <sheetName val="[입찰안.xls][입찰안.xls][입찰안.xls]_479"/>
      <sheetName val="[입찰안.xls][입찰안.xls][입찰안.xls]_482"/>
      <sheetName val="[입찰안.xls][입찰안.xls][입찰안.xls]_481"/>
      <sheetName val="[입찰안.xls][입찰안.xls][입찰안.xls]_486"/>
      <sheetName val="[입찰안.xls][입찰안.xls][입찰안.xls]_484"/>
      <sheetName val="[입찰안.xls][입찰안.xls][입찰안.xls]_496"/>
      <sheetName val="[입찰안.xls][입찰안.xls][입찰안.xls]_487"/>
      <sheetName val="[입찰안.xls][입찰안.xls][입찰안.xls]_488"/>
      <sheetName val="[입찰안.xls][입찰안.xls][입찰안.xls]_527"/>
      <sheetName val="[입찰안.xls][입찰안.xls][입찰안.xls]_521"/>
      <sheetName val="[입찰안.xls][입찰안.xls][입찰안.xls]_489"/>
      <sheetName val="[입찰안.xls][입찰안.xls][입찰안.xls]_490"/>
      <sheetName val="[입찰안.xls][입찰안.xls][입찰안.xls]_492"/>
      <sheetName val="[입찰안.xls][입찰안.xls][입찰안.xls]_491"/>
      <sheetName val="[입찰안.xls][입찰안.xls][입찰안.xls]_495"/>
      <sheetName val="[입찰안.xls][입찰안.xls][입찰안.xls]_494"/>
      <sheetName val="[입찰안.xls][입찰안.xls][입찰안.xls]_493"/>
      <sheetName val="[입찰안.xls][입찰안.xls][입찰안.xls]_512"/>
      <sheetName val="[입찰안.xls][입찰안.xls][입찰안.xls]_502"/>
      <sheetName val="[입찰안.xls][입찰안.xls][입찰안.xls]_499"/>
      <sheetName val="[입찰안.xls][입찰안.xls][입찰안.xls]_497"/>
      <sheetName val="[입찰안.xls][입찰안.xls][입찰안.xls]_498"/>
      <sheetName val="[입찰안.xls][입찰안.xls][입찰안.xls]_500"/>
      <sheetName val="[입찰안.xls][입찰안.xls][입찰안.xls]_501"/>
      <sheetName val="[입찰안.xls][입찰안.xls][입찰안.xls]_504"/>
      <sheetName val="[입찰안.xls][입찰안.xls][입찰안.xls]_503"/>
      <sheetName val="[입찰안.xls][입찰안.xls][입찰안.xls]_505"/>
      <sheetName val="[입찰안.xls][입찰안.xls][입찰안.xls]_508"/>
      <sheetName val="[입찰안.xls][입찰안.xls][입찰안.xls]_506"/>
      <sheetName val="[입찰안.xls][입찰안.xls][입찰안.xls]_507"/>
      <sheetName val="[입찰안.xls][입찰안.xls][입찰안.xls]_509"/>
      <sheetName val="[입찰안.xls][입찰안.xls][입찰안.xls]_511"/>
      <sheetName val="[입찰안.xls][입찰안.xls][입찰안.xls]_510"/>
      <sheetName val="[입찰안.xls][입찰안.xls][입찰안.xls]_514"/>
      <sheetName val="[입찰안.xls][입찰안.xls][입찰안.xls]_513"/>
      <sheetName val="[입찰안.xls][입찰안.xls][입찰안.xls]_515"/>
      <sheetName val="[입찰안.xls][입찰안.xls][입찰안.xls]_517"/>
      <sheetName val="[입찰안.xls][입찰안.xls][입찰안.xls]_516"/>
      <sheetName val="[입찰안.xls][입찰안.xls][입찰안.xls]_518"/>
      <sheetName val="[입찰안.xls][입찰안.xls][입찰안.xls]_520"/>
      <sheetName val="[입찰안.xls][입찰안.xls][입찰안.xls]_519"/>
      <sheetName val="[입찰안.xls][입찰안.xls][입찰안.xls]_526"/>
      <sheetName val="[입찰안.xls][입찰안.xls][입찰안.xls]_523"/>
      <sheetName val="[입찰안.xls][입찰안.xls][입찰안.xls]_522"/>
      <sheetName val="[입찰안.xls][입찰안.xls][입찰안.xls]_524"/>
      <sheetName val="[입찰안.xls][입찰안.xls][입찰안.xls]_525"/>
      <sheetName val="[입찰안.xls][입찰안.xls][입찰안.xls]_533"/>
      <sheetName val="[입찰안.xls][입찰안.xls][입찰안.xls]_529"/>
      <sheetName val="[입찰안.xls][입찰안.xls][입찰안.xls]_528"/>
      <sheetName val="[입찰안.xls][입찰안.xls][입찰안.xls]_530"/>
      <sheetName val="[입찰안.xls][입찰안.xls][입찰안.xls]_531"/>
      <sheetName val="[입찰안.xls][입찰안.xls][입찰안.xls]_562"/>
      <sheetName val="[입찰안.xls][입찰안.xls][입찰안.xls]_532"/>
      <sheetName val="[입찰안.xls][입찰안.xls][입찰안.xls]_574"/>
      <sheetName val="[입찰안.xls][입찰안.xls][입찰안.xls]_535"/>
      <sheetName val="[입찰안.xls][입찰안.xls][입찰안.xls]_534"/>
      <sheetName val="[입찰안.xls][입찰안.xls][입찰안.xls]_536"/>
      <sheetName val="[입찰안.xls][입찰안.xls][입찰안.xls]_537"/>
      <sheetName val="[입찰안.xls][입찰안.xls][입찰안.xls]_538"/>
      <sheetName val="[입찰안.xls][입찰안.xls][입찰안.xls]_539"/>
      <sheetName val="[입찰안.xls][입찰안.xls][입찰안.xls]_541"/>
      <sheetName val="[입찰안.xls][입찰안.xls][입찰안.xls]_540"/>
      <sheetName val="[입찰안.xls][입찰안.xls][입찰안.xls]_542"/>
      <sheetName val="[입찰안.xls][입찰안.xls][입찰안.xls]_543"/>
      <sheetName val="[입찰안.xls][입찰안.xls][입찰안.xls]_544"/>
      <sheetName val="[입찰안.xls][입찰안.xls][입찰안.xls]_546"/>
      <sheetName val="[입찰안.xls][입찰안.xls][입찰안.xls]_545"/>
      <sheetName val="[입찰안.xls][입찰안.xls][입찰안.xls]_547"/>
      <sheetName val="[입찰안.xls][입찰안.xls][입찰안.xls]_548"/>
      <sheetName val="[입찰안.xls][입찰안.xls][입찰안.xls]_549"/>
      <sheetName val="[입찰안.xls][입찰안.xls][입찰안.xls]_551"/>
      <sheetName val="[입찰안.xls][입찰안.xls][입찰안.xls]_550"/>
      <sheetName val="[입찰안.xls][입찰안.xls][입찰안.xls]_554"/>
      <sheetName val="[입찰안.xls][입찰안.xls][입찰안.xls]_552"/>
      <sheetName val="[입찰안.xls][입찰안.xls][입찰안.xls]_553"/>
      <sheetName val="[입찰안.xls][입찰안.xls][입찰안.xls]_556"/>
      <sheetName val="[입찰안.xls][입찰안.xls][입찰안.xls]_555"/>
      <sheetName val="[입찰안.xls][입찰안.xls][입찰안.xls]_559"/>
      <sheetName val="[입찰안.xls][입찰안.xls][입찰안.xls]_557"/>
      <sheetName val="[입찰안.xls][입찰안.xls][입찰안.xls]_558"/>
      <sheetName val="[입찰안.xls][입찰안.xls][입찰안.xls]_561"/>
      <sheetName val="[입찰안.xls][입찰안.xls][입찰안.xls]_560"/>
      <sheetName val="[입찰안.xls][입찰안.xls][입찰안.xls]_563"/>
      <sheetName val="[입찰안.xls][입찰안.xls][입찰안.xls]_564"/>
      <sheetName val="[입찰안.xls][입찰안.xls][입찰안.xls]_575"/>
      <sheetName val="[입찰안.xls][입찰안.xls][입찰안.xls]_566"/>
      <sheetName val="[입찰안.xls][입찰안.xls][입찰안.xls]_565"/>
      <sheetName val="[입찰안.xls][입찰안.xls][입찰안.xls]_567"/>
      <sheetName val="[입찰안.xls][입찰안.xls][입찰안.xls]_568"/>
      <sheetName val="[입찰안.xls][입찰안.xls][입찰안.xls]_569"/>
      <sheetName val="[입찰안.xls][입찰안.xls][입찰안.xls]_570"/>
      <sheetName val="[입찰안.xls][입찰안.xls][입찰안.xls]_571"/>
      <sheetName val="[입찰안.xls][입찰안.xls][입찰안.xls]_572"/>
      <sheetName val="[입찰안.xls][입찰안.xls][입찰안.xls]_573"/>
      <sheetName val="[입찰안.xls][입찰안.xls][입찰안.xls]_576"/>
      <sheetName val="[입찰안.xls][입찰안.xls][입찰안.xls]_585"/>
      <sheetName val="[입찰안.xls][입찰안.xls][입찰안.xls]_577"/>
      <sheetName val="[입찰안.xls][입찰안.xls][입찰안.xls]_578"/>
      <sheetName val="[입찰안.xls][입찰안.xls][입찰안.xls]_579"/>
      <sheetName val="[입찰안.xls][입찰안.xls][입찰안.xls]_580"/>
      <sheetName val="[입찰안.xls][입찰안.xls][입찰안.xls]_581"/>
      <sheetName val="[입찰안.xls][입찰안.xls][입찰안.xls]_582"/>
      <sheetName val="[입찰안.xls][입찰안.xls][입찰안.xls]_583"/>
      <sheetName val="[입찰안.xls][입찰안.xls][입찰안.xls]_584"/>
      <sheetName val="[입찰안.xls][입찰안.xls][입찰안.xls]_589"/>
      <sheetName val="[입찰안.xls][입찰안.xls][입찰안.xls]_590"/>
      <sheetName val="[입찰안.xls][입찰안.xls][입찰안.xls]_586"/>
      <sheetName val="[입찰안.xls][입찰안.xls][입찰안.xls]_587"/>
      <sheetName val="[입찰안.xls][입찰안.xls][입찰안.xls]_588"/>
      <sheetName val="[입찰안.xls][입찰안.xls][입찰안.xls]_591"/>
      <sheetName val="[입찰안.xls][입찰안.xls][입찰안.xls]_597"/>
      <sheetName val="[입찰안.xls][입찰안.xls][입찰안.xls]_596"/>
      <sheetName val="[입찰안.xls][입찰안.xls][입찰안.xls]_593"/>
      <sheetName val="[입찰안.xls][입찰안.xls][입찰안.xls]_592"/>
      <sheetName val="[입찰안.xls][입찰안.xls][입찰안.xls]_594"/>
      <sheetName val="[입찰안.xls][입찰안.xls][입찰안.xls]_595"/>
      <sheetName val="[입찰안.xls][입찰안.xls][입찰안.xls]_614"/>
      <sheetName val="[입찰안.xls][입찰안.xls][입찰안.xls]_598"/>
      <sheetName val="[입찰안.xls][입찰안.xls][입찰안.xls]_599"/>
      <sheetName val="[입찰안.xls][입찰안.xls][입찰안.xls]_600"/>
      <sheetName val="[입찰안.xls][입찰안.xls][입찰안.xls]_628"/>
      <sheetName val="[입찰안.xls][입찰안.xls][입찰안.xls]_601"/>
      <sheetName val="[입찰안.xls][입찰안.xls][입찰안.xls]_602"/>
      <sheetName val="[입찰안.xls][입찰안.xls][입찰안.xls]_606"/>
      <sheetName val="[입찰안.xls][입찰안.xls][입찰안.xls]_603"/>
      <sheetName val="[입찰안.xls][입찰안.xls][입찰안.xls]_604"/>
      <sheetName val="[입찰안.xls][입찰안.xls][입찰안.xls]_605"/>
      <sheetName val="[입찰안.xls][입찰안.xls][입찰안.xls]_607"/>
      <sheetName val="[입찰안.xls][입찰안.xls][입찰안.xls]_608"/>
      <sheetName val="[입찰안.xls][입찰안.xls][입찰안.xls]_609"/>
      <sheetName val="[입찰안.xls][입찰안.xls][입찰안.xls]_610"/>
      <sheetName val="[입찰안.xls][입찰안.xls][입찰안.xls]_613"/>
      <sheetName val="[입찰안.xls][입찰안.xls][입찰안.xls]_611"/>
      <sheetName val="[입찰안.xls][입찰안.xls][입찰안.xls]_612"/>
      <sheetName val="[입찰안.xls][입찰안.xls][입찰안.xls]_615"/>
      <sheetName val="[입찰안.xls][입찰안.xls][입찰안.xls]_616"/>
      <sheetName val="[입찰안.xls][입찰안.xls][입찰안.xls]_617"/>
      <sheetName val="[입찰안.xls][입찰안.xls][입찰안.xls]_618"/>
      <sheetName val="[입찰안.xls][입찰안.xls][입찰안.xls]_619"/>
      <sheetName val="[입찰안.xls][입찰안.xls][입찰안.xls]_620"/>
      <sheetName val="[입찰안.xls][입찰안.xls][입찰안.xls]_621"/>
      <sheetName val="[입찰안.xls][입찰안.xls][입찰안.xls]_622"/>
      <sheetName val="[입찰안.xls][입찰안.xls][입찰안.xls]_623"/>
      <sheetName val="[입찰안.xls][입찰안.xls][입찰안.xls]_624"/>
      <sheetName val="[입찰안.xls][입찰안.xls][입찰안.xls]_625"/>
      <sheetName val="[입찰안.xls][입찰안.xls][입찰안.xls]_626"/>
      <sheetName val="[입찰안.xls][입찰안.xls][입찰안.xls]_627"/>
      <sheetName val="[입찰안.xls][입찰안.xls][입찰안.xls]_635"/>
      <sheetName val="[입찰안.xls][입찰안.xls][입찰안.xls]_629"/>
      <sheetName val="[입찰안.xls][입찰안.xls][입찰안.xls]_630"/>
      <sheetName val="[입찰안.xls][입찰안.xls][입찰안.xls]_631"/>
      <sheetName val="[입찰안.xls][입찰안.xls][입찰안.xls]_632"/>
      <sheetName val="[입찰안.xls][입찰안.xls][입찰안.xls]_633"/>
      <sheetName val="[입찰안.xls][입찰안.xls][입찰안.xls]_634"/>
      <sheetName val="[입찰안.xls][입찰안.xls][입찰안.xls]_639"/>
      <sheetName val="[입찰안.xls][입찰안.xls][입찰안.xls]_636"/>
      <sheetName val="[입찰안.xls][입찰안.xls][입찰안.xls]_638"/>
      <sheetName val="[입찰안.xls][입찰안.xls][입찰안.xls]_637"/>
      <sheetName val="[입찰안.xls][입찰안.xls][입찰안.xls]_640"/>
      <sheetName val="[입찰안.xls][입찰안.xls][입찰안.xls]_641"/>
      <sheetName val="[입찰안.xls][입찰안.xls][입찰안.xls]_644"/>
      <sheetName val="[입찰안.xls][입찰안.xls][입찰안.xls]_642"/>
      <sheetName val="[입찰안.xls][입찰안.xls][입찰안.xls]_643"/>
      <sheetName val="[입찰안.xls][입찰안.xls][입찰안.xls]_647"/>
      <sheetName val="[입찰안.xls][입찰안.xls][입찰안.xls]_645"/>
      <sheetName val="[입찰안.xls][입찰안.xls][입찰안.xls]_646"/>
      <sheetName val="[입찰안.xls][입찰안.xls][입찰안.xls]_667"/>
      <sheetName val="[입찰안.xls][입찰안.xls][입찰안.xls]_651"/>
      <sheetName val="[입찰안.xls][입찰안.xls][입찰안.xls]_649"/>
      <sheetName val="[입찰안.xls][입찰안.xls][입찰안.xls]_648"/>
      <sheetName val="[입찰안.xls][입찰안.xls][입찰안.xls]_650"/>
      <sheetName val="[입찰안.xls][입찰안.xls][입찰안.xls]_652"/>
      <sheetName val="[입찰안.xls][입찰안.xls][입찰안.xls]_654"/>
      <sheetName val="[입찰안.xls][입찰안.xls][입찰안.xls]_653"/>
      <sheetName val="[입찰안.xls][입찰안.xls][입찰안.xls]_672"/>
      <sheetName val="[입찰안.xls][입찰안.xls][입찰안.xls]_655"/>
      <sheetName val="[입찰안.xls][입찰안.xls][입찰안.xls]_656"/>
      <sheetName val="[입찰안.xls][입찰안.xls][입찰안.xls]_657"/>
      <sheetName val="[입찰안.xls][입찰안.xls][입찰안.xls]_658"/>
      <sheetName val="[입찰안.xls][입찰안.xls][입찰안.xls]_660"/>
      <sheetName val="[입찰안.xls][입찰안.xls][입찰안.xls]_659"/>
      <sheetName val="[입찰안.xls][입찰안.xls][입찰안.xls]_661"/>
      <sheetName val="[입찰안.xls][입찰안.xls][입찰안.xls]_662"/>
      <sheetName val="[입찰안.xls][입찰안.xls][입찰안.xls]_663"/>
      <sheetName val="[입찰안.xls][입찰안.xls][입찰안.xls]_664"/>
      <sheetName val="[입찰안.xls][입찰안.xls][입찰안.xls]_666"/>
      <sheetName val="[입찰안.xls][입찰안.xls][입찰안.xls]_665"/>
      <sheetName val="[입찰안.xls][입찰안.xls][입찰안.xls]_684"/>
      <sheetName val="[입찰안.xls][입찰안.xls][입찰안.xls]_668"/>
      <sheetName val="[입찰안.xls][입찰안.xls][입찰안.xls]_669"/>
      <sheetName val="[입찰안.xls][입찰안.xls][입찰안.xls]_670"/>
      <sheetName val="[입찰안.xls][입찰안.xls][입찰안.xls]_671"/>
      <sheetName val="[입찰안.xls][입찰안.xls][입찰안.xls]_674"/>
      <sheetName val="[입찰안.xls][입찰안.xls][입찰안.xls]_673"/>
      <sheetName val="[입찰안.xls][입찰안.xls][입찰안.xls]_675"/>
      <sheetName val="[입찰안.xls][입찰안.xls][입찰안.xls]_693"/>
      <sheetName val="[입찰안.xls][입찰안.xls][입찰안.xls]_676"/>
      <sheetName val="[입찰안.xls][입찰안.xls][입찰안.xls]_678"/>
      <sheetName val="[입찰안.xls][입찰안.xls][입찰안.xls]_677"/>
      <sheetName val="[입찰안.xls][입찰안.xls][입찰안.xls]_679"/>
      <sheetName val="[입찰안.xls][입찰안.xls][입찰안.xls]_680"/>
      <sheetName val="[입찰안.xls][입찰안.xls][입찰안.xls]_681"/>
      <sheetName val="[입찰안.xls][입찰안.xls][입찰안.xls]_682"/>
      <sheetName val="[입찰안.xls][입찰안.xls][입찰안.xls]_683"/>
      <sheetName val="[입찰안.xls][입찰안.xls][입찰안.xls]_685"/>
      <sheetName val="[입찰안.xls][입찰안.xls][입찰안.xls]_686"/>
      <sheetName val="[입찰안.xls][입찰안.xls][입찰안.xls]_687"/>
      <sheetName val="[입찰안.xls][입찰안.xls][입찰안.xls]_688"/>
      <sheetName val="[입찰안.xls][입찰안.xls][입찰안.xls]_692"/>
      <sheetName val="[입찰안.xls][입찰안.xls][입찰안.xls]_689"/>
      <sheetName val="[입찰안.xls][입찰안.xls][입찰안.xls]_690"/>
      <sheetName val="[입찰안.xls][입찰안.xls][입찰안.xls]_691"/>
      <sheetName val="[입찰안.xls][입찰안.xls][입찰안.xls]_699"/>
      <sheetName val="[입찰안.xls][입찰안.xls][입찰안.xls]_694"/>
      <sheetName val="[입찰안.xls][입찰안.xls][입찰안.xls]_695"/>
      <sheetName val="[입찰안.xls][입찰안.xls][입찰안.xls]_698"/>
      <sheetName val="[입찰안.xls][입찰안.xls][입찰안.xls]_696"/>
      <sheetName val="[입찰안.xls][입찰안.xls][입찰안.xls]_697"/>
      <sheetName val="[입찰안.xls][입찰안.xls][입찰안.xls]_718"/>
      <sheetName val="[입찰안.xls][입찰안.xls][입찰안.xls]_704"/>
      <sheetName val="[입찰안.xls][입찰안.xls][입찰안.xls]_700"/>
      <sheetName val="[입찰안.xls][입찰안.xls][입찰안.xls]_701"/>
      <sheetName val="[입찰안.xls][입찰안.xls][입찰안.xls]_702"/>
      <sheetName val="[입찰안.xls][입찰안.xls][입찰안.xls]_703"/>
      <sheetName val="[입찰안.xls][입찰안.xls][입찰안.xls]_705"/>
      <sheetName val="[입찰안.xls][입찰안.xls][입찰안.xls]_706"/>
      <sheetName val="[입찰안.xls][입찰안.xls][입찰안.xls]_707"/>
      <sheetName val="[입찰안.xls][입찰안.xls][입찰안.xls]_708"/>
      <sheetName val="[입찰안.xls][입찰안.xls][입찰안.xls]_728"/>
      <sheetName val="[입찰안.xls][입찰안.xls][입찰안.xls]_710"/>
      <sheetName val="[입찰안.xls][입찰안.xls][입찰안.xls]_709"/>
      <sheetName val="[입찰안.xls][입찰안.xls][입찰안.xls]_711"/>
      <sheetName val="[입찰안.xls][입찰안.xls][입찰안.xls]_712"/>
      <sheetName val="[입찰안.xls][입찰안.xls][입찰안.xls]_713"/>
      <sheetName val="[입찰안.xls][입찰안.xls][입찰안.xls]_715"/>
      <sheetName val="[입찰안.xls][입찰안.xls][입찰안.xls]_714"/>
      <sheetName val="[입찰안.xls][입찰안.xls][입찰안.xls]_716"/>
      <sheetName val="[입찰안.xls][입찰안.xls][입찰안.xls]_717"/>
      <sheetName val="[입찰안.xls][입찰안.xls][입찰안.xls]_720"/>
      <sheetName val="[입찰안.xls][입찰안.xls][입찰안.xls]_719"/>
      <sheetName val="[입찰안.xls][입찰안.xls][입찰안.xls]_721"/>
      <sheetName val="[입찰안.xls][입찰안.xls][입찰안.xls]_722"/>
      <sheetName val="[입찰안.xls][입찰안.xls][입찰안.xls]_723"/>
      <sheetName val="[입찰안.xls][입찰안.xls][입찰안.xls]_724"/>
      <sheetName val="[입찰안.xls][입찰안.xls][입찰안.xls]_725"/>
      <sheetName val="[입찰안.xls][입찰안.xls][입찰안.xls]_726"/>
      <sheetName val="[입찰안.xls][입찰안.xls][입찰안.xls]_727"/>
      <sheetName val="[입찰안.xls][입찰안.xls][입찰안.xls]_729"/>
      <sheetName val="[입찰안.xls][입찰안.xls][입찰안.xls]_730"/>
      <sheetName val="[입찰안.xls][입찰안.xls][입찰안.xls]_732"/>
      <sheetName val="[입찰안.xls][입찰안.xls][입찰안.xls]_731"/>
      <sheetName val="[입찰안.xls][입찰안.xls][입찰안.xls]_746"/>
      <sheetName val="[입찰안.xls][입찰안.xls][입찰안.xls]_733"/>
      <sheetName val="[입찰안.xls][입찰안.xls][입찰안.xls]_734"/>
      <sheetName val="[입찰안.xls][입찰안.xls][입찰안.xls]_735"/>
      <sheetName val="[입찰안.xls][입찰안.xls][입찰안.xls]_736"/>
      <sheetName val="[입찰안.xls][입찰안.xls][입찰안.xls]_737"/>
      <sheetName val="[입찰안.xls][입찰안.xls][입찰안.xls]_738"/>
      <sheetName val="[입찰안.xls][입찰안.xls][입찰안.xls]_739"/>
      <sheetName val="[입찰안.xls][입찰안.xls][입찰안.xls]_740"/>
      <sheetName val="[입찰안.xls][입찰안.xls][입찰안.xls]_741"/>
      <sheetName val="[입찰안.xls][입찰안.xls][입찰안.xls]_742"/>
      <sheetName val="[입찰안.xls][입찰안.xls][입찰안.xls]_743"/>
      <sheetName val="[입찰안.xls][입찰안.xls][입찰안.xls]_744"/>
      <sheetName val="[입찰안.xls][입찰안.xls][입찰안.xls]_745"/>
      <sheetName val="[입찰안.xls][입찰안.xls][입찰안.xls]_763"/>
      <sheetName val="[입찰안.xls][입찰안.xls][입찰안.xls]_747"/>
      <sheetName val="[입찰안.xls][입찰안.xls][입찰안.xls]_748"/>
      <sheetName val="[입찰안.xls][입찰안.xls][입찰안.xls]_749"/>
      <sheetName val="[입찰안.xls][입찰안.xls][입찰안.xls]_750"/>
      <sheetName val="[입찰안.xls][입찰안.xls][입찰안.xls]_754"/>
      <sheetName val="[입찰안.xls][입찰안.xls][입찰안.xls]_752"/>
      <sheetName val="[입찰안.xls][입찰안.xls][입찰안.xls]_751"/>
      <sheetName val="[입찰안.xls][입찰안.xls][입찰안.xls]_753"/>
      <sheetName val="[입찰안.xls][입찰안.xls][입찰안.xls]_755"/>
      <sheetName val="[입찰안.xls][입찰안.xls][입찰안.xls]_756"/>
      <sheetName val="[입찰안.xls][입찰안.xls][입찰안.xls]_757"/>
      <sheetName val="[입찰안.xls][입찰안.xls][입찰안.xls]_758"/>
      <sheetName val="[입찰안.xls][입찰안.xls][입찰안.xls]_761"/>
      <sheetName val="[입찰안.xls][입찰안.xls][입찰안.xls]_759"/>
      <sheetName val="[입찰안.xls][입찰안.xls][입찰안.xls]_760"/>
      <sheetName val="[입찰안.xls][입찰안.xls][입찰안.xls]_762"/>
      <sheetName val="[입찰안.xls][입찰안.xls][입찰안.xls]_774"/>
      <sheetName val="[입찰안.xls][입찰안.xls][입찰안.xls]_764"/>
      <sheetName val="[입찰안.xls][입찰안.xls][입찰안.xls]_765"/>
      <sheetName val="[입찰안.xls][입찰안.xls][입찰안.xls]_766"/>
      <sheetName val="[입찰안.xls][입찰안.xls][입찰안.xls]_767"/>
      <sheetName val="[입찰안.xls][입찰안.xls][입찰안.xls]_768"/>
      <sheetName val="[입찰안.xls][입찰안.xls][입찰안.xls]_769"/>
      <sheetName val="[입찰안.xls][입찰안.xls][입찰안.xls]_770"/>
      <sheetName val="[입찰안.xls][입찰안.xls][입찰안.xls]_771"/>
      <sheetName val="[입찰안.xls][입찰안.xls][입찰안.xls]_772"/>
      <sheetName val="[입찰안.xls][입찰안.xls][입찰안.xls]_773"/>
      <sheetName val="[입찰안.xls][입찰안.xls][입찰안.xls]_783"/>
      <sheetName val="[입찰안.xls][입찰안.xls][입찰안.xls]_780"/>
      <sheetName val="[입찰안.xls][입찰안.xls][입찰안.xls]_779"/>
      <sheetName val="[입찰안.xls][입찰안.xls][입찰안.xls]_775"/>
      <sheetName val="[입찰안.xls][입찰안.xls][입찰안.xls]_776"/>
      <sheetName val="[입찰안.xls][입찰안.xls][입찰안.xls]_777"/>
      <sheetName val="[입찰안.xls][입찰안.xls][입찰안.xls]_778"/>
      <sheetName val="[입찰안.xls][입찰안.xls][입찰안.xls]_781"/>
      <sheetName val="[입찰안.xls][입찰안.xls][입찰안.xls]_782"/>
      <sheetName val="[입찰안.xls][입찰안.xls][입찰안.xls]_788"/>
      <sheetName val="[입찰안.xls][입찰안.xls][입찰안.xls]_784"/>
      <sheetName val="[입찰안.xls][입찰안.xls][입찰안.xls]_785"/>
      <sheetName val="[입찰안.xls][입찰안.xls][입찰안.xls]_786"/>
      <sheetName val="[입찰안.xls][입찰안.xls][입찰안.xls]_787"/>
      <sheetName val="[입찰안.xls][입찰안.xls][입찰안.xls]_793"/>
      <sheetName val="[입찰안.xls][입찰안.xls][입찰안.xls]_790"/>
      <sheetName val="[입찰안.xls][입찰안.xls][입찰안.xls]_789"/>
      <sheetName val="[입찰안.xls][입찰안.xls][입찰안.xls]_792"/>
      <sheetName val="[입찰안.xls][입찰안.xls][입찰안.xls]_791"/>
      <sheetName val="[입찰안.xls][입찰안.xls][입찰안.xls]_803"/>
      <sheetName val="[입찰안.xls][입찰안.xls][입찰안.xls]_794"/>
      <sheetName val="[입찰안.xls][입찰안.xls][입찰안.xls]_795"/>
      <sheetName val="[입찰안.xls][입찰안.xls][입찰안.xls]_796"/>
      <sheetName val="[입찰안.xls][입찰안.xls][입찰안.xls]_798"/>
      <sheetName val="[입찰안.xls][입찰안.xls][입찰안.xls]_797"/>
      <sheetName val="[입찰안.xls][입찰안.xls][입찰안.xls]_799"/>
      <sheetName val="[입찰안.xls][입찰안.xls][입찰안.xls]_801"/>
      <sheetName val="[입찰안.xls][입찰안.xls][입찰안.xls]_800"/>
      <sheetName val="[입찰안.xls][입찰안.xls][입찰안.xls]_802"/>
      <sheetName val="[입찰안.xls][입찰안.xls][입찰안.xls]_815"/>
      <sheetName val="[입찰안.xls][입찰안.xls][입찰안.xls]_807"/>
      <sheetName val="[입찰안.xls][입찰안.xls][입찰안.xls]_804"/>
      <sheetName val="[입찰안.xls][입찰안.xls][입찰안.xls]_805"/>
      <sheetName val="[입찰안.xls][입찰안.xls][입찰안.xls]_806"/>
      <sheetName val="[입찰안.xls][입찰안.xls][입찰안.xls]_808"/>
      <sheetName val="[입찰안.xls][입찰안.xls][입찰안.xls]_809"/>
      <sheetName val="[입찰안.xls][입찰안.xls][입찰안.xls]_810"/>
      <sheetName val="[입찰안.xls][입찰안.xls][입찰안.xls]_811"/>
      <sheetName val="[입찰안.xls][입찰안.xls][입찰안.xls]_813"/>
      <sheetName val="[입찰안.xls][입찰안.xls][입찰안.xls]_812"/>
      <sheetName val="[입찰안.xls][입찰안.xls][입찰안.xls]_814"/>
      <sheetName val="[입찰안.xls][입찰안.xls][입찰안.xls]_816"/>
      <sheetName val="[입찰안.xls][입찰안.xls][입찰안.xls]_827"/>
      <sheetName val="[입찰안.xls][입찰안.xls][입찰안.xls]_817"/>
      <sheetName val="[입찰안.xls][입찰안.xls][입찰안.xls]_818"/>
      <sheetName val="[입찰안.xls][입찰안.xls][입찰안.xls]_820"/>
      <sheetName val="[입찰안.xls][입찰안.xls][입찰안.xls]_819"/>
      <sheetName val="[입찰안.xls][입찰안.xls][입찰안.xls]_821"/>
      <sheetName val="[입찰안.xls][입찰안.xls][입찰안.xls]_822"/>
      <sheetName val="[입찰안.xls][입찰안.xls][입찰안.xls]_823"/>
      <sheetName val="[입찰안.xls][입찰안.xls][입찰안.xls]_824"/>
      <sheetName val="[입찰안.xls][입찰안.xls][입찰안.xls]_825"/>
      <sheetName val="[입찰안.xls][입찰안.xls][입찰안.xls]_826"/>
      <sheetName val="[입찰안.xls][입찰안.xls][입찰안.xls]_838"/>
      <sheetName val="[입찰안.xls][입찰안.xls][입찰안.xls]_828"/>
      <sheetName val="[입찰안.xls][입찰안.xls][입찰안.xls]_829"/>
      <sheetName val="[입찰안.xls][입찰안.xls][입찰안.xls]_830"/>
      <sheetName val="[입찰안.xls][입찰안.xls][입찰안.xls]_831"/>
      <sheetName val="[입찰안.xls][입찰안.xls][입찰안.xls]_832"/>
      <sheetName val="[입찰안.xls][입찰안.xls][입찰안.xls]_834"/>
      <sheetName val="[입찰안.xls][입찰안.xls][입찰안.xls]_833"/>
      <sheetName val="[입찰안.xls][입찰안.xls][입찰안.xls]_835"/>
      <sheetName val="[입찰안.xls][입찰안.xls][입찰안.xls]_836"/>
      <sheetName val="[입찰안.xls][입찰안.xls][입찰안.xls]_837"/>
      <sheetName val="[입찰안.xls][입찰안.xls][입찰안.xls]_844"/>
      <sheetName val="[입찰안.xls][입찰안.xls][입찰안.xls]_846"/>
      <sheetName val="[입찰안.xls][입찰안.xls][입찰안.xls]_839"/>
      <sheetName val="[입찰안.xls][입찰안.xls][입찰안.xls]_840"/>
      <sheetName val="[입찰안.xls][입찰안.xls][입찰안.xls]_843"/>
      <sheetName val="[입찰안.xls][입찰안.xls][입찰안.xls]_841"/>
      <sheetName val="[입찰안.xls][입찰안.xls][입찰안.xls]_842"/>
      <sheetName val="[입찰안.xls][입찰안.xls][입찰안.xls]_845"/>
      <sheetName val="[입찰안.xls][입찰안.xls][입찰안.xls]_860"/>
      <sheetName val="[입찰안.xls][입찰안.xls][입찰안.xls]_847"/>
      <sheetName val="[입찰안.xls][입찰안.xls][입찰안.xls]_848"/>
      <sheetName val="[입찰안.xls][입찰안.xls][입찰안.xls]_850"/>
      <sheetName val="[입찰안.xls][입찰안.xls][입찰안.xls]_849"/>
      <sheetName val="[입찰안.xls][입찰안.xls][입찰안.xls]_851"/>
      <sheetName val="[입찰안.xls][입찰안.xls][입찰안.xls]_852"/>
      <sheetName val="[입찰안.xls][입찰안.xls][입찰안.xls]_854"/>
      <sheetName val="[입찰안.xls][입찰안.xls][입찰안.xls]_853"/>
      <sheetName val="[입찰안.xls][입찰안.xls][입찰안.xls]_855"/>
      <sheetName val="[입찰안.xls][입찰안.xls][입찰안.xls]_856"/>
      <sheetName val="[입찰안.xls][입찰안.xls][입찰안.xls]_857"/>
      <sheetName val="[입찰안.xls][입찰안.xls][입찰안.xls]_859"/>
      <sheetName val="[입찰안.xls][입찰안.xls][입찰안.xls]_858"/>
      <sheetName val="[입찰안.xls][입찰안.xls][입찰안.xls]_861"/>
      <sheetName val="[입찰안.xls][입찰안.xls][입찰안.xls]_886"/>
      <sheetName val="[입찰안.xls][입찰안.xls][입찰안.xls]_862"/>
      <sheetName val="[입찰안.xls][입찰안.xls][입찰안.xls]_863"/>
      <sheetName val="[입찰안.xls][입찰안.xls][입찰안.xls]_864"/>
      <sheetName val="[입찰안.xls][입찰안.xls][입찰안.xls]_865"/>
      <sheetName val="[입찰안.xls][입찰안.xls][입찰안.xls]_866"/>
      <sheetName val="[입찰안.xls][입찰안.xls][입찰안.xls]_867"/>
      <sheetName val="[입찰안.xls][입찰안.xls][입찰안.xls]_868"/>
      <sheetName val="[입찰안.xls][입찰안.xls][입찰안.xls]_869"/>
      <sheetName val="[입찰안.xls][입찰안.xls][입찰안.xls]_870"/>
      <sheetName val="[입찰안.xls][입찰안.xls][입찰안.xls]_871"/>
      <sheetName val="[입찰안.xls][입찰안.xls][입찰안.xls]_872"/>
      <sheetName val="[입찰안.xls][입찰안.xls][입찰안.xls]_873"/>
      <sheetName val="[입찰안.xls][입찰안.xls][입찰안.xls]_874"/>
      <sheetName val="[입찰안.xls][입찰안.xls][입찰안.xls]_895"/>
      <sheetName val="[입찰안.xls][입찰안.xls][입찰안.xls]_894"/>
      <sheetName val="[입찰안.xls][입찰안.xls][입찰안.xls]_875"/>
      <sheetName val="[입찰안.xls][입찰안.xls][입찰안.xls]_876"/>
      <sheetName val="[입찰안.xls][입찰안.xls][입찰안.xls]_877"/>
      <sheetName val="[입찰안.xls][입찰안.xls][입찰안.xls]_878"/>
      <sheetName val="[입찰안.xls][입찰안.xls][입찰안.xls]_879"/>
      <sheetName val="[입찰안.xls][입찰안.xls][입찰안.xls]_880"/>
      <sheetName val="[입찰안.xls][입찰안.xls][입찰안.xls]_881"/>
      <sheetName val="[입찰안.xls][입찰안.xls][입찰안.xls]_882"/>
      <sheetName val="[입찰안.xls][입찰안.xls][입찰안.xls]_883"/>
      <sheetName val="[입찰안.xls][입찰안.xls][입찰안.xls]_884"/>
      <sheetName val="[입찰안.xls][입찰안.xls][입찰안.xls]_885"/>
      <sheetName val="[입찰안.xls][입찰안.xls][입찰안.xls]_887"/>
      <sheetName val="[입찰안.xls][입찰안.xls][입찰안.xls]_889"/>
      <sheetName val="[입찰안.xls][입찰안.xls][입찰안.xls]_888"/>
      <sheetName val="[입찰안.xls][입찰안.xls][입찰안.xls]_890"/>
      <sheetName val="[입찰안.xls][입찰안.xls][입찰안.xls]_891"/>
      <sheetName val="[입찰안.xls][입찰안.xls][입찰안.xls]_892"/>
      <sheetName val="[입찰안.xls][입찰안.xls][입찰안.xls]_893"/>
      <sheetName val="[입찰안.xls][입찰안.xls][입찰안.xls]_908"/>
      <sheetName val="[입찰안.xls][입찰안.xls][입찰안.xls]_899"/>
      <sheetName val="[입찰안.xls][입찰안.xls][입찰안.xls]_896"/>
      <sheetName val="[입찰안.xls][입찰안.xls][입찰안.xls]_897"/>
      <sheetName val="[입찰안.xls][입찰안.xls][입찰안.xls]_898"/>
      <sheetName val="[입찰안.xls][입찰안.xls][입찰안.xls]_959"/>
      <sheetName val="[입찰안.xls][입찰안.xls][입찰안.xls]_950"/>
      <sheetName val="[입찰안.xls][입찰안.xls][입찰안.xls]_900"/>
      <sheetName val="[입찰안.xls][입찰안.xls][입찰안.xls]_902"/>
      <sheetName val="[입찰안.xls][입찰안.xls][입찰안.xls]_901"/>
      <sheetName val="[입찰안.xls][입찰안.xls][입찰안.xls]_906"/>
      <sheetName val="[입찰안.xls][입찰안.xls][입찰안.xls]_905"/>
      <sheetName val="[입찰안.xls][입찰안.xls][입찰안.xls]_903"/>
      <sheetName val="[입찰안.xls][입찰안.xls][입찰안.xls]_904"/>
      <sheetName val="[입찰안.xls][입찰안.xls][입찰안.xls]_907"/>
      <sheetName val="[입찰안.xls][입찰안.xls][입찰안.xls]_939"/>
      <sheetName val="[입찰안.xls][입찰안.xls][입찰안.xls]_921"/>
      <sheetName val="[입찰안.xls][입찰안.xls][입찰안.xls]_912"/>
      <sheetName val="[입찰안.xls][입찰안.xls][입찰안.xls]_911"/>
      <sheetName val="[입찰안.xls][입찰안.xls][입찰안.xls]_909"/>
      <sheetName val="[입찰안.xls][입찰안.xls][입찰안.xls]_910"/>
      <sheetName val="[입찰안.xls][입찰안.xls][입찰안.xls]_914"/>
      <sheetName val="[입찰안.xls][입찰안.xls][입찰안.xls]_913"/>
      <sheetName val="[입찰안.xls][입찰안.xls][입찰안.xls]_915"/>
      <sheetName val="[입찰안.xls][입찰안.xls][입찰안.xls]_916"/>
      <sheetName val="[입찰안.xls][입찰안.xls][입찰안.xls]_917"/>
      <sheetName val="[입찰안.xls][입찰안.xls][입찰안.xls]_918"/>
      <sheetName val="[입찰안.xls][입찰안.xls][입찰안.xls]_919"/>
      <sheetName val="[입찰안.xls][입찰안.xls][입찰안.xls]_920"/>
      <sheetName val="[입찰안.xls][입찰안.xls][입찰안.xls]_922"/>
      <sheetName val="[입찰안.xls][입찰안.xls][입찰안.xls]_928"/>
      <sheetName val="[입찰안.xls][입찰안.xls][입찰안.xls]_926"/>
      <sheetName val="[입찰안.xls][입찰안.xls][입찰안.xls]_924"/>
      <sheetName val="[입찰안.xls][입찰안.xls][입찰안.xls]_923"/>
      <sheetName val="[입찰안.xls][입찰안.xls][입찰안.xls]_925"/>
      <sheetName val="[입찰안.xls][입찰안.xls][입찰안.xls]_927"/>
      <sheetName val="[입찰안.xls][입찰안.xls][입찰안.xls]_929"/>
      <sheetName val="[입찰안.xls][입찰안.xls][입찰안.xls]_930"/>
      <sheetName val="[입찰안.xls][입찰안.xls][입찰안.xls]_933"/>
      <sheetName val="[입찰안.xls][입찰안.xls][입찰안.xls]_931"/>
      <sheetName val="[입찰안.xls][입찰안.xls][입찰안.xls]_932"/>
      <sheetName val="[입찰안.xls][입찰안.xls][입찰안.xls]_934"/>
      <sheetName val="[입찰안.xls][입찰안.xls][입찰안.xls]_937"/>
      <sheetName val="[입찰안.xls][입찰안.xls][입찰안.xls]_935"/>
      <sheetName val="[입찰안.xls][입찰안.xls][입찰안.xls]_936"/>
      <sheetName val="[입찰안.xls][입찰안.xls][입찰안.xls]_938"/>
      <sheetName val="[입찰안.xls][입찰안.xls][입찰안.xls]_940"/>
      <sheetName val="[입찰안.xls][입찰안.xls][입찰안.xls]_941"/>
      <sheetName val="[입찰안.xls][입찰안.xls][입찰안.xls]_942"/>
      <sheetName val="[입찰안.xls][입찰안.xls][입찰안.xls]_944"/>
      <sheetName val="[입찰안.xls][입찰안.xls][입찰안.xls]_943"/>
      <sheetName val="[입찰안.xls][입찰안.xls][입찰안.xls]_945"/>
      <sheetName val="[입찰안.xls][입찰안.xls][입찰안.xls]_946"/>
      <sheetName val="[입찰안.xls][입찰안.xls][입찰안.xls]_947"/>
      <sheetName val="[입찰안.xls][입찰안.xls][입찰안.xls]_948"/>
      <sheetName val="[입찰안.xls][입찰안.xls][입찰안.xls]_949"/>
      <sheetName val="[입찰안.xls][입찰안.xls][입찰안.xls]_954"/>
      <sheetName val="[입찰안.xls][입찰안.xls][입찰안.xls]_953"/>
      <sheetName val="[입찰안.xls][입찰안.xls][입찰안.xls]_952"/>
      <sheetName val="[입찰안.xls][입찰안.xls][입찰안.xls]_951"/>
      <sheetName val="[입찰안.xls][입찰안.xls][입찰안.xls]_956"/>
      <sheetName val="[입찰안.xls][입찰안.xls][입찰안.xls]_955"/>
      <sheetName val="[입찰안.xls][입찰안.xls][입찰안.xls]_957"/>
      <sheetName val="[입찰안.xls][입찰안.xls][입찰안.xls]_958"/>
      <sheetName val="[입찰안.xls][입찰안.xls][입찰안.xls]_962"/>
      <sheetName val="[입찰안.xls][입찰안.xls][입찰안.xls]_969"/>
      <sheetName val="[입찰안.xls][입찰안.xls][입찰안.xls]_960"/>
      <sheetName val="[입찰안.xls][입찰안.xls][입찰안.xls]_961"/>
      <sheetName val="[입찰안.xls][입찰안.xls][입찰안.xls]_963"/>
      <sheetName val="[입찰안.xls][입찰안.xls][입찰안.xls]_972"/>
      <sheetName val="[입찰안.xls][입찰안.xls][입찰안.xls]_964"/>
      <sheetName val="[입찰안.xls][입찰안.xls][입찰안.xls]_965"/>
      <sheetName val="[입찰안.xls][입찰안.xls][입찰안.xls]_967"/>
      <sheetName val="[입찰안.xls][입찰안.xls][입찰안.xls]_966"/>
      <sheetName val="[입찰안.xls][입찰안.xls][입찰안.xls]_968"/>
      <sheetName val="[입찰안.xls][입찰안.xls][입찰안.xls]_975"/>
      <sheetName val="[입찰안.xls][입찰안.xls][입찰안.xls]_976"/>
      <sheetName val="[입찰안.xls][입찰안.xls][입찰안.xls]_970"/>
      <sheetName val="[입찰안.xls][입찰안.xls][입찰안.xls]_971"/>
      <sheetName val="[입찰안.xls][입찰안.xls][입찰안.xls]_973"/>
      <sheetName val="[입찰안.xls][입찰안.xls][입찰안.xls]_974"/>
      <sheetName val="[입찰안.xls][입찰안.xls][입찰안.xls]_978"/>
      <sheetName val="[입찰안.xls][입찰안.xls][입찰안.xls]_977"/>
      <sheetName val="[입찰안.xls][입찰안.xls][입찰안.xls]_985"/>
      <sheetName val="[입찰안.xls][입찰안.xls][입찰안.xls]_979"/>
      <sheetName val="[입찰안.xls][입찰안.xls][입찰안.xls]_997"/>
      <sheetName val="[입찰안.xls][입찰안.xls][입찰안.xls]_980"/>
      <sheetName val="[입찰안.xls][입찰안.xls][입찰안.xls]_981"/>
      <sheetName val="[입찰안.xls][입찰안.xls][입찰안.xls]_982"/>
      <sheetName val="[입찰안.xls][입찰안.xls][입찰안.xls]_983"/>
      <sheetName val="[입찰안.xls][입찰안.xls][입찰안.xls]_984"/>
      <sheetName val="[입찰안.xls][입찰안.xls][입찰안.xls]_986"/>
      <sheetName val="[입찰안.xls][입찰안.xls][입찰안.xls]_987"/>
      <sheetName val="[입찰안.xls][입찰안.xls][입찰안.xls]_988"/>
      <sheetName val="[입찰안.xls][입찰안.xls][입찰안.xls]_989"/>
      <sheetName val="[입찰안.xls][입찰안.xls]_____xls_1006"/>
      <sheetName val="[입찰안.xls][입찰안.xls][입찰안.xls]_990"/>
      <sheetName val="[입찰안.xls][입찰안.xls][입찰안.xls]_991"/>
      <sheetName val="[입찰안.xls][입찰안.xls][입찰안.xls]_992"/>
      <sheetName val="[입찰안.xls][입찰안.xls][입찰안.xls]_994"/>
      <sheetName val="[입찰안.xls][입찰안.xls][입찰안.xls]_993"/>
      <sheetName val="[입찰안.xls][입찰안.xls][입찰안.xls]_995"/>
      <sheetName val="[입찰안.xls][입찰안.xls][입찰안.xls]_996"/>
      <sheetName val="[입찰안.xls][입찰안.xls]_____xls_1001"/>
      <sheetName val="[입찰안.xls][입찰안.xls][입찰안.xls]_998"/>
      <sheetName val="[입찰안.xls][입찰안.xls][입찰안.xls]_999"/>
      <sheetName val="[입찰안.xls][입찰안.xls]_____xls_1000"/>
      <sheetName val="[입찰안.xls][입찰안.xls]_____xls_1005"/>
      <sheetName val="[입찰안.xls][입찰안.xls]_____xls_1002"/>
      <sheetName val="[입찰안.xls][입찰안.xls]_____xls_1003"/>
      <sheetName val="[입찰안.xls][입찰안.xls]_____xls_1004"/>
      <sheetName val="[입찰안.xls][입찰안.xls]_____xls_1024"/>
      <sheetName val="[입찰안.xls][입찰안.xls]_____xls_1007"/>
      <sheetName val="[입찰안.xls][입찰안.xls]_____xls_1016"/>
      <sheetName val="[입찰안.xls][입찰안.xls]_____xls_1008"/>
      <sheetName val="[입찰안.xls][입찰안.xls]_____xls_1019"/>
      <sheetName val="[입찰안.xls][입찰안.xls]_____xls_1009"/>
      <sheetName val="[입찰안.xls][입찰안.xls]_____xls_1010"/>
      <sheetName val="[입찰안.xls][입찰안.xls]_____xls_1015"/>
      <sheetName val="[입찰안.xls][입찰안.xls]_____xls_1012"/>
      <sheetName val="[입찰안.xls][입찰안.xls]_____xls_1011"/>
      <sheetName val="[입찰안.xls][입찰안.xls]_____xls_1014"/>
      <sheetName val="[입찰안.xls][입찰안.xls]_____xls_1013"/>
      <sheetName val="[입찰안.xls][입찰안.xls]_____xls_1017"/>
      <sheetName val="[입찰안.xls][입찰안.xls]_____xls_1018"/>
      <sheetName val="[입찰안.xls][입찰안.xls]_____xls_1023"/>
      <sheetName val="[입찰안.xls][입찰안.xls]_____xls_1020"/>
      <sheetName val="[입찰안.xls][입찰안.xls]_____xls_1021"/>
      <sheetName val="[입찰안.xls][입찰안.xls]_____xls_1022"/>
      <sheetName val="[입찰안.xls][입찰안.xls]_____xls_1025"/>
      <sheetName val="[입찰안.xls][입찰안.xls]_____xls_1031"/>
      <sheetName val="[입찰안.xls][입찰안.xls]_____xls_1032"/>
      <sheetName val="[입찰안.xls][입찰안.xls]_____xls_1026"/>
      <sheetName val="[입찰안.xls][입찰안.xls]_____xls_1028"/>
      <sheetName val="[입찰안.xls][입찰안.xls]_____xls_1027"/>
      <sheetName val="[입찰안.xls][입찰안.xls]_____xls_1030"/>
      <sheetName val="[입찰안.xls][입찰안.xls]_____xls_1029"/>
      <sheetName val="[입찰안.xls][입찰안.xls]_____xls_1037"/>
      <sheetName val="[입찰안.xls][입찰안.xls]_____xls_1033"/>
      <sheetName val="[입찰안.xls][입찰안.xls]_____xls_1036"/>
      <sheetName val="[입찰안.xls][입찰안.xls]_____xls_1034"/>
      <sheetName val="[입찰안.xls][입찰안.xls]_____xls_1035"/>
      <sheetName val="[입찰안.xls][입찰안.xls]_____xls_1049"/>
      <sheetName val="[입찰안.xls][입찰안.xls]_____xls_1038"/>
      <sheetName val="[입찰안.xls][입찰안.xls]_____xls_1050"/>
      <sheetName val="[입찰안.xls][입찰안.xls]_____xls_1039"/>
      <sheetName val="[입찰안.xls][입찰안.xls]_____xls_1042"/>
      <sheetName val="[입찰안.xls][입찰안.xls]_____xls_1040"/>
      <sheetName val="[입찰안.xls][입찰안.xls]_____xls_1041"/>
      <sheetName val="[입찰안.xls][입찰안.xls]_____xls_1045"/>
      <sheetName val="[입찰안.xls][입찰안.xls]_____xls_1043"/>
      <sheetName val="[입찰안.xls][입찰안.xls]_____xls_1044"/>
      <sheetName val="[입찰안.xls][입찰안.xls]_____xls_1046"/>
      <sheetName val="[입찰안.xls][입찰안.xls]_____xls_1047"/>
      <sheetName val="[입찰안.xls][입찰안.xls]_____xls_1048"/>
      <sheetName val="[입찰안.xls][입찰안.xls]_____xls_1053"/>
      <sheetName val="[입찰안.xls][입찰안.xls]_____xls_1052"/>
      <sheetName val="[입찰안.xls][입찰안.xls]_____xls_1051"/>
      <sheetName val="[입찰안.xls][입찰안.xls]_____xls_1056"/>
      <sheetName val="[입찰안.xls][입찰안.xls]_____xls_1061"/>
      <sheetName val="[입찰안.xls][입찰안.xls]_____xls_1060"/>
      <sheetName val="[입찰안.xls][입찰안.xls]_____xls_1058"/>
      <sheetName val="[입찰안.xls][입찰안.xls]_____xls_1059"/>
      <sheetName val="[입찰안.xls][입찰안.xls]_____xls_1063"/>
      <sheetName val="[입찰안.xls][입찰안.xls]_____xls_1070"/>
      <sheetName val="[입찰안.xls][입찰안.xls]_____xls_1064"/>
      <sheetName val="[입찰안.xls][입찰안.xls]_____xls_1062"/>
      <sheetName val="[입찰안.xls][입찰안.xls]_____xls_1067"/>
      <sheetName val="[입찰안.xls][입찰안.xls]_____xls_1074"/>
      <sheetName val="SLAB&quot;1&quot;"/>
      <sheetName val="F_D SEC. PROP"/>
      <sheetName val="3련_B胔Ẩ"/>
      <sheetName val="3련_B˔_x0000_"/>
      <sheetName val="3련_B㷔₼"/>
      <sheetName val="3련_B㷔嚼"/>
      <sheetName val="design_c"/>
      <sheetName val="장"/>
      <sheetName val="정리계槜〩"/>
      <sheetName val="집계장(뀀ﰡ"/>
      <sheetName val="정리계"/>
      <sheetName val="집계장(Â"/>
      <sheetName val="정리계槜〽"/>
      <sheetName val="서울대규장각(가시설흙막이)"/>
      <sheetName val="[입찰안.xls][입찰안.xls]_____xls_1065"/>
      <sheetName val="[입찰안.xls][입찰안.xls]_____xls_1066"/>
      <sheetName val="[입찰안.xls][입찰안.xls]_____xls_1068"/>
      <sheetName val="[입찰안.xls][입찰안.xls]_____xls_1069"/>
      <sheetName val="[입찰안.xls][입찰안.xls]_____xls_1071"/>
      <sheetName val="[입찰안.xls][입찰안.xls]_____xls_1072"/>
      <sheetName val="[입찰안.xls][입찰안.xls]_____xls_1076"/>
      <sheetName val="[입찰안.xls][입찰안.xls]_____xls_1075"/>
      <sheetName val="[입찰안.xls][입찰안.xls]_____xls_1073"/>
      <sheetName val="[입찰안.xls][입찰안.xls]_____xls_1081"/>
      <sheetName val="[입찰안.xls][입찰안.xls]_____xls_1077"/>
      <sheetName val="[입찰안.xls][입찰안.xls]_____xls_1078"/>
      <sheetName val="[입찰안.xls][입찰안.xls]_____xls_1079"/>
      <sheetName val="[입찰안.xls][입찰안.xls]_____xls_1080"/>
      <sheetName val="[입찰안.xls][입찰안.xls]_____xls_1082"/>
      <sheetName val="[입찰안.xls][입찰안.xls]_____xls_1090"/>
      <sheetName val="[입찰안.xls][입찰안.xls]_____xls_1110"/>
      <sheetName val="[입찰안.xls][입찰안.xls]_____xls_1109"/>
      <sheetName val="공비대비"/>
      <sheetName val="[입찰안.xls][입찰안.xls]_____xls_1085"/>
      <sheetName val="[입찰안.xls][입찰안.xls]_____xls_1083"/>
      <sheetName val="[입찰안.xls][입찰안.xls]_____xls_1084"/>
      <sheetName val="[입찰안.xls][입찰안.xls]_____xls_1089"/>
      <sheetName val="[입찰안.xls][입찰안.xls]_____xls_1088"/>
      <sheetName val="[입찰안.xls][입찰안.xls]_____xls_1086"/>
      <sheetName val="[입찰안.xls][입찰안.xls]_____xls_1087"/>
      <sheetName val="[입찰안.xls][입찰안.xls]_____xls_1108"/>
      <sheetName val="[입찰안.xls][입찰안.xls]_____xls_1091"/>
      <sheetName val="[입찰안.xls][입찰안.xls]_____xls_1097"/>
      <sheetName val="[입찰안.xls][입찰안.xls]_____xls_1093"/>
      <sheetName val="[입찰안.xls][입찰안.xls]_____xls_1096"/>
      <sheetName val="[입찰안.xls][입찰안.xls]_____xls_1095"/>
      <sheetName val="[입찰안.xls][입찰안.xls]_____xls_1092"/>
      <sheetName val="[입찰안.xls][입찰안.xls]_____xls_1094"/>
      <sheetName val="[입찰안.xls][입찰안.xls]_____xls_1100"/>
      <sheetName val="[입찰안.xls][입찰안.xls]_____xls_1098"/>
      <sheetName val="[입찰안.xls][입찰안.xls]_____xls_1099"/>
      <sheetName val="[입찰안.xls][입찰안.xls]_____xls_1105"/>
      <sheetName val="[입찰안.xls][입찰안.xls]_____xls_1101"/>
      <sheetName val="[입찰안.xls][입찰안.xls]_____xls_1103"/>
      <sheetName val="[입찰안.xls][입찰안.xls]_____xls_1102"/>
      <sheetName val="[입찰안.xls][입찰안.xls]_____xls_1104"/>
      <sheetName val="[입찰안.xls][입찰안.xls]_____xls_1107"/>
      <sheetName val="[입찰안.xls][입찰안.xls]_____xls_1106"/>
      <sheetName val="[입찰안.xls][입찰안.xls]_____xls_1111"/>
      <sheetName val="[입찰안.xls][입찰안.xls]_____xls_1112"/>
      <sheetName val="[입찰안.xls][입찰안.xls]_____xls_1113"/>
      <sheetName val="[입찰안.xls][입찰안.xls]_____xls_1115"/>
      <sheetName val="[입찰안.xls][입찰안.xls]_____xls_1114"/>
      <sheetName val="[입찰안.xls][입찰안.xls]_____xls_1116"/>
      <sheetName val="(1)2002년 매출목표 산출"/>
      <sheetName val="5호광장_(만점)8"/>
      <sheetName val="인천국제_(만점)_(2)8"/>
      <sheetName val="Total_단위경유량집계8"/>
      <sheetName val="BH-1_(2)8"/>
      <sheetName val="표__지8"/>
      <sheetName val="준검_내역서8"/>
      <sheetName val="토공유동표(전체_당초)8"/>
      <sheetName val="1_수인터널8"/>
      <sheetName val="앉음벽_(2)8"/>
      <sheetName val="_HIT__HMC_견적_3900_8"/>
      <sheetName val="I_설계조건8"/>
      <sheetName val="4_전기8"/>
      <sheetName val="1_설계조건8"/>
      <sheetName val="소포내역_(2)8"/>
      <sheetName val="7__현장관리비_8"/>
      <sheetName val="6__안전관리비8"/>
      <sheetName val="노원열병합__건축공사기성내역서8"/>
      <sheetName val="조도계산서_(도서)8"/>
      <sheetName val="3련_BOX8"/>
      <sheetName val="11_산출(전열)8"/>
      <sheetName val="6_산출(동력)8"/>
      <sheetName val="7_산출(TRAY)8"/>
      <sheetName val="5_산출(전력)7"/>
      <sheetName val="수량산출서(전력간선_지하D_C)7"/>
      <sheetName val="MSS_28"/>
      <sheetName val="우수관매설및_우수받이8"/>
      <sheetName val="11_우각부_보강8"/>
      <sheetName val="제출내역_(2)8"/>
      <sheetName val="플랜트_설치7"/>
      <sheetName val="보고서_기기리스트7"/>
      <sheetName val="2_1__노무비_평균단가산출7"/>
      <sheetName val="내역_ver1_08"/>
      <sheetName val="내___역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배수내역_(2)7"/>
      <sheetName val="배수공_시멘트_및_골재량_산출7"/>
      <sheetName val="A_견적7"/>
      <sheetName val="BH_1__2_7"/>
      <sheetName val="8_현장관리비7"/>
      <sheetName val="7_안전관리비7"/>
      <sheetName val="SHEET_PILE단가7"/>
      <sheetName val="_HIT-&gt;HMC_견적(3900)7"/>
      <sheetName val="6PILE__(돌출)7"/>
      <sheetName val="세골재__T2_변경_현황7"/>
      <sheetName val="전_기7"/>
      <sheetName val="spc_배관견적7"/>
      <sheetName val="목차_7"/>
      <sheetName val="화재_탐지_설비7"/>
      <sheetName val="1_설계기준7"/>
      <sheetName val="귀래_설계_공내역서7"/>
      <sheetName val="unit_47"/>
      <sheetName val="Customer_Databas7"/>
      <sheetName val="1_취수장7"/>
      <sheetName val="2차전체변경예정_(2)7"/>
      <sheetName val="개인별_순위표7"/>
      <sheetName val="도담구내_개소별_명세7"/>
      <sheetName val="설_계7"/>
      <sheetName val="Cash_Flow-17"/>
      <sheetName val="3_1공사현황_공정표7"/>
      <sheetName val="노임_단가7"/>
      <sheetName val="投标材料清单_7"/>
      <sheetName val="내역서_7"/>
      <sheetName val="집_계_표7"/>
      <sheetName val="별표_7"/>
      <sheetName val="3_공통공사대비7"/>
      <sheetName val="6__수량산출서6"/>
      <sheetName val="노임단가_(2)7"/>
      <sheetName val="단___산6"/>
      <sheetName val="실____단6"/>
      <sheetName val="단가_및_재료비7"/>
      <sheetName val="7_공정표7"/>
      <sheetName val="단면_(2)7"/>
      <sheetName val="장비비_명세서17"/>
      <sheetName val="노무비_근거6"/>
      <sheetName val="RETAIL_(ABOVE)7"/>
      <sheetName val="5__현장관리비(new)_7"/>
      <sheetName val="제수변_수량집계표(보통)6"/>
      <sheetName val="2_대외공문7"/>
      <sheetName val="_갑지6"/>
      <sheetName val="5_동별횡주관경6"/>
      <sheetName val="장비_(2)6"/>
      <sheetName val="전선_및_전선관6"/>
      <sheetName val="3BL공동구_수량6"/>
      <sheetName val="기성(1차)_5"/>
      <sheetName val="Eq__Mobilization7"/>
      <sheetName val="Sheet1_(2)6"/>
      <sheetName val="습식및_셀프레벨링6"/>
      <sheetName val="1차_내역서6"/>
      <sheetName val="BSD_(2)5"/>
      <sheetName val="바_한일양산5"/>
      <sheetName val="Project_Brief5"/>
      <sheetName val="영업_일15"/>
      <sheetName val="기기_내역서5"/>
      <sheetName val="CM_16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내역서1999_8최종6"/>
      <sheetName val="전사_(2)5"/>
      <sheetName val="BA_(2)5"/>
      <sheetName val="CP_(2)5"/>
      <sheetName val="암거_제원표6"/>
      <sheetName val="수량산출서_(2)5"/>
      <sheetName val="토공_total5"/>
      <sheetName val="참조_(2)6"/>
      <sheetName val="일위대가_6"/>
      <sheetName val="4_LINE6"/>
      <sheetName val="7_th6"/>
      <sheetName val="1_CB5"/>
      <sheetName val="변경명신물량_(2)5"/>
      <sheetName val="기존단가_(2)5"/>
      <sheetName val="토공_토적표5"/>
      <sheetName val="아파트_4"/>
      <sheetName val="갑지_을지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2-2_매출분석4"/>
      <sheetName val="표지_(2)4"/>
      <sheetName val="미납품_현황4"/>
      <sheetName val="STEEL_BOX_단면설계(SEC_8)4"/>
      <sheetName val="갑지_설계_내역서4"/>
      <sheetName val="2_단면가정_(양곡1교)4"/>
      <sheetName val="1_내역(청_하역장전등)4"/>
      <sheetName val="자격_땡겨오기4"/>
      <sheetName val="설명서_4"/>
      <sheetName val="05년_상4"/>
      <sheetName val="영흥TL(UP,DOWN)_4"/>
      <sheetName val="_견적서4"/>
      <sheetName val="단양_00_아파트-세부내역4"/>
      <sheetName val="ITB_COST4"/>
      <sheetName val="4_2_1_마루높이_검토4"/>
      <sheetName val="8_PILE__(돌출)4"/>
      <sheetName val="4__VOs_summary5"/>
      <sheetName val="Chiet_tinh_dz355"/>
      <sheetName val="자재기성_신청서_xlsx3"/>
      <sheetName val="내역(인테리어_실내)(도급)3"/>
      <sheetName val="내역(인테리어_실외)(도급)3"/>
      <sheetName val="2000_053"/>
      <sheetName val="장비코드표_0506013"/>
      <sheetName val="2007년_생산1부장비3"/>
      <sheetName val="2008년_생산부전장비코드3"/>
      <sheetName val="DDB부_장비_관리현황3"/>
      <sheetName val="Xunit_(단위환산)3"/>
      <sheetName val="수량산출서_갑지4"/>
      <sheetName val="_FURNACE현설3"/>
      <sheetName val="97_사업추정(WEKI)3"/>
      <sheetName val="TABLE_DB3"/>
      <sheetName val="쌍용_data_base3"/>
      <sheetName val="8_설치품셈3"/>
      <sheetName val="DATA_LISTS3"/>
      <sheetName val="19_07월_세_계3"/>
      <sheetName val="19_07항목별(시트복사금지100번쓰기)3"/>
      <sheetName val="19_05월3"/>
      <sheetName val="품셈_3"/>
      <sheetName val="M-EMS_GP-570(BIT)3"/>
      <sheetName val="내역서_제출4"/>
      <sheetName val="0_목록13"/>
      <sheetName val="Bảng_mã_VT5"/>
      <sheetName val="중기조종사_단위단가3"/>
      <sheetName val="Elec_LG3"/>
      <sheetName val="ESTI_3"/>
      <sheetName val="D_&amp;_W_sizes3"/>
      <sheetName val="Gia_vat_tu3"/>
      <sheetName val="dtct_cong3"/>
      <sheetName val="DGCT_(01)2"/>
      <sheetName val="SCOPE_OF_WORK2"/>
      <sheetName val="Chi_tiet2"/>
      <sheetName val="nhôm_1,2mm2"/>
      <sheetName val="nhôm_1,4mm2"/>
      <sheetName val="01__DATA2"/>
      <sheetName val="So_sanh2"/>
      <sheetName val="[입찰안_xls][입찰안_xls][입찰안_xls]B_28"/>
      <sheetName val="[입찰안_xls][입찰안_xls][입찰안_xls]B_29"/>
      <sheetName val="[입찰안_xls][입찰안_xls][입찰안_xls]B_30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Sàn_T11"/>
      <sheetName val="Lỗ_thông_gió1"/>
      <sheetName val="Sàn_tầng_01_(_old_)1"/>
      <sheetName val="Chiet_tinh_don_gia_CM1"/>
      <sheetName val="EE_(3)1"/>
      <sheetName val="Measure_13061"/>
      <sheetName val="RAB_AR&amp;STR"/>
      <sheetName val="Isolasi_Luar_Dalam"/>
      <sheetName val="Isolasi_Luar"/>
      <sheetName val="Div26_-_Elect"/>
      <sheetName val="U_P_Breakdown"/>
      <sheetName val="장悱"/>
      <sheetName val="PROJ__DATA2"/>
      <sheetName val="_Beams_Sched_2"/>
      <sheetName val="[입찰안_xls][입찰안_xls][입찰안_xls]___4"/>
      <sheetName val="중강당_내역"/>
      <sheetName val="[입찰안_xls][입찰안_xls][입찰안_xls]B_46"/>
      <sheetName val="[입찰안_xls][입찰안_xls][입찰안_xls]B_45"/>
      <sheetName val="[입찰안_xls][입찰안_xls][입찰안_xls]B_44"/>
      <sheetName val="[입찰안_xls][입찰안_xls][입찰안_xls]B_33"/>
      <sheetName val="[입찰안_xls][입찰안_xls][입찰안_xls]B_31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4"/>
      <sheetName val="[입찰안_xls][입찰안_xls][입찰안_xls]B_53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2"/>
      <sheetName val="[입찰안_xls][입찰안_xls][입찰안_xls]B_63"/>
      <sheetName val="견적비교표_(2)"/>
      <sheetName val="결재방(지우지_마세요)"/>
      <sheetName val="[입찰안_xls][입찰안_xls][입찰안_xls]___5"/>
      <sheetName val="6-1_보오링(1)"/>
      <sheetName val="EXCHANGE_RATE"/>
      <sheetName val="할증_"/>
      <sheetName val="간접비_총괄표"/>
      <sheetName val="TOWER_12TON"/>
      <sheetName val="공사투입계획(변경결의)19_9"/>
      <sheetName val="노무비_월별지급현황19_9"/>
      <sheetName val="갑지(외주기성)19_9"/>
      <sheetName val="노임단가_및_기계경비"/>
      <sheetName val="[입찰안_xls][입찰안_xls][입찰안_xls]B_64"/>
      <sheetName val="실행내역서_"/>
      <sheetName val="[입찰안_xls][입찰안_xls][입찰안_xls]_103"/>
      <sheetName val="[입찰안_xls][입찰안_xls][입찰안_xls]B_68"/>
      <sheetName val="[입찰안_xls][입찰안_xls][입찰안_xls]B_79"/>
      <sheetName val="[입찰안_xls][입찰안_xls][입찰안_xls]B_80"/>
      <sheetName val="[입찰안_xls][입찰안_xls][입찰안_xls]B_66"/>
      <sheetName val="[입찰안_xls][입찰안_xls][입찰안_xls]B_67"/>
      <sheetName val="[입찰안_xls][입찰안_xls][입찰안_xls]B_65"/>
      <sheetName val="[입찰안_xls][입찰안_xls][입찰안_xls]B_69"/>
      <sheetName val="[입찰안_xls][입찰안_xls][입찰안_xls]B_70"/>
      <sheetName val="[입찰안_xls][입찰안_xls][입찰안_xls]B_71"/>
      <sheetName val="[입찰안_xls][입찰안_xls][입찰안_xls]B_73"/>
      <sheetName val="[입찰안_xls][입찰안_xls][입찰안_xls]B_74"/>
      <sheetName val="[입찰안_xls][입찰안_xls][입찰안_xls]B_72"/>
      <sheetName val="[입찰안_xls][입찰안_xls][입찰안_xls]B_75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침하계"/>
      <sheetName val="DFA"/>
      <sheetName val="노원열병합___x0000__x0000__x0005__x0000_츀ɮ_x0000__x0000__x0000_"/>
      <sheetName val="preface"/>
      <sheetName val="SCH"/>
      <sheetName val="#2 노임단가"/>
      <sheetName val="3련_B裉ۿ"/>
      <sheetName val="[입찰안.xls][입찰안.xls]_____xls_1118"/>
      <sheetName val="[입찰안.xls][입찰안.xls]_____xls_1117"/>
      <sheetName val="[입찰안.xls][입찰안.xls]_____xls_1142"/>
      <sheetName val="[입찰안.xls][입찰안.xls]_____xls_1139"/>
      <sheetName val="[입찰안.xls][입찰안.xls]_____xls_1137"/>
      <sheetName val="[입찰안.xls][입찰안.xls]_____xls_1138"/>
      <sheetName val="[입찰안.xls][입찰안.xls]_____xls_1133"/>
      <sheetName val="[입찰안.xls][입찰안.xls]_____xls_1127"/>
      <sheetName val="[입찰안.xls][입찰안.xls]_____xls_1124"/>
      <sheetName val="[입찰안.xls][입찰안.xls]_____xls_1121"/>
      <sheetName val="[입찰안.xls][입찰안.xls]_____xls_1120"/>
      <sheetName val="[입찰안.xls][입찰안.xls]_____xls_1122"/>
      <sheetName val="[입찰안.xls][입찰안.xls]_____xls_1119"/>
      <sheetName val="[입찰안.xls][입찰안.xls]_____xls_1123"/>
      <sheetName val="[입찰안.xls][입찰안.xls]_____xls_1125"/>
      <sheetName val="[입찰안.xls][입찰안.xls]_____xls_1126"/>
      <sheetName val="[입찰안.xls][입찰안.xls]_____xls_1129"/>
      <sheetName val="[입찰안.xls][입찰안.xls]_____xls_1128"/>
      <sheetName val="[입찰안.xls][입찰안.xls]_____xls_1130"/>
      <sheetName val="[입찰안.xls][입찰안.xls]_____xls_1131"/>
      <sheetName val="[입찰안.xls][입찰안.xls]_____xls_1132"/>
      <sheetName val="[입찰안.xls][입찰안.xls]_____xls_1134"/>
      <sheetName val="[입찰안.xls][입찰안.xls]_____xls_1135"/>
      <sheetName val="[입찰안.xls][입찰안.xls]_____xls_1136"/>
      <sheetName val="[입찰안.xls][입찰안.xls]_____xls_1140"/>
      <sheetName val="[입찰안.xls][입찰안.xls]_____xls_1141"/>
      <sheetName val="[입찰안.xls][입찰안.xls]_____xls_1148"/>
      <sheetName val="[입찰안.xls][입찰안.xls]_____xls_1145"/>
      <sheetName val="[입찰안.xls][입찰안.xls]_____xls_1143"/>
      <sheetName val="[입찰안.xls][입찰안.xls]_____xls_1144"/>
      <sheetName val="[입찰안.xls][입찰안.xls]_____xls_1169"/>
      <sheetName val="[입찰안.xls][입찰안.xls]_____xls_1163"/>
      <sheetName val="Macro(전_x0005__x0003_"/>
      <sheetName val="Ԁ̀Ā܀਀Ѐ̀̀ЀЀ"/>
      <sheetName val="총원가계산서(요율)"/>
      <sheetName val="Cost factor"/>
      <sheetName val="Info"/>
      <sheetName val="Item list"/>
      <sheetName val="Sheet Template Empty"/>
      <sheetName val="P"/>
      <sheetName val="[입찰안.xls][입찰안.xls]_____xls_1164"/>
      <sheetName val="[입찰안.xls][입찰안.xls]_____xls_1151"/>
      <sheetName val="[입찰안.xls][입찰안.xls]_____xls_1149"/>
      <sheetName val="[입찰안.xls][입찰안.xls]_____xls_1150"/>
      <sheetName val="[입찰안.xls][입찰안.xls]_____xls_1152"/>
      <sheetName val="[입찰안.xls][입찰안.xls]_____xls_1153"/>
      <sheetName val="[입찰안.xls][입찰안.xls]_____xls_1154"/>
      <sheetName val="[입찰안.xls][입찰안.xls]_____xls_1155"/>
      <sheetName val="[입찰안.xls][입찰안.xls]_____xls_1165"/>
      <sheetName val="[입찰안.xls][입찰안.xls]_____xls_1156"/>
      <sheetName val="[입찰안.xls][입찰안.xls]_____xls_1160"/>
      <sheetName val="[입찰안.xls][입찰안.xls]_____xls_1161"/>
      <sheetName val="[입찰안.xls][입찰안.xls]_____xls_1157"/>
      <sheetName val="[입찰안.xls][입찰안.xls]_____xls_1158"/>
      <sheetName val="[입찰안.xls][입찰안.xls]_____xls_1162"/>
      <sheetName val="[입찰안.xls][입찰안.xls]_____xls_1159"/>
      <sheetName val="남양시작동자105노65기1.3화1.2"/>
      <sheetName val="[입찰안.xls][입찰안.xls]_입___xls_1000"/>
      <sheetName val="[입찰안.xls][입찰안.xls]_____xls_1166"/>
      <sheetName val="[입찰안.xls][입찰안.xls]_____xls_1167"/>
      <sheetName val="[입찰안.xls][입찰안.xls]_____xls_1168"/>
      <sheetName val="[입찰안.xls][입찰안.xls]_____xls_1170"/>
      <sheetName val="[입찰안.xls][입찰안.xls]_____xls_1171"/>
      <sheetName val="[입찰안.xls][입찰안.xls]_____xls_1173"/>
      <sheetName val="[입찰안.xls][입찰안.xls]_____xls_1175"/>
      <sheetName val="[입찰안.xls][입찰안.xls]_____xls_2665"/>
      <sheetName val="[입찰안.xls][입찰안.xls]_____xls_1172"/>
      <sheetName val="[입찰안.xls][입찰안.xls]_____xls_2666"/>
      <sheetName val="[입찰안.xls][입찰안.xls]_____xls_1174"/>
      <sheetName val="[입찰안.xls][입찰안.xls]_____xls_2667"/>
      <sheetName val="RD제품개발투자비(매가)"/>
      <sheetName val="[입찰안.xls][입찰안.xls][입찰안.xls]___9"/>
      <sheetName val="[입찰안.xls][입찰안_xls][입찰안_xls]___5"/>
      <sheetName val="[입찰안.xls][입찰안.xls][입찰안_xls]___4"/>
      <sheetName val="산출서"/>
      <sheetName val="위치도"/>
      <sheetName val="토공집계(rp)"/>
      <sheetName val="기본데이터"/>
      <sheetName val="실적관리"/>
      <sheetName val="___1"/>
      <sheetName val="B__1"/>
      <sheetName val="B_67"/>
      <sheetName val="B_68"/>
      <sheetName val="TL rieng"/>
      <sheetName val="TH-Dien"/>
      <sheetName val="VIN_Index"/>
      <sheetName val="Thuc thanh"/>
      <sheetName val="Names"/>
      <sheetName val="_입찰안_xls__입찰안_xls_직접뀀鞖_"/>
      <sheetName val="_입찰안_xls_직접뀀鞖_"/>
      <sheetName val="_입찰안.xls__입찰안.xls__입찰안.xls_B__2"/>
      <sheetName val="_입찰안.xls__입찰안.xls__입찰안.xls_B__3"/>
      <sheetName val="THVT"/>
      <sheetName val="Sum"/>
      <sheetName val="CPK"/>
      <sheetName val="TTTram"/>
      <sheetName val="매부"/>
      <sheetName val="ND"/>
      <sheetName val="Xuly Data"/>
      <sheetName val="1. Dashboard"/>
      <sheetName val="기본DATA"/>
      <sheetName val="명세"/>
      <sheetName val="plan&amp;section_of__x0000__x0000_Ā_x0000__x0005__x0000_翹_x0000_조ꤟ"/>
      <sheetName val="수문일위1"/>
      <sheetName val="외주정비"/>
      <sheetName val="이름표"/>
      <sheetName val="물건조서"/>
      <sheetName val="콤보박스와 리스트박스의 연결"/>
      <sheetName val="Code 02"/>
      <sheetName val="Code 03"/>
      <sheetName val="Code 04"/>
      <sheetName val="Code 05"/>
      <sheetName val="Code 06"/>
      <sheetName val="Code 07"/>
      <sheetName val="Code 09"/>
      <sheetName val="Dayworks"/>
      <sheetName val="500(1)g"/>
      <sheetName val="GRAND SUM"/>
      <sheetName val="[입찰안_xls]직접뀀鞖/1"/>
      <sheetName val="[입찰안_xls][입찰안_xls]직접뀀鞖/1"/>
      <sheetName val="1_R18_BF"/>
      <sheetName val="6_External_works-R18"/>
      <sheetName val="Bill_01_-_CTN"/>
      <sheetName val="020_235_2363"/>
      <sheetName val="Phan_tho"/>
      <sheetName val="Tien_Thuong"/>
      <sheetName val="NC_XL_6T_cuoi_01_CTy"/>
      <sheetName val="Data_-6T_dau"/>
      <sheetName val="Cong_6T"/>
      <sheetName val="CHITIET_VL-NC-TT1p"/>
      <sheetName val="Project_Infor"/>
      <sheetName val="Data_input"/>
      <sheetName val="DU_LIEU"/>
      <sheetName val="負荷集計（断熱不燃）"/>
      <sheetName val="xe"/>
      <sheetName val="chiet tinh"/>
      <sheetName val="DMKH"/>
      <sheetName val="DmChitiet"/>
      <sheetName val="Nhatky"/>
      <sheetName val="자바라1"/>
      <sheetName val="Thoat nuoc"/>
      <sheetName val="BAG-2"/>
      <sheetName val="SAP"/>
      <sheetName val="PHU LUC 01"/>
      <sheetName val="Đầu vào"/>
      <sheetName val="Bill 02 INF"/>
      <sheetName val="1_설계_x0000_건3"/>
      <sheetName val="CM_x0000__x0000__x0000_"/>
      <sheetName val="단가_및_재_x0000_비3"/>
      <sheetName val="[입찰안.xls]___2"/>
      <sheetName val="[입찰안.xls]___3"/>
      <sheetName val="[입찰안.xls]B__2"/>
      <sheetName val="[입찰안.xls]B__3"/>
      <sheetName val="bang_TH"/>
      <sheetName val="Xunit_(단위환산)4"/>
      <sheetName val="장비코드표_0506014"/>
      <sheetName val="2007년_생산1부장비4"/>
      <sheetName val="2008년_생산부전장비코드4"/>
      <sheetName val="DDB부_장비_관리현황4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1_설계"/>
      <sheetName val="단가_및_재"/>
      <sheetName val="7._x0000__x0000__x0000_"/>
      <sheetName val="사업소득자세수추계"/>
      <sheetName val="협가표"/>
      <sheetName val="Sens&amp;Anal"/>
      <sheetName val="4_전_x0000_"/>
      <sheetName val="4_전ᄐ"/>
      <sheetName val="배수개거재"/>
      <sheetName val="_입찰안.xls__입찰안.xls__입찰안.xls_B__6"/>
      <sheetName val="_입찰안.xls__입찰안.xls__입찰안.xls_B__5"/>
      <sheetName val="_입찰안.xls__입찰안.xls__입찰안.xls_B__4"/>
      <sheetName val="_입찰안.xls__입찰안.xls__입찰안.xls_B_11"/>
      <sheetName val="_입찰안.xls__입찰안.xls__입찰안.xls_B__7"/>
      <sheetName val="_입찰안.xls__입찰안.xls__입찰안.xls_B__8"/>
      <sheetName val="_입찰안.xls__입찰안.xls__입찰안.xls_B__9"/>
      <sheetName val="_입찰안.xls__입찰안.xls__입찰안.xls_B_10"/>
      <sheetName val="_입찰안.xls__입찰안.xls__입찰안.xls_B_13"/>
      <sheetName val="_입찰안.xls__입찰안.xls__입찰안.xls_B_12"/>
      <sheetName val="_입찰안.xls__입찰안.xls__입찰안.xls_B_14"/>
      <sheetName val="_입찰안.xls__입찰안.xls__입찰안.xls_B_15"/>
      <sheetName val="_입찰안.xls__입찰안.xls__입찰안.xls_B_16"/>
      <sheetName val="_입찰안.xls__입찰안.xls__입찰안.xls_B_17"/>
      <sheetName val="_입찰안.xls__입찰안.xls__입찰안.xls_B_23"/>
      <sheetName val="_입찰안.xls__입찰안.xls__입찰안.xls_B_18"/>
      <sheetName val="_입찰안.xls__입찰안.xls__입찰안.xls_B_19"/>
      <sheetName val="_입찰안.xls__입찰안.xls__입찰안.xls_B_20"/>
      <sheetName val="_입찰안.xls__입찰안.xls__입찰안.xls_B_21"/>
      <sheetName val="_입찰안.xls__입찰안.xls__입찰안.xls_B_22"/>
      <sheetName val="_입찰안.xls__입찰안.xls__입찰안.xls_B_25"/>
      <sheetName val="_입찰안.xls__입찰안.xls__입찰안.xls_B_24"/>
      <sheetName val="_입찰안.xls__입찰안.xls__입찰안.xls_B_26"/>
      <sheetName val="_입찰안.xls__입찰안.xls__입찰안.xls_B_27"/>
      <sheetName val="_입찰안.xls__입찰안.xls__입찰안.xls_B_29"/>
      <sheetName val="_입찰안.xls__입찰안.xls__입찰안.xls_B_28"/>
      <sheetName val="PA_xdbe6_"/>
      <sheetName val="원가계산서(변경)"/>
      <sheetName val="전기혼잡제경비(45_x0016_"/>
      <sheetName val="간 지1"/>
      <sheetName val="중뀀"/>
      <sheetName val="원료비2(2000.10-09)"/>
      <sheetName val="수익성분석2"/>
      <sheetName val="X68"/>
      <sheetName val="기초데이타"/>
      <sheetName val="외화환산(2분기)"/>
      <sheetName val="미지급급여"/>
      <sheetName val="경영지표"/>
      <sheetName val="제품코드"/>
      <sheetName val="부문99-2"/>
      <sheetName val="정산표"/>
      <sheetName val="_HIT__HMC_견"/>
      <sheetName val="일위대가-내역 "/>
      <sheetName val="VAT duoc khau tru"/>
      <sheetName val="VAT_duoc_khau_tru"/>
      <sheetName val="VAT_duoc_khau_tru1"/>
      <sheetName val="사__업__비__수__지__예__산__서"/>
      <sheetName val="[입찰안_xls][입찰안_xls][입찰안_xls]___6"/>
      <sheetName val="plan&amp;section_of勉Ԁ"/>
      <sheetName val="[입찰안_xls][입찰안_xls][입찰안_xls]_104"/>
      <sheetName val="Requirement(Work_Crew)"/>
      <sheetName val="[입찰안_xls][입찰안_xls][입찰안_xls]_105"/>
      <sheetName val="[입찰안_xls][입찰안_xls][입찰안_xls]_107"/>
      <sheetName val="[입찰안_xls][입찰안_xls][입찰안_xls]_106"/>
      <sheetName val="[입찰안_xls][입찰안_xls][입찰안_xls]_108"/>
      <sheetName val="[입찰안_xls][입찰안_xls][입찰안_xls]_112"/>
      <sheetName val="[입찰안_xls][입찰안_xls][입찰안_xls]_110"/>
      <sheetName val="[입찰안_xls][입찰안_xls][입찰안_xls]_109"/>
      <sheetName val="[입찰안_xls][입찰안_xls][입찰안_xls]_111"/>
      <sheetName val="[입찰안_xls][입찰안_xls][입찰안_xls]_130"/>
      <sheetName val="[입찰안_xls][입찰안_xls][입찰안_xls]_113"/>
      <sheetName val="[입찰안_xls][입찰안_xls][입찰안_xls]_115"/>
      <sheetName val="[입찰안_xls][입찰안_xls][입찰안_xls]_117"/>
      <sheetName val="[입찰안_xls][입찰안_xls][입찰안_xls]_116"/>
      <sheetName val="[입찰안_xls][입찰안_xls][입찰안_xls]_114"/>
      <sheetName val="[입찰안_xls][입찰안_xls][입찰안_xls]_120"/>
      <sheetName val="[입찰안_xls][입찰안_xls][입찰안_xls]_118"/>
      <sheetName val="[입찰안_xls][입찰안_xls][입찰안_xls]_119"/>
      <sheetName val="[입찰안_xls][입찰안_xls][입찰안_xls]_123"/>
      <sheetName val="[입찰안_xls][입찰안_xls][입찰안_xls]_122"/>
      <sheetName val="[입찰안_xls][입찰안_xls][입찰안_xls]_121"/>
      <sheetName val="[입찰안_xls][입찰안_xls][입찰안_xls]_124"/>
      <sheetName val="[입찰안_xls][입찰안_xls][입찰안_xls]_125"/>
      <sheetName val="[입찰안_xls][입찰안_xls][입찰안_xls]_126"/>
      <sheetName val="[입찰안_xls][입찰안_xls][입찰안_xls]_127"/>
      <sheetName val="[입찰안_xls][입찰안_xls][입찰안_xls]_129"/>
      <sheetName val="[입찰안_xls][입찰안_xls][입찰안_xls]_128"/>
      <sheetName val="[입찰안_xls][입찰안_xls][입찰안_xls]_131"/>
      <sheetName val="노_표-조"/>
      <sheetName val="[입찰안_xls][입찰안_xls][입찰안_xls]_132"/>
      <sheetName val="[입찰안_xls][입찰안_xls][입찰안_xls]_134"/>
      <sheetName val="[입찰안_xls][입찰안_xls][입찰안_xls]_133"/>
      <sheetName val="[입찰안.xls][입찰안.xls]_____xls_2230"/>
      <sheetName val="[입찰안.xls][입찰안.xls]_____xls_2229"/>
      <sheetName val="[입찰안.xls][입찰안.xls]_____xls_1275"/>
      <sheetName val="[입찰안.xls][입찰안.xls]_____xls_1273"/>
      <sheetName val="[입찰안.xls][입찰안.xls]_____xls_1274"/>
      <sheetName val="design_critఀ_x0002_땚"/>
      <sheetName val="[입찰안.xls][입찰안.xls]_____xls_1270"/>
      <sheetName val="[입찰안.xls][입찰안.xls]_____xls_1271"/>
      <sheetName val="[입찰안.xls][입찰안.xls]_____xls_1272"/>
      <sheetName val="신광초조도계선사업"/>
      <sheetName val="[입찰안.xls][입찰안.xls]_____xls_1230"/>
      <sheetName val="[입찰안.xls][입찰안.xls]_____xls_1229"/>
      <sheetName val="[입찰안.xls][입찰안.xls]_____xls_1231"/>
      <sheetName val="[입찰안.xls][입찰안.xls]_____xls_1221"/>
      <sheetName val="[입찰안.xls][입찰안.xls]_____xls_1216"/>
      <sheetName val="[입찰안.xls][입찰안.xls]_____xls_1218"/>
      <sheetName val="[입찰안.xls][입찰안.xls]_____xls_1217"/>
      <sheetName val="[입찰안.xls][입찰안.xls]_____xls_1184"/>
      <sheetName val="[입찰안.xls][입찰안.xls]_____xls_1176"/>
      <sheetName val="[입찰안.xls][입찰안.xls]_____xls_1177"/>
      <sheetName val="[입찰안.xls][입찰안.xls]_____xls_1179"/>
      <sheetName val="[입찰안.xls][입찰안.xls]_____xls_1178"/>
      <sheetName val="[입찰안.xls][입찰안.xls]_____xls_1191"/>
      <sheetName val="[입찰안.xls][입찰안.xls]_____xls_1182"/>
      <sheetName val="[입찰안.xls][입찰안.xls]_____xls_1180"/>
      <sheetName val="[입찰안.xls][입찰안.xls]_____xls_1181"/>
      <sheetName val="[입찰안.xls][입찰안.xls]_____xls_1183"/>
      <sheetName val="[입찰안.xls][입찰안.xls]_____xls_1185"/>
      <sheetName val="[입찰안.xls][입찰안.xls]_____xls_1186"/>
      <sheetName val="[입찰안.xls][입찰안.xls]_____xls_1187"/>
      <sheetName val="[입찰안.xls][입찰안.xls]_____xls_1190"/>
      <sheetName val="[입찰안.xls][입찰안.xls]_____xls_1188"/>
      <sheetName val="[입찰안.xls][입찰안.xls]_____xls_1189"/>
      <sheetName val="[입찰안.xls][입찰안.xls]_____xls_1195"/>
      <sheetName val="[입찰안.xls][입찰안.xls]_____xls_1194"/>
      <sheetName val="[입찰안.xls][입찰안.xls]_____xls_1192"/>
      <sheetName val="[입찰안.xls][입찰안.xls]_____xls_1193"/>
      <sheetName val="[입찰안.xls][입찰안.xls]_____xls_1196"/>
      <sheetName val="[입찰안.xls][입찰안.xls]_____xls_1200"/>
      <sheetName val="[입찰안.xls][입찰안.xls]_____xls_1199"/>
      <sheetName val="[입찰안.xls][입찰안.xls]_____xls_1197"/>
      <sheetName val="[입찰안.xls][입찰안.xls]_____xls_1198"/>
      <sheetName val="[입찰안.xls][입찰안.xls]_____xls_1206"/>
      <sheetName val="[입찰안.xls][입찰안.xls]_____xls_1203"/>
      <sheetName val="[입찰안.xls][입찰안.xls]_____xls_1201"/>
      <sheetName val="[입찰안.xls][입찰안.xls]_____xls_1202"/>
      <sheetName val="[입찰안.xls][입찰안.xls]_____xls_1204"/>
      <sheetName val="[입찰안.xls][입찰안.xls]_____xls_1205"/>
      <sheetName val="[입찰안.xls][입찰안.xls]_____xls_1214"/>
      <sheetName val="[입찰안.xls][입찰안.xls]_____xls_1209"/>
      <sheetName val="[입찰안.xls][입찰안.xls]_____xls_1207"/>
      <sheetName val="[입찰안.xls][입찰안.xls]_____xls_1208"/>
      <sheetName val="[입찰안.xls][입찰안.xls]_____xls_1210"/>
      <sheetName val="[입찰안.xls][입찰안.xls]_____xls_1211"/>
      <sheetName val="[입찰안.xls][입찰안.xls]_____xls_1212"/>
      <sheetName val="[입찰안.xls][입찰안.xls]_____xls_1213"/>
      <sheetName val="[입찰안.xls][입찰안.xls]_____xls_1215"/>
      <sheetName val="[입찰안.xls][입찰안.xls]_____xls_1219"/>
      <sheetName val="[입찰안.xls][입찰안.xls]_____xls_1220"/>
      <sheetName val="[입찰안.xls][입찰안.xls]_____xls_1222"/>
      <sheetName val="[입찰안.xls][입찰안.xls]_____xls_1224"/>
      <sheetName val="[입찰안.xls][입찰안.xls]_____xls_1223"/>
      <sheetName val="[입찰안.xls][입찰안.xls]_____xls_1225"/>
      <sheetName val="[입찰안.xls][입찰안.xls]_____xls_1226"/>
      <sheetName val="[입찰안.xls][입찰안.xls]_____xls_1227"/>
      <sheetName val="[입찰안.xls][입찰안.xls]_____xls_1228"/>
      <sheetName val="[입찰안.xls][입찰안.xls]_____xls_1232"/>
      <sheetName val="[입찰안.xls][입찰안.xls]_____xls_1233"/>
      <sheetName val="[입찰안.xls][입찰안.xls]_____xls_1234"/>
      <sheetName val="양배수장"/>
      <sheetName val="XXXXXX"/>
      <sheetName val="[입찰안.xls][입찰안.xls]_____xls_1239"/>
      <sheetName val="[입찰안.xls][입찰안.xls]_____xls_1240"/>
      <sheetName val="[입찰안.xls][입찰안.xls]_____xls_1235"/>
      <sheetName val="[입찰안.xls][입찰안.xls]_____xls_1238"/>
      <sheetName val="[입찰안.xls][입찰안.xls]_____xls_1236"/>
      <sheetName val="[입찰안.xls][입찰안.xls]_____xls_1237"/>
      <sheetName val="[입찰안.xls][입찰안.xls]_____xls_1241"/>
      <sheetName val="적용토목"/>
      <sheetName val="MAIN GATE HOUSE"/>
      <sheetName val="5F 계약단가"/>
      <sheetName val="CT Thang Mo"/>
      <sheetName val="Main_Mech"/>
      <sheetName val="Sub_Mech"/>
      <sheetName val="KLDT DIEN"/>
      <sheetName val="Duc_bk"/>
      <sheetName val="8-31-98"/>
      <sheetName val="worksheet inchican"/>
      <sheetName val="combined 9-30"/>
      <sheetName val="[입찰안.xls][입찰안.xls]_____xls_1242"/>
      <sheetName val="6__안전_x0000_䶁_x0000_"/>
      <sheetName val="[입찰안.xls][입찰안.xls]_입_안_xls_1000"/>
      <sheetName val="[입찰안.xls][입찰안.xls]_____xls_1269"/>
      <sheetName val="[입찰안.xls][입찰안.xls]_____xls_1245"/>
      <sheetName val="[입찰안.xls][입찰안.xls]_____xls_1246"/>
      <sheetName val="[입찰안.xls][입찰안.xls]_____xls_1247"/>
      <sheetName val="[입찰안.xls][입찰안.xls]_____xls_1243"/>
      <sheetName val="[입찰안.xls][입찰안.xls]_____xls_1244"/>
      <sheetName val="코_x005f_x0000_"/>
      <sheetName val="7_산출(⠀榅弁䘿_x005f_x0000_"/>
      <sheetName val="10공-_x005f_x0000_Ԁ"/>
      <sheetName val="1,2,3,4_x005f_x0000__x005f_x0000_界Þ多⽬"/>
      <sheetName val="[입찰안.xls][입찰안.xls]_____xls_1248"/>
      <sheetName val="[입찰안.xls][입찰안.xls]_____xls_1249"/>
      <sheetName val="[입찰안.xls][입찰안.xls]_____xls_1250"/>
      <sheetName val="[입찰안.xls][입찰안.xls]_____xls_1251"/>
      <sheetName val="[입찰안.xls][입찰안.xls]_____xls_1252"/>
      <sheetName val="[입찰안.xls][입찰안.xls]_____xls_1253"/>
      <sheetName val="[입찰안.xls][입찰안.xls]_____xls_1254"/>
      <sheetName val="[입찰안.xls][입찰안.xls]_____xls_1255"/>
      <sheetName val="[입찰안.xls][입찰안.xls]_____xls_1256"/>
      <sheetName val="[입찰안.xls][입찰안.xls]_____xls_1257"/>
      <sheetName val="[입찰안.xls][입찰안.xls]_____xls_1258"/>
      <sheetName val="[입찰안.xls][입찰안.xls]_____xls_1259"/>
      <sheetName val="[입찰안.xls][입찰안.xls]_____xls_1260"/>
      <sheetName val="[입찰안.xls][입찰안.xls]_____xls_1261"/>
      <sheetName val="[입찰안.xls][입찰안.xls]_____xls_1262"/>
      <sheetName val="[입찰안.xls][입찰안.xls]_____xls_1264"/>
      <sheetName val="[입찰안.xls][입찰안.xls]_____xls_1265"/>
      <sheetName val="[입찰안.xls][입찰안.xls]_____xls_1267"/>
      <sheetName val="[입찰안.xls][입찰안.xls]_____xls_1263"/>
      <sheetName val="[입찰안.xls][입찰안.xls]_____xls_1266"/>
      <sheetName val="[입찰안.xls][입찰안.xls]_____xls_1268"/>
      <sheetName val="[입찰안.xls][입찰안.xls]_____xls_1277"/>
      <sheetName val="[입찰안.xls][입찰안.xls]_____xls_1278"/>
      <sheetName val="[입찰안.xls][입찰안.xls]_____xls_1281"/>
      <sheetName val="[입찰안.xls][입찰안.xls]_____xls_1276"/>
      <sheetName val="[입찰안.xls][입찰안.xls]_____xls_1282"/>
      <sheetName val="[입찰안.xls][입찰안.xls]_____xls_1279"/>
      <sheetName val="[입찰안.xls][입찰안.xls]_____xls_1280"/>
      <sheetName val="[입찰안.xls][입찰안.xls]_____xls_1283"/>
      <sheetName val="[입찰안.xls][입찰안.xls]_____xls_1286"/>
      <sheetName val="[입찰안.xls][입찰안.xls]_____xls_1287"/>
      <sheetName val="[입찰안.xls][입찰안.xls]_____xls_1284"/>
      <sheetName val="[입찰안.xls][입찰안.xls]_____xls_1285"/>
      <sheetName val="[입찰안.xls][입찰안.xls]_____xls_1290"/>
      <sheetName val="[입찰안.xls][입찰안.xls]_____xls_1288"/>
      <sheetName val="[입찰안.xls][입찰안.xls]_____xls_1289"/>
      <sheetName val="[입찰안.xls][입찰안.xls]_____xls_1291"/>
      <sheetName val="[입찰안.xls][입찰안.xls]_____xls_1293"/>
      <sheetName val="[입찰안.xls][입찰안.xls]_____xls_1292"/>
      <sheetName val="[입찰안.xls][입찰안.xls]_____xls_2231"/>
      <sheetName val="철콘"/>
      <sheetName val="보링"/>
      <sheetName val="철물"/>
      <sheetName val="철강재"/>
      <sheetName val="견적내역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신복2"/>
      <sheetName val="평균터파기고(1-2,ASP)"/>
      <sheetName val="원가계산"/>
      <sheetName val="토공사"/>
      <sheetName val="6월 출고 일일보고"/>
      <sheetName val="plan&amp;section_of_fo뮽◽_x0000__x0000_㠀퇛ﰙ팣"/>
      <sheetName val="plan&amp;section_of_fo_xd8e4_꼉_x0000_ꘀ㺨"/>
      <sheetName val="sh1"/>
      <sheetName val="1.일위"/>
      <sheetName val="음료실행"/>
      <sheetName val="ITEM_W"/>
      <sheetName val="II손익관리"/>
      <sheetName val="제조원가"/>
      <sheetName val="실행예산"/>
      <sheetName val="M-EQPT-Z"/>
      <sheetName val="[입찰안.xls][입찰안.xls]_____xls_1973"/>
      <sheetName val="6-1.Summary Of Cost"/>
      <sheetName val="6-2.In-Direct Cost"/>
      <sheetName val="6-3.EQ Cost"/>
      <sheetName val="6-4-1.MP Status(107,125,12)"/>
      <sheetName val="6-4-2.MP Status(144)"/>
      <sheetName val="6-5-1.EQ Status(107,125,12)"/>
      <sheetName val="6-5-2.EQ Status(144)"/>
      <sheetName val="6-6.Agree.Other&amp;Expanse.(Att.1)"/>
      <sheetName val="6-7.EQ Apply"/>
      <sheetName val="제출&lt;--------&gt;참조"/>
      <sheetName val="MP U107,125,12"/>
      <sheetName val="MP U144"/>
      <sheetName val="EQ U107,125,12"/>
      <sheetName val="EQ U144"/>
      <sheetName val="Agrement Day W.Cost"/>
      <sheetName val="Agrement Day EQ Cost"/>
      <sheetName val="Indirect Cost"/>
      <sheetName val="[입찰안.xls][입찰안.xls]_____xls_1975"/>
      <sheetName val="[입찰안.xls][입찰안.xls]_____xls_1974"/>
      <sheetName val="[입찰안.xls][입찰안.xls]_____xls_1301"/>
      <sheetName val="[입찰안.xls][입찰안.xls]_____xls_1296"/>
      <sheetName val="[입찰안.xls][입찰안.xls]_____xls_1294"/>
      <sheetName val="[입찰안.xls][입찰안.xls]_____xls_1295"/>
      <sheetName val="[입찰안.xls][입찰안.xls]_____xls_1298"/>
      <sheetName val="[입찰안.xls][입찰안.xls]_____xls_1297"/>
      <sheetName val="[입찰안.xls][입찰안.xls]_____xls_1299"/>
      <sheetName val="[입찰안.xls][입찰안.xls]_____xls_1300"/>
      <sheetName val="[입찰안.xls][입찰안.xls]_____xls_1320"/>
      <sheetName val="[입찰안.xls][입찰안.xls]_____xls_1303"/>
      <sheetName val="[입찰안.xls][입찰안.xls]_____xls_1302"/>
      <sheetName val="[입찰안.xls][입찰안.xls]_____xls_1304"/>
      <sheetName val="[입찰안.xls][입찰안.xls]_____xls_1305"/>
      <sheetName val="[입찰안.xls][입찰안.xls]_____xls_1306"/>
      <sheetName val="[입찰안.xls][입찰안.xls]_____xls_1308"/>
      <sheetName val="[입찰안.xls][입찰안.xls]_____xls_1307"/>
      <sheetName val="[입찰안.xls][입찰안.xls]_____xls_1310"/>
      <sheetName val="[입찰안.xls][입찰안.xls]_____xls_1309"/>
      <sheetName val="[입찰안.xls][입찰안.xls]_____xls_1311"/>
      <sheetName val="[입찰안.xls][입찰안.xls]_____xls_1312"/>
      <sheetName val="[입찰안.xls][입찰안.xls]_____xls_1313"/>
      <sheetName val="[입찰안.xls][입찰안.xls]_____xls_1323"/>
      <sheetName val="[입찰안.xls][입찰안.xls]_____xls_1314"/>
      <sheetName val="[입찰안.xls][입찰안.xls]_____xls_1317"/>
      <sheetName val="[입찰안.xls][입찰안.xls]_____xls_1318"/>
      <sheetName val="[입찰안.xls][입찰안.xls]_____xls_1316"/>
      <sheetName val="[입찰안.xls][입찰안.xls]_____xls_1315"/>
      <sheetName val="[입찰안.xls][입찰안.xls]_____xls_1319"/>
      <sheetName val="[입찰안.xls][입찰안.xls]_____xls_1328"/>
      <sheetName val="[입찰안.xls][입찰안.xls]_____xls_1321"/>
      <sheetName val="[입찰안.xls][입찰안.xls]_____xls_1322"/>
      <sheetName val="[입찰안.xls][입찰안.xls]_____xls_1324"/>
      <sheetName val="[입찰안.xls][입찰안.xls]_____xls_1325"/>
      <sheetName val="[입찰안.xls][입찰안.xls]_____xls_1326"/>
      <sheetName val="[입찰안.xls][입찰안.xls]_____xls_1327"/>
      <sheetName val="[입찰안.xls][입찰안.xls]_____xls_1329"/>
      <sheetName val="[입찰안.xls][입찰안.xls]_____xls_1335"/>
      <sheetName val="[입찰안.xls][입찰안.xls]_____xls_1330"/>
      <sheetName val="[입찰안.xls][입찰안.xls]_____xls_1331"/>
      <sheetName val="[입찰안.xls][입찰안.xls]_____xls_1334"/>
      <sheetName val="[입찰안.xls][입찰안.xls]_____xls_1332"/>
      <sheetName val="[입찰안.xls][입찰안.xls]_____xls_1333"/>
      <sheetName val="[입찰안.xls][입찰안.xls]_____xls_1360"/>
      <sheetName val="[입찰안.xls][입찰안.xls]_____xls_1348"/>
      <sheetName val="[입찰안.xls][입찰안.xls]_____xls_1337"/>
      <sheetName val="[입찰안.xls][입찰안.xls]_____xls_1336"/>
      <sheetName val="[입찰안.xls][입찰안.xls]_____xls_1338"/>
      <sheetName val="[입찰안.xls][입찰안.xls]_____xls_1339"/>
      <sheetName val="[입찰안.xls][입찰안.xls]_____xls_1340"/>
      <sheetName val="[입찰안.xls][입찰안.xls]_____xls_1345"/>
      <sheetName val="[입찰안.xls][입찰안.xls]_____xls_1342"/>
      <sheetName val="[입찰안.xls][입찰안.xls]_____xls_1341"/>
      <sheetName val="[입찰안.xls][입찰안.xls]_____xls_1343"/>
      <sheetName val="[입찰안.xls][입찰안.xls]_____xls_1344"/>
      <sheetName val="[입찰안.xls][입찰안.xls]_____xls_1346"/>
      <sheetName val="[입찰안.xls][입찰안.xls]_____xls_1347"/>
      <sheetName val="[입찰안.xls][입찰안.xls]_____xls_1352"/>
      <sheetName val="[입찰안.xls][입찰안.xls]_____xls_1350"/>
      <sheetName val="[입찰안.xls][입찰안.xls]_____xls_1349"/>
      <sheetName val="[입찰안.xls][입찰안.xls]_____xls_1351"/>
      <sheetName val="[입찰안.xls][입찰안.xls]_____xls_1356"/>
      <sheetName val="[입찰안.xls][입찰안.xls]_____xls_1355"/>
      <sheetName val="[입찰안.xls][입찰안.xls]_____xls_1353"/>
      <sheetName val="[입찰안.xls][입찰안.xls]_____xls_1354"/>
      <sheetName val="[입찰안.xls][입찰안.xls]_____xls_1357"/>
      <sheetName val="[입찰안.xls][입찰안.xls]_____xls_1358"/>
      <sheetName val="[입찰안.xls][입찰안.xls]_____xls_1359"/>
      <sheetName val="[입찰안.xls][입찰안.xls]_____xls_1388"/>
      <sheetName val="[입찰안.xls][입찰안.xls]_____xls_1361"/>
      <sheetName val="[입찰안.xls][입찰안.xls]_____xls_1362"/>
      <sheetName val="[입찰안.xls][입찰안.xls]_____xls_1363"/>
      <sheetName val="[입찰안.xls][입찰안.xls]_____xls_1365"/>
      <sheetName val="[입찰안.xls][입찰안.xls]_____xls_1364"/>
      <sheetName val="[입찰안.xls][입찰안.xls]_____xls_1367"/>
      <sheetName val="[입찰안.xls][입찰안.xls]_____xls_1366"/>
      <sheetName val="[입찰안.xls][입찰안.xls]_____xls_1368"/>
      <sheetName val="[입찰안.xls][입찰안.xls]_____xls_1372"/>
      <sheetName val="[입찰안.xls][입찰안.xls]_____xls_1369"/>
      <sheetName val="[입찰안.xls][입찰안.xls]_____xls_1370"/>
      <sheetName val="[입찰안.xls][입찰안.xls]_____xls_1371"/>
      <sheetName val="[입찰안.xls][입찰안.xls]_____xls_1373"/>
      <sheetName val="[입찰안.xls][입찰안.xls]_____xls_1374"/>
      <sheetName val="[입찰안.xls][입찰안.xls]_____xls_1377"/>
      <sheetName val="[입찰안.xls][입찰안.xls]_____xls_1375"/>
      <sheetName val="[입찰안.xls][입찰안.xls]_____xls_1376"/>
      <sheetName val="[입찰안.xls][입찰안.xls]_____xls_1392"/>
      <sheetName val="[입찰안.xls][입찰안.xls]_____xls_1378"/>
      <sheetName val="[입찰안.xls][입찰안.xls]_____xls_1382"/>
      <sheetName val="[입찰안.xls][입찰안.xls]_____xls_1379"/>
      <sheetName val="[입찰안.xls][입찰안.xls]_____xls_1380"/>
      <sheetName val="[입찰안.xls][입찰안.xls]_____xls_1381"/>
      <sheetName val="[입찰안.xls][입찰안.xls]_____xls_1383"/>
      <sheetName val="[입찰안.xls][입찰안.xls]_____xls_1386"/>
      <sheetName val="[입찰안.xls][입찰안.xls]_____xls_1385"/>
      <sheetName val="[입찰안.xls][입찰안.xls]_____xls_1384"/>
      <sheetName val="[입찰안.xls][입찰안.xls]_____xls_1387"/>
      <sheetName val="[입찰안.xls][입찰안.xls]_____xls_1389"/>
      <sheetName val="[입찰안.xls][입찰안.xls]_____xls_1390"/>
      <sheetName val="[입찰안.xls][입찰안.xls]_____xls_1391"/>
      <sheetName val="[입찰안.xls][입찰안.xls]_____xls_1423"/>
      <sheetName val="[입찰안.xls][입찰안.xls]_____xls_1393"/>
      <sheetName val="[입찰안.xls][입찰안.xls]_____xls_1394"/>
      <sheetName val="[입찰안.xls][입찰안.xls]_____xls_1395"/>
      <sheetName val="[입찰안.xls][입찰안.xls]_____xls_1396"/>
      <sheetName val="[입찰안.xls][입찰안.xls]_____xls_1397"/>
      <sheetName val="[입찰안.xls][입찰안.xls]_____xls_1398"/>
      <sheetName val="[입찰안.xls][입찰안.xls]_____xls_1399"/>
      <sheetName val="[입찰안.xls][입찰안.xls]_____xls_1400"/>
      <sheetName val="[입찰안.xls][입찰안.xls]_____xls_1401"/>
      <sheetName val="[입찰안.xls][입찰안.xls]_____xls_1406"/>
      <sheetName val="[입찰안.xls][입찰안.xls]_____xls_1402"/>
      <sheetName val="[입찰안.xls][입찰안.xls]_____xls_1403"/>
      <sheetName val="[입찰안.xls][입찰안.xls]_____xls_1404"/>
      <sheetName val="[입찰안.xls][입찰안.xls]_____xls_1405"/>
      <sheetName val="[입찰안.xls][입찰안.xls]_____xls_1424"/>
      <sheetName val="[입찰안.xls][입찰안.xls]_____xls_1407"/>
      <sheetName val="[입찰안.xls][입찰안.xls]_____xls_1408"/>
      <sheetName val="[입찰안.xls][입찰안.xls]_____xls_1411"/>
      <sheetName val="[입찰안.xls][입찰안.xls]_____xls_1409"/>
      <sheetName val="[입찰안.xls][입찰안.xls]_____xls_1410"/>
      <sheetName val="[입찰안.xls][입찰안.xls]_____xls_1412"/>
      <sheetName val="[입찰안.xls][입찰안.xls]_____xls_1416"/>
      <sheetName val="[입찰안.xls][입찰안.xls]_____xls_1413"/>
      <sheetName val="[입찰안.xls][입찰안.xls]_____xls_1414"/>
      <sheetName val="[입찰안.xls][입찰안.xls]_____xls_1415"/>
      <sheetName val="[입찰안.xls][입찰안.xls]_____xls_1418"/>
      <sheetName val="[입찰안.xls][입찰안.xls]_____xls_1417"/>
      <sheetName val="[입찰안.xls][입찰안.xls]_____xls_1419"/>
      <sheetName val="[입찰안.xls][입찰안.xls]_____xls_1420"/>
      <sheetName val="[입찰안.xls][입찰안.xls]_____xls_1422"/>
      <sheetName val="[입찰안.xls][입찰안.xls]_____xls_1421"/>
      <sheetName val="[입찰안.xls][입찰안.xls]_____xls_1427"/>
      <sheetName val="[입찰안.xls][입찰안.xls]_____xls_1446"/>
      <sheetName val="[입찰안.xls][입찰안.xls]_____xls_1425"/>
      <sheetName val="[입찰안.xls][입찰안.xls]_____xls_1426"/>
      <sheetName val="[입찰안.xls][입찰안.xls]_____xls_1432"/>
      <sheetName val="[입찰안.xls][입찰안.xls]_____xls_1428"/>
      <sheetName val="[입찰안.xls][입찰안.xls]_____xls_1429"/>
      <sheetName val="[입찰안.xls][입찰안.xls]_____xls_1430"/>
      <sheetName val="[입찰안.xls][입찰안.xls]_____xls_1431"/>
      <sheetName val="[입찰안.xls][입찰안.xls]_____xls_1433"/>
      <sheetName val="[입찰안.xls][입찰안.xls]_____xls_1434"/>
      <sheetName val="[입찰안.xls][입찰안.xls]_____xls_1435"/>
      <sheetName val="[입찰안.xls][입찰안.xls]_____xls_1436"/>
      <sheetName val="[입찰안.xls][입찰안.xls]_____xls_1438"/>
      <sheetName val="[입찰안.xls][입찰안.xls]_____xls_1437"/>
      <sheetName val="[입찰안.xls][입찰안.xls]_____xls_1441"/>
      <sheetName val="[입찰안.xls][입찰안.xls]_____xls_1439"/>
      <sheetName val="[입찰안.xls][입찰안.xls]_____xls_1440"/>
      <sheetName val="[입찰안.xls][입찰안.xls]_____xls_1442"/>
      <sheetName val="[입찰안.xls][입찰안.xls]_____xls_1453"/>
      <sheetName val="[입찰안.xls][입찰안.xls]_____xls_1443"/>
      <sheetName val="[입찰안.xls][입찰안.xls]_____xls_1445"/>
      <sheetName val="[입찰안.xls][입찰안.xls]_____xls_1444"/>
      <sheetName val="[입찰안.xls][입찰안.xls]_____xls_1447"/>
      <sheetName val="[입찰안.xls][입찰안.xls]_____xls_1448"/>
      <sheetName val="[입찰안.xls][입찰안.xls]_____xls_1449"/>
      <sheetName val="[입찰안.xls][입찰안.xls]_____xls_1469"/>
      <sheetName val="[입찰안.xls][입찰안.xls]_____xls_1450"/>
      <sheetName val="[입찰안.xls][입찰안.xls]_____xls_1451"/>
      <sheetName val="[입찰안.xls][입찰안.xls]_____xls_1452"/>
      <sheetName val="[입찰안.xls][입찰안.xls]_____xls_1457"/>
      <sheetName val="[입찰안.xls][입찰안.xls]_____xls_1455"/>
      <sheetName val="[입찰안.xls][입찰안.xls]_____xls_1454"/>
      <sheetName val="[입찰안.xls][입찰안.xls]_____xls_1456"/>
      <sheetName val="[입찰안.xls][입찰안.xls]_____xls_1460"/>
      <sheetName val="[입찰안.xls][입찰안.xls]_____xls_1458"/>
      <sheetName val="[입찰안.xls][입찰안.xls]_____xls_1459"/>
      <sheetName val="[입찰안.xls][입찰안.xls]_____xls_1461"/>
      <sheetName val="[입찰안.xls][입찰안.xls]_____xls_1462"/>
      <sheetName val="[입찰안.xls][입찰안.xls]_____xls_1463"/>
      <sheetName val="[입찰안.xls][입찰안.xls]_____xls_1464"/>
      <sheetName val="[입찰안.xls][입찰안.xls]_____xls_1465"/>
      <sheetName val="[입찰안.xls][입찰안.xls]_____xls_1468"/>
      <sheetName val="[입찰안.xls][입찰안.xls]_____xls_1466"/>
      <sheetName val="[입찰안.xls][입찰안.xls]_____xls_1467"/>
      <sheetName val="[입찰안.xls][입찰안.xls]_____xls_1470"/>
      <sheetName val="[입찰안.xls][입찰안.xls]_____xls_1476"/>
      <sheetName val="[입찰안.xls][입찰안.xls]_____xls_1471"/>
      <sheetName val="[입찰안.xls][입찰안.xls]_____xls_1473"/>
      <sheetName val="[입찰안.xls][입찰안.xls]_____xls_1472"/>
      <sheetName val="[입찰안.xls][입찰안.xls]_____xls_1474"/>
      <sheetName val="[입찰안.xls][입찰안.xls]_____xls_1475"/>
      <sheetName val="[입찰안.xls][입찰안.xls]_____xls_1483"/>
      <sheetName val="[입찰안.xls][입찰안.xls]_____xls_1478"/>
      <sheetName val="[입찰안.xls][입찰안.xls]_____xls_1477"/>
      <sheetName val="[입찰안.xls][입찰안.xls]_____xls_1482"/>
      <sheetName val="[입찰안.xls][입찰안.xls]_____xls_1479"/>
      <sheetName val="[입찰안.xls][입찰안.xls]_____xls_1480"/>
      <sheetName val="[입찰안.xls][입찰안.xls]_____xls_1481"/>
      <sheetName val="[입찰안.xls][입찰안.xls]_____xls_1484"/>
      <sheetName val="[입찰안.xls][입찰안.xls]_____xls_1485"/>
      <sheetName val="[입찰안.xls][입찰안.xls]_____xls_1497"/>
      <sheetName val="[입찰안.xls][입찰안.xls]_____xls_1489"/>
      <sheetName val="[입찰안.xls][입찰안.xls]_____xls_1488"/>
      <sheetName val="[입찰안.xls][입찰안.xls]_____xls_1486"/>
      <sheetName val="[입찰안.xls][입찰안.xls]_____xls_1487"/>
      <sheetName val="[입찰안.xls][입찰안.xls]_____xls_1501"/>
      <sheetName val="[입찰안.xls][입찰안.xls]_____xls_1490"/>
      <sheetName val="[입찰안.xls][입찰안.xls]_____xls_1491"/>
      <sheetName val="[입찰안.xls][입찰안.xls]_____xls_1492"/>
      <sheetName val="[입찰안.xls][입찰안.xls]_____xls_1493"/>
      <sheetName val="[입찰안.xls][입찰안.xls]_____xls_1494"/>
      <sheetName val="[입찰안.xls][입찰안.xls]_____xls_1495"/>
      <sheetName val="[입찰안.xls][입찰안.xls]_____xls_1496"/>
      <sheetName val="[입찰안.xls][입찰안.xls]_____xls_1498"/>
      <sheetName val="[입찰안.xls][입찰안.xls]_____xls_1500"/>
      <sheetName val="[입찰안.xls][입찰안.xls]_____xls_1499"/>
      <sheetName val="[입찰안.xls][입찰안.xls]_____xls_1505"/>
      <sheetName val="[입찰안.xls][입찰안.xls]_____xls_1507"/>
      <sheetName val="[입찰안.xls][입찰안.xls]_____xls_1502"/>
      <sheetName val="[입찰안.xls][입찰안.xls]_____xls_1503"/>
      <sheetName val="[입찰안.xls][입찰안.xls]_____xls_1504"/>
      <sheetName val="[입찰안.xls][입찰안.xls]_____xls_1518"/>
      <sheetName val="[입찰안.xls][입찰안.xls]_____xls_1506"/>
      <sheetName val="[입찰안.xls][입찰안.xls]_____xls_1530"/>
      <sheetName val="[입찰안.xls][입찰안.xls]_____xls_1508"/>
      <sheetName val="[입찰안.xls][입찰안.xls]_____xls_1509"/>
      <sheetName val="[입찰안.xls][입찰안.xls]_____xls_1510"/>
      <sheetName val="[입찰안.xls][입찰안.xls]_____xls_1511"/>
      <sheetName val="[입찰안.xls][입찰안.xls]_____xls_1513"/>
      <sheetName val="[입찰안.xls][입찰안.xls]_____xls_1512"/>
      <sheetName val="[입찰안.xls][입찰안.xls]_____xls_1514"/>
      <sheetName val="[입찰안.xls][입찰안.xls]_____xls_1515"/>
      <sheetName val="[입찰안.xls][입찰안.xls]_____xls_1517"/>
      <sheetName val="[입찰안.xls][입찰안.xls]_____xls_1516"/>
      <sheetName val="[입찰안.xls][입찰안.xls]_____xls_1526"/>
      <sheetName val="[입찰안.xls][입찰안.xls]_____xls_1519"/>
      <sheetName val="[입찰안.xls][입찰안.xls]_____xls_1520"/>
      <sheetName val="[입찰안.xls][입찰안.xls]_____xls_1522"/>
      <sheetName val="[입찰안.xls][입찰안.xls]_____xls_1521"/>
      <sheetName val="[입찰안.xls][입찰안.xls]_____xls_1523"/>
      <sheetName val="[입찰안.xls][입찰안.xls]_____xls_1525"/>
      <sheetName val="[입찰안.xls][입찰안.xls]_____xls_1524"/>
      <sheetName val="[입찰안.xls][입찰안.xls]_____xls_1527"/>
      <sheetName val="[입찰안.xls][입찰안.xls]_____xls_1543"/>
      <sheetName val="[입찰안.xls][입찰안.xls]_____xls_1528"/>
      <sheetName val="[입찰안.xls][입찰안.xls]_____xls_1529"/>
      <sheetName val="[입찰안.xls][입찰안.xls]_____xls_1535"/>
      <sheetName val="[입찰안.xls][입찰안.xls]_____xls_1531"/>
      <sheetName val="[입찰안.xls][입찰안.xls]_____xls_1532"/>
      <sheetName val="[입찰안.xls][입찰안.xls]_____xls_1534"/>
      <sheetName val="[입찰안.xls][입찰안.xls]_____xls_1533"/>
      <sheetName val="[입찰안.xls][입찰안.xls]_____xls_1536"/>
      <sheetName val="[입찰안.xls][입찰안.xls]_____xls_1538"/>
      <sheetName val="[입찰안.xls][입찰안.xls]_____xls_1537"/>
      <sheetName val="[입찰안.xls][입찰안.xls]_____xls_1539"/>
      <sheetName val="[입찰안.xls][입찰안.xls]_____xls_1540"/>
      <sheetName val="[입찰안.xls][입찰안.xls]_____xls_1541"/>
      <sheetName val="[입찰안.xls][입찰안.xls]_____xls_1542"/>
      <sheetName val="[입찰안.xls][입찰안.xls]_____xls_1544"/>
      <sheetName val="[입찰안.xls][입찰안.xls]_____xls_1547"/>
      <sheetName val="[입찰안.xls][입찰안.xls]_____xls_1545"/>
      <sheetName val="[입찰안.xls][입찰안.xls]_____xls_1546"/>
      <sheetName val="[입찰안.xls][입찰안.xls]_____xls_1552"/>
      <sheetName val="[입찰안.xls][입찰안.xls]_____xls_1548"/>
      <sheetName val="[입찰안.xls][입찰안.xls]_____xls_1549"/>
      <sheetName val="[입찰안.xls][입찰안.xls]_____xls_1560"/>
      <sheetName val="[입찰안.xls][입찰안.xls]_____xls_1550"/>
      <sheetName val="[입찰안.xls][입찰안.xls]_____xls_1551"/>
      <sheetName val="[입찰안.xls][입찰안.xls]_____xls_1572"/>
      <sheetName val="[입찰안.xls][입찰안.xls]_____xls_1553"/>
      <sheetName val="[입찰안.xls][입찰안.xls]_____xls_1558"/>
      <sheetName val="[입찰안.xls][입찰안.xls]_____xls_1554"/>
      <sheetName val="[입찰안.xls][입찰안.xls]_____xls_1556"/>
      <sheetName val="[입찰안.xls][입찰안.xls]_____xls_1555"/>
      <sheetName val="[입찰안.xls][입찰안.xls]_____xls_1557"/>
      <sheetName val="[입찰안.xls][입찰안.xls]_____xls_1559"/>
      <sheetName val="[입찰안.xls][입찰안.xls]_____xls_1561"/>
      <sheetName val="[입찰안.xls][입찰안.xls]_____xls_1563"/>
      <sheetName val="[입찰안.xls][입찰안.xls]_____xls_1562"/>
      <sheetName val="[입찰안.xls][입찰안.xls]_____xls_1581"/>
      <sheetName val="[입찰안.xls][입찰안.xls]_____xls_1564"/>
      <sheetName val="[입찰안.xls][입찰안.xls]_____xls_1566"/>
      <sheetName val="[입찰안.xls][입찰안.xls]_____xls_1565"/>
      <sheetName val="[입찰안.xls][입찰안.xls]_____xls_1568"/>
      <sheetName val="[입찰안.xls][입찰안.xls]_____xls_1567"/>
      <sheetName val="[입찰안.xls][입찰안.xls]_____xls_1569"/>
      <sheetName val="[입찰안.xls][입찰안.xls]_____xls_1570"/>
      <sheetName val="[입찰안.xls][입찰안.xls]_____xls_1571"/>
      <sheetName val="[입찰안.xls][입찰안.xls]_____xls_1580"/>
      <sheetName val="[입찰안.xls][입찰안.xls]_____xls_1579"/>
      <sheetName val="[입찰안.xls][입찰안.xls]_____xls_1574"/>
      <sheetName val="[입찰안.xls][입찰안.xls]_____xls_1573"/>
      <sheetName val="[입찰안.xls][입찰안.xls]_____xls_1575"/>
      <sheetName val="[입찰안.xls][입찰안.xls]_____xls_1576"/>
      <sheetName val="[입찰안.xls][입찰안.xls]_____xls_1577"/>
      <sheetName val="[입찰안.xls][입찰안.xls]_____xls_1578"/>
      <sheetName val="[입찰안.xls][입찰안.xls]_____xls_1582"/>
      <sheetName val="[입찰안.xls][입찰안.xls]_____xls_1583"/>
      <sheetName val="[입찰안.xls][입찰안.xls]_____xls_1593"/>
      <sheetName val="[입찰안.xls][입찰안.xls]_____xls_1586"/>
      <sheetName val="[입찰안.xls][입찰안.xls]_____xls_1584"/>
      <sheetName val="[입찰안.xls][입찰안.xls]_____xls_1585"/>
      <sheetName val="[입찰안.xls][입찰안.xls]_____xls_1587"/>
      <sheetName val="[입찰안.xls][입찰안.xls]_____xls_1588"/>
      <sheetName val="[입찰안.xls][입찰안.xls]_____xls_1591"/>
      <sheetName val="[입찰안.xls][입찰안.xls]_____xls_1589"/>
      <sheetName val="[입찰안.xls][입찰안.xls]_____xls_1590"/>
      <sheetName val="[입찰안.xls][입찰안.xls]_____xls_1592"/>
      <sheetName val="[입찰안.xls][입찰안.xls]_____xls_1598"/>
      <sheetName val="[입찰안.xls][입찰안.xls]_____xls_1594"/>
      <sheetName val="[입찰안.xls][입찰안.xls]_____xls_1595"/>
      <sheetName val="[입찰안.xls][입찰안.xls]_____xls_1596"/>
      <sheetName val="[입찰안.xls][입찰안.xls]_____xls_1613"/>
      <sheetName val="[입찰안.xls][입찰안.xls]_____xls_1597"/>
      <sheetName val="[입찰안.xls][입찰안.xls]_____xls_1603"/>
      <sheetName val="[입찰안.xls][입찰안.xls]_____xls_1601"/>
      <sheetName val="[입찰안.xls][입찰안.xls]_____xls_1599"/>
      <sheetName val="[입찰안.xls][입찰안.xls]_____xls_1600"/>
      <sheetName val="[입찰안.xls][입찰안.xls]_____xls_1602"/>
      <sheetName val="[입찰안.xls][입찰안.xls]_____xls_1604"/>
      <sheetName val="[입찰안.xls][입찰안.xls]_____xls_1612"/>
      <sheetName val="[입찰안.xls][입찰안.xls]_____xls_1609"/>
      <sheetName val="[입찰안.xls][입찰안.xls]_____xls_1605"/>
      <sheetName val="[입찰안.xls][입찰안.xls]_____xls_1608"/>
      <sheetName val="[입찰안.xls][입찰안.xls]_____xls_1606"/>
      <sheetName val="[입찰안.xls][입찰안.xls]_____xls_1607"/>
      <sheetName val="[입찰안.xls][입찰안.xls]_____xls_1617"/>
      <sheetName val="[입찰안.xls][입찰안.xls]_____xls_1610"/>
      <sheetName val="[입찰안.xls][입찰안.xls]_____xls_1611"/>
      <sheetName val="[입찰안.xls][입찰안.xls]_____xls_1614"/>
      <sheetName val="[입찰안.xls][입찰안.xls]_____xls_1653"/>
      <sheetName val="[입찰안.xls][입찰안.xls]_____xls_1615"/>
      <sheetName val="[입찰안.xls][입찰안.xls]_____xls_1616"/>
      <sheetName val="[입찰안.xls][입찰안.xls]_____xls_1619"/>
      <sheetName val="[입찰안.xls][입찰안.xls]_____xls_1618"/>
      <sheetName val="[입찰안.xls][입찰안.xls]_____xls_1620"/>
      <sheetName val="[입찰안.xls][입찰안.xls]_____xls_1621"/>
      <sheetName val="[입찰안.xls][입찰안.xls]_____xls_1622"/>
      <sheetName val="[입찰안.xls][입찰안.xls]_____xls_1623"/>
      <sheetName val="[입찰안.xls][입찰안.xls]_____xls_1625"/>
      <sheetName val="[입찰안.xls][입찰안.xls]_____xls_1624"/>
      <sheetName val="[입찰안.xls][입찰안.xls]_____xls_1626"/>
      <sheetName val="[입찰안.xls][입찰안.xls]_____xls_1630"/>
      <sheetName val="[입찰안.xls][입찰안.xls]_____xls_1627"/>
      <sheetName val="[입찰안.xls][입찰안.xls]_____xls_1628"/>
      <sheetName val="[입찰안.xls][입찰안.xls]_____xls_1629"/>
      <sheetName val="[입찰안.xls][입찰안.xls]_____xls_1635"/>
      <sheetName val="[입찰안.xls][입찰안.xls]_____xls_1631"/>
      <sheetName val="[입찰안.xls][입찰안.xls]_____xls_1632"/>
      <sheetName val="[입찰안.xls][입찰안.xls]_____xls_1633"/>
      <sheetName val="[입찰안.xls][입찰안.xls]_____xls_1634"/>
      <sheetName val="[입찰안.xls][입찰안.xls]_____xls_1636"/>
      <sheetName val="[입찰안.xls][입찰안.xls]_____xls_1637"/>
      <sheetName val="[입찰안.xls][입찰안.xls]_____xls_1638"/>
      <sheetName val="[입찰안.xls][입찰안.xls]_____xls_1649"/>
      <sheetName val="[입찰안.xls][입찰안.xls]_____xls_1643"/>
      <sheetName val="[입찰안.xls][입찰안.xls]_____xls_1639"/>
      <sheetName val="[입찰안.xls][입찰안.xls]_____xls_1640"/>
      <sheetName val="[입찰안.xls][입찰안.xls]_____xls_1641"/>
      <sheetName val="[입찰안.xls][입찰안.xls]_____xls_1642"/>
      <sheetName val="[입찰안.xls][입찰안.xls]_____xls_1644"/>
      <sheetName val="[입찰안.xls][입찰안.xls]_____xls_1645"/>
      <sheetName val="[입찰안.xls][입찰안.xls]_____xls_1647"/>
      <sheetName val="[입찰안.xls][입찰안.xls]_____xls_1646"/>
      <sheetName val="[입찰안.xls][입찰안.xls]_____xls_1648"/>
      <sheetName val="[입찰안.xls][입찰안.xls]_____xls_1668"/>
      <sheetName val="[입찰안.xls][입찰안.xls]_____xls_1650"/>
      <sheetName val="[입찰안.xls][입찰안.xls]_____xls_1651"/>
      <sheetName val="[입찰안.xls][입찰안.xls]_____xls_1652"/>
      <sheetName val="[입찰안.xls][입찰안.xls]_____xls_1655"/>
      <sheetName val="[입찰안.xls][입찰안.xls]_____xls_1654"/>
      <sheetName val="[입찰안.xls][입찰안.xls]_____xls_1656"/>
      <sheetName val="[입찰안.xls][입찰안.xls]_____xls_1657"/>
      <sheetName val="[입찰안.xls][입찰안.xls]_____xls_1658"/>
      <sheetName val="[입찰안.xls][입찰안.xls]_____xls_1659"/>
      <sheetName val="[입찰안.xls][입찰안.xls]_____xls_1662"/>
      <sheetName val="[입찰안.xls][입찰안.xls]_____xls_1660"/>
      <sheetName val="[입찰안.xls][입찰안.xls]_____xls_1661"/>
      <sheetName val="[입찰안.xls][입찰안.xls]_____xls_1675"/>
      <sheetName val="[입찰안.xls][입찰안.xls]_____xls_1663"/>
      <sheetName val="[입찰안.xls][입찰안.xls]_____xls_1664"/>
      <sheetName val="[입찰안.xls][입찰안.xls]_____xls_1667"/>
      <sheetName val="[입찰안.xls][입찰안.xls]_____xls_1665"/>
      <sheetName val="[입찰안.xls][입찰안.xls]_____xls_1666"/>
      <sheetName val="[입찰안.xls][입찰안.xls]_____xls_1671"/>
      <sheetName val="[입찰안.xls][입찰안.xls]_____xls_1669"/>
      <sheetName val="[입찰안.xls][입찰안.xls]_____xls_1670"/>
      <sheetName val="[입찰안.xls][입찰안.xls]_____xls_1672"/>
      <sheetName val="[입찰안.xls][입찰안.xls]_____xls_1673"/>
      <sheetName val="[입찰안.xls][입찰안.xls]_____xls_1674"/>
      <sheetName val="[입찰안.xls][입찰안.xls]_____xls_1681"/>
      <sheetName val="[입찰안.xls][입찰안.xls]_____xls_1676"/>
      <sheetName val="[입찰안.xls][입찰안.xls]_____xls_1677"/>
      <sheetName val="[입찰안.xls][입찰안.xls]_____xls_1678"/>
      <sheetName val="[입찰안.xls][입찰안.xls]_____xls_1679"/>
      <sheetName val="[입찰안.xls][입찰안.xls]_____xls_1680"/>
      <sheetName val="[입찰안.xls][입찰안.xls]_____xls_1686"/>
      <sheetName val="[입찰안.xls][입찰안.xls]_____xls_1682"/>
      <sheetName val="[입찰안.xls][입찰안.xls]_____xls_1683"/>
      <sheetName val="[입찰안.xls][입찰안.xls]_____xls_1684"/>
      <sheetName val="[입찰안.xls][입찰안.xls]_____xls_1685"/>
      <sheetName val="[입찰안.xls][입찰안.xls]_____xls_1693"/>
      <sheetName val="[입찰안.xls][입찰안.xls]_____xls_1695"/>
      <sheetName val="[입찰안.xls][입찰안.xls]_____xls_1694"/>
      <sheetName val="[입찰안.xls][입찰안.xls]_____xls_1687"/>
      <sheetName val="[입찰안.xls][입찰안.xls]_____xls_1688"/>
      <sheetName val="[입찰안.xls][입찰안.xls]_____xls_1689"/>
      <sheetName val="[입찰안.xls][입찰안.xls]_____xls_1690"/>
      <sheetName val="[입찰안.xls][입찰안.xls]_____xls_1691"/>
      <sheetName val="[입찰안.xls][입찰안.xls]_____xls_1692"/>
      <sheetName val="[입찰안.xls][입찰안.xls]_____xls_1707"/>
      <sheetName val="[입찰안.xls][입찰안.xls]_____xls_1708"/>
      <sheetName val="[입찰안.xls][입찰안.xls]_____xls_1698"/>
      <sheetName val="[입찰안.xls][입찰안.xls]_____xls_1696"/>
      <sheetName val="[입찰안.xls][입찰안.xls]_____xls_1697"/>
      <sheetName val="[입찰안.xls][입찰안.xls]_____xls_1699"/>
      <sheetName val="[입찰안.xls][입찰안.xls]_____xls_1700"/>
      <sheetName val="[입찰안.xls][입찰안.xls]_____xls_1701"/>
      <sheetName val="[입찰안.xls][입찰안.xls]_____xls_1702"/>
      <sheetName val="[입찰안.xls][입찰안.xls]_____xls_1703"/>
      <sheetName val="[입찰안.xls][입찰안.xls]_____xls_1704"/>
      <sheetName val="[입찰안.xls][입찰안.xls]_____xls_1705"/>
      <sheetName val="[입찰안.xls][입찰안.xls]_____xls_1706"/>
      <sheetName val="[입찰안.xls][입찰안.xls]_____xls_1739"/>
      <sheetName val="[입찰안.xls][입찰안.xls]_____xls_1733"/>
      <sheetName val="[입찰안.xls][입찰안.xls]_____xls_1730"/>
      <sheetName val="[입찰안.xls][입찰안.xls]_____xls_1715"/>
      <sheetName val="[입찰안.xls][입찰안.xls]_____xls_1709"/>
      <sheetName val="[입찰안.xls][입찰안.xls]_____xls_1710"/>
      <sheetName val="[입찰안.xls][입찰안.xls]_____xls_1711"/>
      <sheetName val="[입찰안.xls][입찰안.xls]_____xls_1713"/>
      <sheetName val="[입찰안.xls][입찰안.xls]_____xls_1712"/>
      <sheetName val="[입찰안.xls][입찰안.xls]_____xls_1714"/>
      <sheetName val="[입찰안.xls][입찰안.xls]_____xls_1723"/>
      <sheetName val="[입찰안.xls][입찰안.xls]_____xls_1719"/>
      <sheetName val="[입찰안.xls][입찰안.xls]_____xls_1718"/>
      <sheetName val="[입찰안.xls][입찰안.xls]_____xls_1716"/>
      <sheetName val="[입찰안.xls][입찰안.xls]_____xls_1717"/>
      <sheetName val="[입찰안.xls][입찰안.xls]_____xls_1720"/>
      <sheetName val="[입찰안.xls][입찰안.xls]_____xls_1721"/>
      <sheetName val="[입찰안.xls][입찰안.xls]_____xls_1722"/>
      <sheetName val="[입찰안.xls][입찰안.xls]_____xls_1725"/>
      <sheetName val="[입찰안.xls][입찰안.xls]_____xls_1724"/>
      <sheetName val="[입찰안.xls][입찰안.xls]_____xls_1729"/>
      <sheetName val="[입찰안.xls][입찰안.xls]_____xls_1726"/>
      <sheetName val="[입찰안.xls][입찰안.xls]_____xls_1727"/>
      <sheetName val="[입찰안.xls][입찰안.xls]_____xls_1728"/>
      <sheetName val="[입찰안.xls][입찰안.xls]_____xls_1731"/>
      <sheetName val="[입찰안.xls][입찰안.xls]_____xls_1732"/>
      <sheetName val="[입찰안.xls][입찰안.xls]_____xls_1734"/>
      <sheetName val="[입찰안.xls][입찰안.xls]_____xls_1736"/>
      <sheetName val="[입찰안.xls][입찰안.xls]_____xls_1735"/>
      <sheetName val="[입찰안.xls][입찰안.xls]_____xls_1737"/>
      <sheetName val="[입찰안.xls][입찰안.xls]_____xls_1738"/>
      <sheetName val="[입찰안.xls][입찰안.xls]_____xls_1787"/>
      <sheetName val="[입찰안.xls][입찰안.xls]_____xls_1740"/>
      <sheetName val="[입찰안.xls][입찰안.xls]_____xls_1746"/>
      <sheetName val="[입찰안.xls][입찰안.xls]_____xls_1741"/>
      <sheetName val="[입찰안.xls][입찰안.xls]_____xls_1742"/>
      <sheetName val="[입찰안.xls][입찰안.xls]_____xls_1745"/>
      <sheetName val="[입찰안.xls][입찰안.xls]_____xls_1743"/>
      <sheetName val="[입찰안.xls][입찰안.xls]_____xls_1744"/>
      <sheetName val="[입찰안.xls][입찰안.xls]_____xls_1750"/>
      <sheetName val="[입찰안.xls][입찰안.xls]_____xls_1747"/>
      <sheetName val="[입찰안.xls][입찰안.xls]_____xls_1758"/>
      <sheetName val="[입찰안.xls][입찰안.xls]_____xls_1748"/>
      <sheetName val="[입찰안.xls][입찰안.xls]_____xls_1749"/>
      <sheetName val="[입찰안.xls][입찰안.xls]_____xls_1751"/>
      <sheetName val="[입찰안.xls][입찰안.xls]_____xls_1752"/>
      <sheetName val="[입찰안.xls][입찰안.xls]_____xls_1753"/>
      <sheetName val="[입찰안.xls][입찰안.xls]_____xls_1754"/>
      <sheetName val="[입찰안.xls][입찰안.xls]_____xls_1755"/>
      <sheetName val="[입찰안.xls][입찰안.xls]_____xls_1756"/>
      <sheetName val="[입찰안.xls][입찰안.xls]_____xls_1757"/>
      <sheetName val="[입찰안.xls][입찰안.xls]_____xls_1761"/>
      <sheetName val="[입찰안.xls][입찰안.xls]_____xls_1759"/>
      <sheetName val="[입찰안.xls][입찰안.xls]_____xls_1768"/>
      <sheetName val="[입찰안.xls][입찰안.xls]_____xls_1760"/>
      <sheetName val="[입찰안.xls][입찰안.xls]_____xls_1762"/>
      <sheetName val="[입찰안.xls][입찰안.xls]_____xls_1763"/>
      <sheetName val="[입찰안.xls][입찰안.xls]_____xls_1764"/>
      <sheetName val="[입찰안.xls][입찰안.xls]_____xls_1769"/>
      <sheetName val="[입찰안.xls][입찰안.xls]_____xls_1765"/>
      <sheetName val="[입찰안.xls][입찰안.xls]_____xls_1766"/>
      <sheetName val="[입찰안.xls][입찰안.xls]_____xls_1767"/>
      <sheetName val="[입찰안.xls][입찰안.xls]_____xls_1770"/>
      <sheetName val="[입찰안.xls][입찰안.xls]_____xls_1772"/>
      <sheetName val="[입찰안.xls][입찰안.xls]_____xls_1774"/>
      <sheetName val="[입찰안.xls][입찰안.xls]_____xls_1771"/>
      <sheetName val="[입찰안.xls][입찰안.xls]_____xls_1773"/>
      <sheetName val="[입찰안.xls][입찰안.xls]_____xls_1775"/>
      <sheetName val="[입찰안.xls][입찰안.xls]_____xls_1776"/>
      <sheetName val="[입찰안.xls][입찰안.xls]_____xls_1827"/>
      <sheetName val="[입찰안.xls][입찰안.xls]_____xls_1777"/>
      <sheetName val="[입찰안.xls][입찰안.xls]_____xls_1778"/>
      <sheetName val="[입찰안.xls][입찰안.xls]_____xls_1828"/>
      <sheetName val="[입찰안.xls][입찰안.xls]_____xls_1779"/>
      <sheetName val="[입찰안.xls][입찰안.xls]_____xls_1780"/>
      <sheetName val="[입찰안.xls][입찰안.xls]_____xls_1781"/>
      <sheetName val="[입찰안.xls][입찰안.xls]_____xls_1782"/>
      <sheetName val="[입찰안.xls][입찰안.xls]_____xls_1783"/>
      <sheetName val="[입찰안.xls][입찰안.xls]_____xls_1784"/>
      <sheetName val="[입찰안.xls][입찰안.xls]_____xls_1785"/>
      <sheetName val="[입찰안.xls][입찰안.xls]_____xls_1786"/>
      <sheetName val="[입찰안.xls][입찰안.xls]_____xls_1788"/>
      <sheetName val="[입찰안.xls][입찰안.xls]_____xls_1793"/>
      <sheetName val="[입찰안.xls][입찰안.xls]_____xls_1801"/>
      <sheetName val="[입찰안.xls][입찰안.xls]_____xls_1789"/>
      <sheetName val="[입찰안.xls][입찰안.xls]_____xls_1790"/>
      <sheetName val="[입찰안.xls][입찰안.xls]_____xls_1791"/>
      <sheetName val="[입찰안.xls][입찰안.xls]_____xls_1792"/>
      <sheetName val="[입찰안.xls][입찰안.xls]_____xls_1794"/>
      <sheetName val="[입찰안.xls][입찰안.xls]_____xls_1802"/>
      <sheetName val="[입찰안.xls][입찰안.xls]_____xls_1795"/>
      <sheetName val="[입찰안.xls][입찰안.xls]_____xls_1796"/>
      <sheetName val="[입찰안.xls][입찰안.xls]_____xls_1797"/>
      <sheetName val="[입찰안.xls][입찰안.xls]_____xls_1798"/>
      <sheetName val="[입찰안.xls][입찰안.xls]_____xls_1799"/>
      <sheetName val="[입찰안.xls][입찰안.xls]_____xls_1800"/>
      <sheetName val="[입찰안.xls][입찰안.xls]_____xls_1815"/>
      <sheetName val="[입찰안.xls][입찰안.xls]_____xls_1803"/>
      <sheetName val="[입찰안.xls][입찰안.xls]_____xls_1804"/>
      <sheetName val="[입찰안.xls][입찰안.xls]_____xls_1805"/>
      <sheetName val="[입찰안.xls][입찰안.xls]_____xls_1806"/>
      <sheetName val="[입찰안.xls][입찰안.xls]_____xls_1807"/>
      <sheetName val="[입찰안.xls][입찰안.xls]_____xls_1811"/>
      <sheetName val="[입찰안.xls][입찰안.xls]_____xls_1808"/>
      <sheetName val="[입찰안.xls][입찰안.xls]_____xls_1809"/>
      <sheetName val="[입찰안.xls][입찰안.xls]_____xls_1810"/>
      <sheetName val="[입찰안.xls][입찰안.xls]_____xls_1813"/>
      <sheetName val="[입찰안.xls][입찰안.xls]_____xls_1812"/>
      <sheetName val="[입찰안.xls][입찰안.xls]_____xls_1814"/>
      <sheetName val="[입찰안.xls][입찰안.xls]_____xls_1816"/>
      <sheetName val="[입찰안.xls][입찰안.xls]_____xls_1819"/>
      <sheetName val="[입찰안.xls][입찰안.xls]_____xls_1817"/>
      <sheetName val="[입찰안.xls][입찰안.xls]_____xls_1818"/>
      <sheetName val="[입찰안.xls][입찰안.xls]_____xls_1820"/>
      <sheetName val="[입찰안.xls][입찰안.xls]_____xls_1824"/>
      <sheetName val="[입찰안.xls][입찰안.xls]_____xls_1821"/>
      <sheetName val="[입찰안.xls][입찰안.xls]_____xls_1822"/>
      <sheetName val="[입찰안.xls][입찰안.xls]_____xls_1823"/>
      <sheetName val="[입찰안.xls][입찰안.xls]_____xls_1825"/>
      <sheetName val="[입찰안.xls][입찰안.xls]_____xls_1826"/>
      <sheetName val="[입찰안.xls][입찰안.xls]_____xls_1842"/>
      <sheetName val="[입찰안.xls][입찰안.xls]_____xls_1855"/>
      <sheetName val="[입찰안.xls][입찰안.xls]_____xls_1844"/>
      <sheetName val="[입찰안.xls][입찰안.xls]_____xls_1830"/>
      <sheetName val="[입찰안.xls][입찰안.xls]_____xls_1829"/>
      <sheetName val="[입찰안.xls][입찰안.xls]_____xls_1833"/>
      <sheetName val="[입찰안.xls][입찰안.xls]_____xls_1831"/>
      <sheetName val="[입찰안.xls][입찰안.xls]_____xls_1832"/>
      <sheetName val="[입찰안.xls][입찰안.xls]_____xls_1835"/>
      <sheetName val="[입찰안.xls][입찰안.xls]_____xls_1834"/>
      <sheetName val="[입찰안.xls][입찰안.xls]_____xls_1837"/>
      <sheetName val="[입찰안.xls][입찰안.xls]_____xls_1836"/>
      <sheetName val="[입찰안.xls][입찰안.xls]_____xls_1838"/>
      <sheetName val="[입찰안.xls][입찰안.xls]_____xls_1839"/>
      <sheetName val="[입찰안.xls][입찰안.xls]_____xls_1840"/>
      <sheetName val="[입찰안.xls][입찰안.xls]_____xls_1841"/>
      <sheetName val="[입찰안.xls][입찰안.xls]_____xls_1843"/>
      <sheetName val="[입찰안.xls][입찰안.xls]_____xls_1857"/>
      <sheetName val="[입찰안.xls][입찰안.xls]_____xls_1899"/>
      <sheetName val="[입찰안.xls][입찰안.xls]_____xls_1845"/>
      <sheetName val="[입찰안.xls][입찰안.xls]_____xls_1846"/>
      <sheetName val="[입찰안.xls][입찰안.xls]_____xls_1847"/>
      <sheetName val="[입찰안.xls][입찰안.xls]_____xls_1848"/>
      <sheetName val="[입찰안.xls][입찰안.xls]_____xls_1849"/>
      <sheetName val="[입찰안.xls][입찰안.xls]_____xls_1850"/>
      <sheetName val="[입찰안.xls][입찰안.xls]_____xls_1851"/>
      <sheetName val="[입찰안.xls][입찰안.xls]_____xls_1852"/>
      <sheetName val="[입찰안.xls][입찰안.xls]_____xls_1853"/>
      <sheetName val="[입찰안.xls][입찰안.xls]_____xls_1854"/>
      <sheetName val="[입찰안.xls][입찰안.xls]_____xls_1856"/>
      <sheetName val="[입찰안.xls][입찰안.xls]_____xls_1861"/>
      <sheetName val="[입찰안.xls][입찰안.xls]_____xls_1860"/>
      <sheetName val="[입찰안.xls][입찰안.xls]_____xls_1859"/>
      <sheetName val="[입찰안.xls][입찰안.xls]_____xls_1858"/>
      <sheetName val="[입찰안.xls][입찰안.xls]_____xls_1909"/>
      <sheetName val="[입찰안.xls][입찰안.xls]_____xls_1862"/>
      <sheetName val="[입찰안.xls][입찰안.xls]_____xls_1863"/>
      <sheetName val="[입찰안.xls][입찰안.xls]_____xls_1864"/>
      <sheetName val="[입찰안.xls][입찰안.xls]_____xls_1865"/>
      <sheetName val="[입찰안.xls][입찰안.xls]_____xls_1866"/>
      <sheetName val="[입찰안.xls][입찰안.xls]_____xls_1867"/>
      <sheetName val="[입찰안.xls][입찰안.xls]_____xls_1868"/>
      <sheetName val="[입찰안.xls][입찰안.xls]_____xls_1869"/>
      <sheetName val="[입찰안.xls][입찰안.xls]_____xls_1870"/>
      <sheetName val="[입찰안.xls][입찰안.xls]_____xls_1871"/>
      <sheetName val="[입찰안.xls][입찰안.xls]_____xls_1872"/>
      <sheetName val="[입찰안.xls][입찰안.xls]_____xls_1874"/>
      <sheetName val="[입찰안.xls][입찰안.xls]_____xls_1873"/>
      <sheetName val="[입찰안.xls][입찰안.xls]_____xls_1875"/>
      <sheetName val="[입찰안.xls][입찰안.xls]_____xls_1877"/>
      <sheetName val="[입찰안.xls][입찰안.xls]_____xls_1876"/>
      <sheetName val="[입찰안.xls][입찰안.xls]_____xls_1878"/>
      <sheetName val="[입찰안.xls][입찰안.xls]_____xls_1879"/>
      <sheetName val="[입찰안.xls][입찰안.xls]_____xls_1880"/>
      <sheetName val="[입찰안.xls][입찰안.xls]_____xls_1881"/>
      <sheetName val="[입찰안.xls][입찰안.xls]_____xls_1882"/>
      <sheetName val="[입찰안.xls][입찰안.xls]_____xls_1891"/>
      <sheetName val="[입찰안.xls][입찰안.xls]_____xls_1883"/>
      <sheetName val="[입찰안.xls][입찰안.xls]_____xls_1884"/>
      <sheetName val="[입찰안.xls][입찰안.xls]_____xls_1885"/>
      <sheetName val="[입찰안.xls][입찰안.xls]_____xls_1886"/>
      <sheetName val="[입찰안.xls][입찰안.xls]_____xls_1889"/>
      <sheetName val="[입찰안.xls][입찰안.xls]_____xls_1887"/>
      <sheetName val="[입찰안.xls][입찰안.xls]_____xls_1888"/>
      <sheetName val="[입찰안.xls][입찰안.xls]_____xls_1890"/>
      <sheetName val="[입찰안.xls][입찰안.xls]_____xls_1894"/>
      <sheetName val="[입찰안.xls][입찰안.xls]_____xls_1892"/>
      <sheetName val="[입찰안.xls][입찰안.xls]_____xls_1893"/>
      <sheetName val="[입찰안.xls][입찰안.xls]_____xls_1895"/>
      <sheetName val="[입찰안.xls][입찰안.xls]_____xls_1896"/>
      <sheetName val="[입찰안.xls][입찰안.xls]_____xls_1897"/>
      <sheetName val="[입찰안.xls][입찰안.xls]_____xls_1898"/>
      <sheetName val="[입찰안.xls][입찰안.xls]_____xls_1902"/>
      <sheetName val="[입찰안.xls][입찰안.xls]_____xls_1900"/>
      <sheetName val="[입찰안.xls][입찰안.xls]_____xls_1901"/>
      <sheetName val="[입찰안.xls][입찰안.xls]_____xls_1914"/>
      <sheetName val="[입찰안.xls][입찰안.xls]_____xls_1903"/>
      <sheetName val="[입찰안.xls][입찰안.xls]_____xls_1905"/>
      <sheetName val="[입찰안.xls][입찰안.xls]_____xls_1904"/>
      <sheetName val="[입찰안.xls][입찰안.xls]_____xls_1906"/>
      <sheetName val="[입찰안.xls][입찰안.xls]_____xls_1907"/>
      <sheetName val="[입찰안.xls][입찰안.xls]_____xls_1908"/>
      <sheetName val="[입찰안.xls][입찰안.xls]_____xls_1928"/>
      <sheetName val="[입찰안.xls][입찰안.xls]_____xls_1913"/>
      <sheetName val="[입찰안.xls][입찰안.xls]_____xls_1911"/>
      <sheetName val="[입찰안.xls][입찰안.xls]_____xls_1910"/>
      <sheetName val="[입찰안.xls][입찰안.xls]_____xls_1912"/>
      <sheetName val="[입찰안.xls][입찰안.xls]_____xls_1917"/>
      <sheetName val="[입찰안.xls][입찰안.xls]_____xls_1916"/>
      <sheetName val="[입찰안.xls][입찰안.xls]_____xls_1915"/>
      <sheetName val="[입찰안.xls][입찰안.xls]_____xls_1925"/>
      <sheetName val="[입찰안.xls][입찰안.xls]_____xls_1920"/>
      <sheetName val="[입찰안.xls][입찰안.xls]_____xls_1918"/>
      <sheetName val="[입찰안.xls][입찰안.xls]_____xls_1919"/>
      <sheetName val="[입찰안.xls][입찰안.xls]_____xls_1924"/>
      <sheetName val="[입찰안.xls][입찰안.xls]_____xls_1921"/>
      <sheetName val="[입찰안.xls][입찰안.xls]_____xls_1922"/>
      <sheetName val="[입찰안.xls][입찰안.xls]_____xls_1923"/>
      <sheetName val="[입찰안.xls][입찰안.xls]_____xls_1926"/>
      <sheetName val="[입찰안.xls][입찰안.xls]_____xls_1927"/>
      <sheetName val="[입찰안.xls][입찰안.xls]_____xls_1929"/>
      <sheetName val="[입찰안.xls][입찰안.xls]_____xls_1930"/>
      <sheetName val="[입찰안.xls][입찰안.xls]_____xls_1932"/>
      <sheetName val="[입찰안.xls][입찰안.xls]_____xls_1953"/>
      <sheetName val="[입찰안.xls][입찰안.xls]_____xls_1931"/>
      <sheetName val="[입찰안.xls][입찰안.xls]_____xls_1939"/>
      <sheetName val="[입찰안.xls][입찰안.xls]_____xls_1933"/>
      <sheetName val="[입찰안.xls][입찰안.xls]_____xls_1934"/>
      <sheetName val="[입찰안.xls][입찰안.xls]_____xls_1935"/>
      <sheetName val="[입찰안.xls][입찰안.xls]_____xls_1936"/>
      <sheetName val="[입찰안.xls][입찰안.xls]_____xls_1937"/>
      <sheetName val="[입찰안.xls][입찰안.xls]_____xls_1938"/>
      <sheetName val="[입찰안.xls][입찰안.xls]_____xls_1941"/>
      <sheetName val="[입찰안.xls][입찰안.xls]_____xls_1940"/>
      <sheetName val="[입찰안.xls][입찰안.xls]_____xls_1942"/>
      <sheetName val="[입찰안.xls][입찰안.xls]_____xls_1954"/>
      <sheetName val="[입찰안.xls][입찰안.xls]_____xls_1943"/>
      <sheetName val="[입찰안.xls][입찰안.xls]_____xls_1949"/>
      <sheetName val="[입찰안.xls][입찰안.xls]_____xls_1944"/>
      <sheetName val="[입찰안.xls][입찰안.xls]_____xls_1945"/>
      <sheetName val="[입찰안.xls][입찰안.xls]_____xls_1946"/>
      <sheetName val="[입찰안.xls][입찰안.xls]_____xls_1947"/>
      <sheetName val="[입찰안.xls][입찰안.xls]_____xls_1948"/>
      <sheetName val="[입찰안.xls][입찰안.xls]_____xls_1950"/>
      <sheetName val="[입찰안.xls][입찰안.xls]_____xls_1951"/>
      <sheetName val="[입찰안.xls][입찰안.xls]_____xls_1952"/>
      <sheetName val="[입찰안.xls][입찰안.xls]_____xls_1957"/>
      <sheetName val="[입찰안.xls][입찰안.xls]_____xls_1956"/>
      <sheetName val="[입찰안.xls][입찰안.xls]_____xls_1955"/>
      <sheetName val="[입찰안.xls][입찰안.xls]_____xls_1971"/>
      <sheetName val="[입찰안.xls][입찰안.xls]_____xls_1958"/>
      <sheetName val="[입찰안.xls][입찰안.xls]_____xls_1959"/>
      <sheetName val="[입찰안.xls][입찰안.xls]_____xls_1961"/>
      <sheetName val="[입찰안.xls][입찰안.xls]_____xls_1960"/>
      <sheetName val="[입찰안.xls][입찰안.xls]_____xls_1962"/>
      <sheetName val="[입찰안.xls][입찰안.xls]_____xls_1963"/>
      <sheetName val="[입찰안.xls][입찰안.xls]_____xls_1965"/>
      <sheetName val="[입찰안.xls][입찰안.xls]_____xls_1964"/>
      <sheetName val="[입찰안.xls][입찰안.xls]_____xls_1966"/>
      <sheetName val="[입찰안.xls][입찰안.xls]_____xls_1967"/>
      <sheetName val="[입찰안.xls][입찰안.xls]_____xls_1968"/>
      <sheetName val="[입찰안.xls][입찰안.xls]_____xls_1969"/>
      <sheetName val="[입찰안.xls][입찰안.xls]_____xls_1970"/>
      <sheetName val="[입찰안.xls][입찰안.xls]_____xls_1972"/>
      <sheetName val="조건표 (2)"/>
      <sheetName val="기초단가"/>
      <sheetName val="Cash"/>
      <sheetName val="인계"/>
      <sheetName val="[입찰안.xls][입찰안.xls]_____xls_1976"/>
      <sheetName val="[입찰안.xls][입찰안.xls]_____xls_1977"/>
      <sheetName val="[입찰안.xls][입찰안.xls]_____xls_1978"/>
      <sheetName val="[입찰안.xls][입찰안.xls]_____xls_1980"/>
      <sheetName val="[입찰안.xls][입찰안.xls]_____xls_1979"/>
      <sheetName val="[입찰안.xls][입찰안.xls]_____xls_1981"/>
      <sheetName val="[입찰안.xls][입찰안.xls]_____xls_1984"/>
      <sheetName val="[입찰안.xls][입찰안.xls]_____xls_1985"/>
      <sheetName val="[입찰안.xls][입찰안.xls]_____xls_1982"/>
      <sheetName val="공종코드"/>
      <sheetName val="BD"/>
      <sheetName val="로더"/>
      <sheetName val="그레이더"/>
      <sheetName val="제요율표"/>
      <sheetName val="DT"/>
      <sheetName val="롤러"/>
      <sheetName val="BH"/>
      <sheetName val="BD운반거리"/>
      <sheetName val="디젤파일해머"/>
      <sheetName val="인력터파기품"/>
      <sheetName val="+-"/>
      <sheetName val="[입찰안.xls][입찰안.xls]_____xls_1983"/>
      <sheetName val="이폴리머공장"/>
      <sheetName val="[입찰안.xls][입찰안.xls]_____xls_2220"/>
      <sheetName val="[입찰안.xls][입찰안.xls]_____xls_2213"/>
      <sheetName val="[입찰안.xls][입찰안.xls]_____xls_2207"/>
      <sheetName val="[입찰안.xls][입찰안.xls]_____xls_2208"/>
      <sheetName val="[입찰안.xls][입찰안.xls]_____xls_2209"/>
      <sheetName val="[입찰안.xls][입찰안.xls]_____xls_2206"/>
      <sheetName val="[입찰안.xls][입찰안.xls]_____xls_2204"/>
      <sheetName val="[입찰안.xls][입찰안.xls]_____xls_1992"/>
      <sheetName val="[입찰안.xls][입찰안.xls]_____xls_1986"/>
      <sheetName val="[입찰안.xls][입찰안.xls]_____xls_1989"/>
      <sheetName val="[입찰안.xls][입찰안.xls]_____xls_1987"/>
      <sheetName val="[입찰안.xls][입찰안.xls]_____xls_1988"/>
      <sheetName val="[입찰안.xls][입찰안.xls]_____xls_1990"/>
      <sheetName val="[입찰안.xls][입찰안.xls]_____xls_1991"/>
      <sheetName val="[입찰안.xls][입찰안.xls]_____xls_2006"/>
      <sheetName val="[입찰안.xls][입찰안.xls]_____xls_1993"/>
      <sheetName val="[입찰안.xls][입찰안.xls]_____xls_1994"/>
      <sheetName val="[입찰안.xls][입찰안.xls]_____xls_1997"/>
      <sheetName val="[입찰안.xls][입찰안.xls]_____xls_1995"/>
      <sheetName val="[입찰안.xls][입찰안.xls]_____xls_1996"/>
      <sheetName val="[입찰안.xls][입찰안.xls]_____xls_1998"/>
      <sheetName val="[입찰안.xls][입찰안.xls]_____xls_2001"/>
      <sheetName val="[입찰안.xls][입찰안.xls]_____xls_1999"/>
      <sheetName val="[입찰안.xls][입찰안.xls]_____xls_2000"/>
      <sheetName val="[입찰안.xls][입찰안.xls]_____xls_2003"/>
      <sheetName val="[입찰안.xls][입찰안.xls]_____xls_2002"/>
      <sheetName val="[입찰안.xls][입찰안.xls]_____xls_2005"/>
      <sheetName val="[입찰안.xls][입찰안.xls]_____xls_2004"/>
      <sheetName val="[입찰안.xls][입찰안.xls]_____xls_2007"/>
      <sheetName val="[입찰안.xls][입찰안.xls]_____xls_2014"/>
      <sheetName val="[입찰안.xls][입찰안.xls]_____xls_2044"/>
      <sheetName val="[입찰안.xls][입찰안.xls]_____xls_2008"/>
      <sheetName val="[입찰안.xls][입찰안.xls]_____xls_2009"/>
      <sheetName val="[입찰안.xls][입찰안.xls]_____xls_2010"/>
      <sheetName val="[입찰안.xls][입찰안.xls]_____xls_2011"/>
      <sheetName val="[입찰안.xls][입찰안.xls]_____xls_2012"/>
      <sheetName val="[입찰안.xls][입찰안.xls]_____xls_2013"/>
      <sheetName val="[입찰안.xls][입찰안.xls]_____xls_2015"/>
      <sheetName val="[입찰안.xls][입찰안.xls]_____xls_2016"/>
      <sheetName val="[입찰안.xls][입찰안.xls]_____xls_2017"/>
      <sheetName val="[입찰안.xls][입찰안.xls]_____xls_2018"/>
      <sheetName val="[입찰안.xls][입찰안.xls]_____xls_2019"/>
      <sheetName val="[입찰안.xls][입찰안.xls]_____xls_2026"/>
      <sheetName val="[입찰안.xls][입찰안.xls]_____xls_2020"/>
      <sheetName val="[입찰안.xls][입찰안.xls]_____xls_2021"/>
      <sheetName val="[입찰안.xls][입찰안.xls]_____xls_2022"/>
      <sheetName val="[입찰안.xls][입찰안.xls]_____xls_2023"/>
      <sheetName val="[입찰안.xls][입찰안.xls]_____xls_2024"/>
      <sheetName val="[입찰안.xls][입찰안.xls]_____xls_2025"/>
      <sheetName val="[입찰안.xls][입찰안.xls]_____xls_2028"/>
      <sheetName val="[입찰안.xls][입찰안.xls]_____xls_2027"/>
      <sheetName val="[입찰안.xls][입찰안.xls]_____xls_2029"/>
      <sheetName val="[입찰안.xls][입찰안.xls]_____xls_2072"/>
      <sheetName val="[입찰안.xls][입찰안.xls]_____xls_2030"/>
      <sheetName val="[입찰안.xls][입찰안.xls]_____xls_2032"/>
      <sheetName val="[입찰안.xls][입찰안.xls]_____xls_2031"/>
      <sheetName val="[입찰안.xls][입찰안.xls]_____xls_2034"/>
      <sheetName val="[입찰안.xls][입찰안.xls]_____xls_2033"/>
      <sheetName val="[입찰안.xls][입찰안.xls]_____xls_2035"/>
      <sheetName val="[입찰안.xls][입찰안.xls]_____xls_2036"/>
      <sheetName val="[입찰안.xls][입찰안.xls]_____xls_2037"/>
      <sheetName val="[입찰안.xls][입찰안.xls]_____xls_2039"/>
      <sheetName val="[입찰안.xls][입찰안.xls]_____xls_2038"/>
      <sheetName val="[입찰안.xls][입찰안.xls]_____xls_2042"/>
      <sheetName val="[입찰안.xls][입찰안.xls]_____xls_2040"/>
      <sheetName val="[입찰안.xls][입찰안.xls]_____xls_2041"/>
      <sheetName val="[입찰안.xls][입찰안.xls]_____xls_2043"/>
      <sheetName val="[입찰안.xls][입찰안.xls]_____xls_2050"/>
      <sheetName val="[입찰안.xls][입찰안.xls]_____xls_2053"/>
      <sheetName val="[입찰안.xls][입찰안.xls]_____xls_2045"/>
      <sheetName val="[입찰안.xls][입찰안.xls]_____xls_2047"/>
      <sheetName val="[입찰안.xls][입찰안.xls]_____xls_2046"/>
      <sheetName val="[입찰안.xls][입찰안.xls]_____xls_2048"/>
      <sheetName val="[입찰안.xls][입찰안.xls]_____xls_2049"/>
      <sheetName val="[입찰안.xls][입찰안.xls]_____xls_2051"/>
      <sheetName val="[입찰안.xls][입찰안.xls]_____xls_2052"/>
      <sheetName val="[입찰안.xls][입찰안.xls]_____xls_2054"/>
      <sheetName val="[입찰안.xls][입찰안.xls]_____xls_2055"/>
      <sheetName val="[입찰안.xls][입찰안.xls]_____xls_2056"/>
      <sheetName val="[입찰안.xls][입찰안.xls]_____xls_2057"/>
      <sheetName val="[입찰안.xls][입찰안.xls]_____xls_2060"/>
      <sheetName val="[입찰안.xls][입찰안.xls]_____xls_2059"/>
      <sheetName val="[입찰안.xls][입찰안.xls]_____xls_2058"/>
      <sheetName val="[입찰안.xls][입찰안.xls]_____xls_2061"/>
      <sheetName val="[입찰안.xls][입찰안.xls]_____xls_2074"/>
      <sheetName val="[입찰안.xls][입찰안.xls]_____xls_2062"/>
      <sheetName val="[입찰안.xls][입찰안.xls]_____xls_2063"/>
      <sheetName val="[입찰안.xls][입찰안.xls]_____xls_2064"/>
      <sheetName val="[입찰안.xls][입찰안.xls]_____xls_2066"/>
      <sheetName val="[입찰안.xls][입찰안.xls]_____xls_2065"/>
      <sheetName val="[입찰안.xls][입찰안.xls]_____xls_2067"/>
      <sheetName val="[입찰안.xls][입찰안.xls]_____xls_2070"/>
      <sheetName val="[입찰안.xls][입찰안.xls]_____xls_2068"/>
      <sheetName val="[입찰안.xls][입찰안.xls]_____xls_2069"/>
      <sheetName val="[입찰안.xls][입찰안.xls]_____xls_2071"/>
      <sheetName val="[입찰안.xls][입찰안.xls]_____xls_2073"/>
      <sheetName val="[입찰안.xls][입찰안.xls]_____xls_2082"/>
      <sheetName val="[입찰안.xls][입찰안.xls]_____xls_2075"/>
      <sheetName val="[입찰안.xls][입찰안.xls]_____xls_2076"/>
      <sheetName val="[입찰안.xls][입찰안.xls]_____xls_2077"/>
      <sheetName val="[입찰안.xls][입찰안.xls]_____xls_2079"/>
      <sheetName val="[입찰안.xls][입찰안.xls]_____xls_2078"/>
      <sheetName val="[입찰안.xls][입찰안.xls]_____xls_2104"/>
      <sheetName val="[입찰안.xls][입찰안.xls]_____xls_2080"/>
      <sheetName val="[입찰안.xls][입찰안.xls]_____xls_2081"/>
      <sheetName val="[입찰안.xls][입찰안.xls]_____xls_2103"/>
      <sheetName val="[입찰안.xls][입찰안.xls]_____xls_2083"/>
      <sheetName val="[입찰안.xls][입찰안.xls]_____xls_2087"/>
      <sheetName val="[입찰안.xls][입찰안.xls]_____xls_2095"/>
      <sheetName val="[입찰안.xls][입찰안.xls]_____xls_2085"/>
      <sheetName val="[입찰안.xls][입찰안.xls]_____xls_2084"/>
      <sheetName val="[입찰안.xls][입찰안.xls]_____xls_2086"/>
      <sheetName val="[입찰안.xls][입찰안.xls]_____xls_2088"/>
      <sheetName val="[입찰안.xls][입찰안.xls]_____xls_2090"/>
      <sheetName val="[입찰안.xls][입찰안.xls]_____xls_2089"/>
      <sheetName val="[입찰안.xls][입찰안.xls]_____xls_2091"/>
      <sheetName val="[입찰안.xls][입찰안.xls]_____xls_2092"/>
      <sheetName val="[입찰안.xls][입찰안.xls]_____xls_2093"/>
      <sheetName val="[입찰안.xls][입찰안.xls]_____xls_2094"/>
      <sheetName val="[입찰안.xls][입찰안.xls]_____xls_2096"/>
      <sheetName val="[입찰안.xls][입찰안.xls]_____xls_2097"/>
      <sheetName val="[입찰안.xls][입찰안.xls]_____xls_2098"/>
      <sheetName val="[입찰안.xls][입찰안.xls]_____xls_2100"/>
      <sheetName val="[입찰안.xls][입찰안.xls]_____xls_2099"/>
      <sheetName val="[입찰안.xls][입찰안.xls]_____xls_2101"/>
      <sheetName val="[입찰안.xls][입찰안.xls]_____xls_2102"/>
      <sheetName val="[입찰안.xls][입찰안.xls]_____xls_2105"/>
      <sheetName val="[입찰안.xls][입찰안.xls]_____xls_2129"/>
      <sheetName val="[입찰안.xls][입찰안.xls]_____xls_2128"/>
      <sheetName val="[입찰안.xls][입찰안.xls]_____xls_2107"/>
      <sheetName val="[입찰안.xls][입찰안.xls]_____xls_2106"/>
      <sheetName val="[입찰안.xls][입찰안.xls]_____xls_2110"/>
      <sheetName val="[입찰안.xls][입찰안.xls]_____xls_2108"/>
      <sheetName val="[입찰안.xls][입찰안.xls]_____xls_2109"/>
      <sheetName val="[입찰안.xls][입찰안.xls]_____xls_2112"/>
      <sheetName val="[입찰안.xls][입찰안.xls]_____xls_2111"/>
      <sheetName val="[입찰안.xls][입찰안.xls]_____xls_2114"/>
      <sheetName val="[입찰안.xls][입찰안.xls]_____xls_2113"/>
      <sheetName val="[입찰안.xls][입찰안.xls]_____xls_2115"/>
      <sheetName val="[입찰안.xls][입찰안.xls]_____xls_2116"/>
      <sheetName val="[입찰안.xls][입찰안.xls]_____xls_2119"/>
      <sheetName val="[입찰안.xls][입찰안.xls]_____xls_2117"/>
      <sheetName val="[입찰안.xls][입찰안.xls]_____xls_2118"/>
      <sheetName val="[입찰안.xls][입찰안.xls]_____xls_2120"/>
      <sheetName val="[입찰안.xls][입찰안.xls]_____xls_2121"/>
      <sheetName val="[입찰안.xls][입찰안.xls]_____xls_2122"/>
      <sheetName val="[입찰안.xls][입찰안.xls]_____xls_2123"/>
      <sheetName val="[입찰안.xls][입찰안.xls]_____xls_2127"/>
      <sheetName val="[입찰안.xls][입찰안.xls]_____xls_2124"/>
      <sheetName val="[입찰안.xls][입찰안.xls]_____xls_2125"/>
      <sheetName val="[입찰안.xls][입찰안.xls]_____xls_2126"/>
      <sheetName val="[입찰안.xls][입찰안.xls]_____xls_2138"/>
      <sheetName val="[입찰안.xls][입찰안.xls]_____xls_2130"/>
      <sheetName val="[입찰안.xls][입찰안.xls]_____xls_2131"/>
      <sheetName val="[입찰안.xls][입찰안.xls]_____xls_2132"/>
      <sheetName val="[입찰안.xls][입찰안.xls]_____xls_2133"/>
      <sheetName val="[입찰안.xls][입찰안.xls]_____xls_2134"/>
      <sheetName val="[입찰안.xls][입찰안.xls]_____xls_2135"/>
      <sheetName val="[입찰안.xls][입찰안.xls]_____xls_2136"/>
      <sheetName val="[입찰안.xls][입찰안.xls]_____xls_2137"/>
      <sheetName val="[입찰안.xls][입찰안.xls]_____xls_2142"/>
      <sheetName val="[입찰안.xls][입찰안.xls]_____xls_2139"/>
      <sheetName val="[입찰안.xls][입찰안.xls]_____xls_2140"/>
      <sheetName val="[입찰안.xls][입찰안.xls]_____xls_2141"/>
      <sheetName val="[입찰안.xls][입찰안.xls]_____xls_2153"/>
      <sheetName val="[입찰안.xls][입찰안.xls]_____xls_2143"/>
      <sheetName val="[입찰안.xls][입찰안.xls]_____xls_2156"/>
      <sheetName val="[입찰안.xls][입찰안.xls]_____xls_2144"/>
      <sheetName val="[입찰안.xls][입찰안.xls]_____xls_2145"/>
      <sheetName val="[입찰안.xls][입찰안.xls]_____xls_2146"/>
      <sheetName val="[입찰안.xls][입찰안.xls]_____xls_2147"/>
      <sheetName val="[입찰안.xls][입찰안.xls]_____xls_2148"/>
      <sheetName val="[입찰안.xls][입찰안.xls]_____xls_2149"/>
      <sheetName val="[입찰안.xls][입찰안.xls]_____xls_2150"/>
      <sheetName val="[입찰안.xls][입찰안.xls]_____xls_2151"/>
      <sheetName val="[입찰안.xls][입찰안.xls]_____xls_2152"/>
      <sheetName val="[입찰안.xls][입찰안.xls]_____xls_2154"/>
      <sheetName val="[입찰안.xls][입찰안.xls]_____xls_2155"/>
      <sheetName val="[입찰안.xls][입찰안.xls]_____xls_2166"/>
      <sheetName val="[입찰안.xls][입찰안.xls]_____xls_2162"/>
      <sheetName val="[입찰안.xls][입찰안.xls]_____xls_2157"/>
      <sheetName val="[입찰안.xls][입찰안.xls]_____xls_2158"/>
      <sheetName val="[입찰안.xls][입찰안.xls]_____xls_2159"/>
      <sheetName val="[입찰안.xls][입찰안.xls]_____xls_2160"/>
      <sheetName val="[입찰안.xls][입찰안.xls]_____xls_2161"/>
      <sheetName val="[입찰안.xls][입찰안.xls]_____xls_2163"/>
      <sheetName val="[입찰안.xls][입찰안.xls]_____xls_2164"/>
      <sheetName val="[입찰안.xls][입찰안.xls]_____xls_2165"/>
      <sheetName val="[입찰안.xls][입찰안.xls]_____xls_2170"/>
      <sheetName val="[입찰안.xls][입찰안.xls]_____xls_2167"/>
      <sheetName val="[입찰안.xls][입찰안.xls]_____xls_2169"/>
      <sheetName val="[입찰안.xls][입찰안.xls]_____xls_2168"/>
      <sheetName val="[입찰안.xls][입찰안.xls]_____xls_2179"/>
      <sheetName val="[입찰안.xls][입찰안.xls]_____xls_2171"/>
      <sheetName val="[입찰안.xls][입찰안.xls]_____xls_2174"/>
      <sheetName val="[입찰안.xls][입찰안.xls]_____xls_2172"/>
      <sheetName val="[입찰안.xls][입찰안.xls]_____xls_2173"/>
      <sheetName val="[입찰안.xls][입찰안.xls]_____xls_2175"/>
      <sheetName val="[입찰안.xls][입찰안.xls]_____xls_2178"/>
      <sheetName val="[입찰안.xls][입찰안.xls]_____xls_2176"/>
      <sheetName val="[입찰안.xls][입찰안.xls]_____xls_2177"/>
      <sheetName val="[입찰안.xls][입찰안.xls]_____xls_2183"/>
      <sheetName val="[입찰안.xls][입찰안.xls]_____xls_2180"/>
      <sheetName val="[입찰안.xls][입찰안.xls]_____xls_2181"/>
      <sheetName val="[입찰안.xls][입찰안.xls]_____xls_2182"/>
      <sheetName val="[입찰안.xls][입찰안.xls]_____xls_2191"/>
      <sheetName val="[입찰안.xls][입찰안.xls]_____xls_2184"/>
      <sheetName val="[입찰안.xls][입찰안.xls]_____xls_2185"/>
      <sheetName val="[입찰안.xls][입찰안.xls]_____xls_2187"/>
      <sheetName val="[입찰안.xls][입찰안.xls]_____xls_2186"/>
      <sheetName val="[입찰안.xls][입찰안.xls]_____xls_2188"/>
      <sheetName val="[입찰안.xls][입찰안.xls]_____xls_2189"/>
      <sheetName val="[입찰안.xls][입찰안.xls]_____xls_2190"/>
      <sheetName val="[입찰안.xls][입찰안.xls]_____xls_2194"/>
      <sheetName val="[입찰안.xls][입찰안.xls]_____xls_2193"/>
      <sheetName val="[입찰안.xls][입찰안.xls]_____xls_2192"/>
      <sheetName val="[입찰안.xls][입찰안.xls]_____xls_2201"/>
      <sheetName val="[입찰안.xls][입찰안.xls]_____xls_2195"/>
      <sheetName val="[입찰안.xls][입찰안.xls]_____xls_2196"/>
      <sheetName val="[입찰안.xls][입찰안.xls]_____xls_2197"/>
      <sheetName val="[입찰안.xls][입찰안.xls]_____xls_2198"/>
      <sheetName val="[입찰안.xls][입찰안.xls]_____xls_2199"/>
      <sheetName val="[입찰안.xls][입찰안.xls]_____xls_2200"/>
      <sheetName val="[입찰안.xls][입찰안.xls]_____xls_2203"/>
      <sheetName val="[입찰안.xls][입찰안.xls]_____xls_2202"/>
      <sheetName val="[입찰안.xls][입찰안.xls]_____xls_2205"/>
      <sheetName val="[입찰안.xls][입찰안.xls]_____xls_2210"/>
      <sheetName val="[입찰안.xls][입찰안.xls]_____xls_2211"/>
      <sheetName val="[입찰안.xls][입찰안.xls]_____xls_2212"/>
      <sheetName val="[입찰안.xls][입찰안.xls]_____xls_2221"/>
      <sheetName val="[입찰안.xls][입찰안.xls]_____xls_2214"/>
      <sheetName val="[입찰안.xls][입찰안.xls]_____xls_2215"/>
      <sheetName val="[입찰안.xls][입찰안.xls]_____xls_2216"/>
      <sheetName val="[입찰안.xls][입찰안.xls]_____xls_2217"/>
      <sheetName val="[입찰안.xls][입찰안.xls]_____xls_2218"/>
      <sheetName val="[입찰안.xls][입찰안.xls]_____xls_2219"/>
      <sheetName val="지하시설물작성"/>
      <sheetName val="(1)본선수량집ው"/>
      <sheetName val="덕_x0000_靰"/>
      <sheetName val="4_전痠"/>
      <sheetName val="4_전矰"/>
      <sheetName val="세부내역(직접인건비)"/>
      <sheetName val="세부내역(직접경비)"/>
      <sheetName val="패널"/>
      <sheetName val="기안문"/>
      <sheetName val="B:\입찰안_xls"/>
      <sheetName val="[입찰안_xls][입찰안_xls]B:\입찰안_xls"/>
      <sheetName val="[입찰안_xls]B:\입찰안_xls"/>
      <sheetName val="[입찰안_xls][입찰안_xls][입찰안_xls]_201"/>
      <sheetName val="[입찰안_xls][입찰안_xls][입찰안_xls]_199"/>
      <sheetName val="[입찰안_xls][입찰안_xls][입찰안_xls]_200"/>
      <sheetName val="General_Data"/>
      <sheetName val="[입찰안_xls][입찰안_xls][입찰안_xls]_140"/>
      <sheetName val="[입찰안_xls][입찰안_xls][입찰안_xls]_138"/>
      <sheetName val="[입찰안_xls][입찰안_xls][입찰안_xls]_135"/>
      <sheetName val="[입찰안_xls][입찰안_xls][입찰안_xls]_137"/>
      <sheetName val="[입찰안_xls][입찰안_xls][입찰안_xls]_136"/>
      <sheetName val="[입찰안_xls][입찰안_xls][입찰안_xls]_139"/>
      <sheetName val="stability䘢䠂檱䠛檳"/>
      <sheetName val="[입찰안_xls][입찰안_xls][입찰안_xls]_143"/>
      <sheetName val="[입찰안_xls][입찰안_xls][입찰안_xls]_141"/>
      <sheetName val="[입찰안_xls][입찰안_xls][입찰안_xls]_142"/>
      <sheetName val="[입찰안_xls][입찰안_xls][입찰안_xls]_146"/>
      <sheetName val="[입찰안_xls][입찰안_xls][입찰안_xls]_145"/>
      <sheetName val="[입찰안_xls][입찰안_xls][입찰안_xls]_144"/>
      <sheetName val="[입찰안_xls][입찰안_xls][입찰안_xls]_161"/>
      <sheetName val="[입찰안_xls][입찰안_xls][입찰안_xls]_162"/>
      <sheetName val="[입찰안_xls][입찰안_xls][입찰안_xls]_163"/>
      <sheetName val="[입찰안_xls][입찰안_xls][입찰안_xls]_147"/>
      <sheetName val="[입찰안_xls][입찰안_xls][입찰안_xls]_158"/>
      <sheetName val="[입찰안_xls][입찰안_xls][입찰안_xls]_152"/>
      <sheetName val="[입찰안_xls][입찰안_xls][입찰안_xls]_151"/>
      <sheetName val="[입찰안_xls][입찰안_xls][입찰안_xls]_149"/>
      <sheetName val="[입찰안_xls][입찰안_xls][입찰안_xls]_148"/>
      <sheetName val="[입찰안_xls][입찰안_xls][입찰안_xls]_150"/>
      <sheetName val="[입찰안_xls][입찰안_xls][입찰안_xls]_157"/>
      <sheetName val="[입찰안_xls][입찰안_xls][입찰안_xls]_153"/>
      <sheetName val="[입찰안_xls][입찰안_xls][입찰안_xls]_154"/>
      <sheetName val="[입찰안_xls][입찰안_xls][입찰안_xls]_155"/>
      <sheetName val="[입찰안_xls][입찰안_xls][입찰안_xls]_156"/>
      <sheetName val="[입찰안_xls][입찰안_xls][입찰안_xls]_159"/>
      <sheetName val="[입찰안_xls][입찰안_xls][입찰안_xls]_160"/>
      <sheetName val="[입찰안_xls][입찰안_xls][입찰안_xls]_166"/>
      <sheetName val="[입찰안_xls][입찰안_xls][입찰안_xls]_167"/>
      <sheetName val="[입찰안_xls][입찰안_xls][입찰안_xls]_164"/>
      <sheetName val="[입찰안_xls][입찰안_xls][입찰안_xls]_165"/>
      <sheetName val="[입찰안_xls][입찰안_xls][입찰안_xls]_168"/>
      <sheetName val="[입찰안_xls][입찰안_xls][입찰안_xls]_169"/>
      <sheetName val="[입찰안_xls][입찰안_xls][입찰안_xls]_171"/>
      <sheetName val="[입찰안_xls][입찰안_xls][입찰안_xls]_170"/>
      <sheetName val="Sheet2_(2)"/>
      <sheetName val="[입찰안_xls][입찰안_xls][입찰안_xls]___7"/>
      <sheetName val="[입찰안_xls][입찰안_xls][입찰안_xls]_172"/>
      <sheetName val="[입찰안_xls][입찰안_xls][입찰안_xls]_173"/>
      <sheetName val="[입찰안_xls][입찰안_xls][입찰안_xls]_174"/>
      <sheetName val="[입찰안_xls][입찰안_xls][입찰안_xls]_175"/>
      <sheetName val="[입찰안_xls][입찰안_xls][입찰안_xls]_192"/>
      <sheetName val="[입찰안_xls][입찰안_xls][입찰안_xls]_190"/>
      <sheetName val="[입찰안_xls][입찰안_xls][입찰안_xls]_184"/>
      <sheetName val="[입찰안_xls][입찰안_xls][입찰안_xls]_183"/>
      <sheetName val="[입찰안_xls][입찰안_xls][입찰안_xls]_176"/>
      <sheetName val="[입찰안_xls][입찰안_xls][입찰안_xls]_178"/>
      <sheetName val="[입찰안_xls][입찰안_xls][입찰안_xls]_177"/>
      <sheetName val="[입찰안_xls][입찰안_xls][입찰안_xls]_179"/>
      <sheetName val="[입찰안_xls][입찰안_xls][입찰안_xls]_182"/>
      <sheetName val="[입찰안_xls][입찰안_xls][입찰안_xls]_181"/>
      <sheetName val="[입찰안_xls][입찰안_xls][입찰안_xls]_180"/>
      <sheetName val="[입찰안_xls][입찰안_xls][입찰안_xls]_187"/>
      <sheetName val="[입찰안_xls][입찰안_xls][입찰안_xls]_186"/>
      <sheetName val="[입찰안_xls][입찰안_xls][입찰안_xls]_185"/>
      <sheetName val="[입찰안_xls][입찰안_xls][입찰안_xls]_188"/>
      <sheetName val="[입찰안_xls][입찰안_xls][입찰안_xls]_189"/>
      <sheetName val="[입찰안_xls][입찰안_xls][입찰안_xls]_191"/>
      <sheetName val="[입찰안_xls][입찰안_xls][입찰안_xls]_193"/>
      <sheetName val="[입찰안_xls][입찰안_xls][입찰안_xls]_194"/>
      <sheetName val="[입찰안_xls][입찰안_xls][입찰안_xls]_198"/>
      <sheetName val="[입찰안_xls][입찰안_xls][입찰안_xls]_197"/>
      <sheetName val="[입찰안_xls][입찰안_xls][입찰안_xls]_196"/>
      <sheetName val="[입찰안_xls][입찰안_xls][입찰안_xls]_195"/>
      <sheetName val="[입찰안_xls][입찰안_xls][입찰안_xls]___8"/>
      <sheetName val="[입찰안_xls][입찰안_xls][입찰안_xls]___9"/>
      <sheetName val="[입찰안_xls][입찰안_xls][입찰안_xls]_207"/>
      <sheetName val="[입찰안_xls][입찰안_xls][입찰안_xls]_204"/>
      <sheetName val="[입찰안_xls][입찰안_xls][입찰안_xls]_202"/>
      <sheetName val="[입찰안_xls][입찰안_xls][입찰안_xls]_203"/>
      <sheetName val="[입찰안_xls][입찰안_xls][입찰안_xls]_206"/>
      <sheetName val="[입찰안_xls][입찰안_xls][입찰안_xls]_205"/>
      <sheetName val="A_LINE"/>
      <sheetName val="[입찰안_xls][입찰안_xls][입찰안_xls]_208"/>
      <sheetName val="[입찰안_xls][입찰안_xls][입찰안_xls]_212"/>
      <sheetName val="[입찰안_xls][입찰안_xls][입찰안_xls]_211"/>
      <sheetName val="[입찰안_xls][입찰안_xls][입찰안_xls]_209"/>
      <sheetName val="[입찰안_xls][입찰안_xls][입찰안_xls]_210"/>
      <sheetName val="[입찰안_xls][입찰안_xls][입찰안_xls]_213"/>
      <sheetName val="[입찰안_xls][입찰안_xls][입찰안_xls]_215"/>
      <sheetName val="[입찰안_xls][입찰안_xls][입찰안_xls]_214"/>
      <sheetName val="[입찰안_xls][입찰안_xls][입찰안_xls]_222"/>
      <sheetName val="[입찰안_xls][입찰안_xls][입찰안_xls]_225"/>
      <sheetName val="[입찰안_xls][입찰안_xls][입찰안_xls]_224"/>
      <sheetName val="[입찰안_xls][입찰안_xls][입찰안_xls]_216"/>
      <sheetName val="[입찰안_xls][입찰안_xls][입찰안_xls]_217"/>
      <sheetName val="[입찰안_xls][입찰안_xls][입찰안_xls]_218"/>
      <sheetName val="[입찰안_xls][입찰안_xls][입찰안_xls]_219"/>
      <sheetName val="[입찰안_xls][입찰안_xls][입찰안_xls]_220"/>
      <sheetName val="[입찰안_xls][입찰안_xls][입찰안_xls]_221"/>
      <sheetName val="[입찰안_xls][입찰안_xls][입찰안_xls]_223"/>
      <sheetName val="[입찰안_xls][입찰안_xls][입찰안_xls]_230"/>
      <sheetName val="[입찰안_xls][입찰안_xls][입찰안_xls]_226"/>
      <sheetName val="[입찰안_xls][입찰안_xls][입찰안_xls]_227"/>
      <sheetName val="[입찰안_xls][입찰안_xls][입찰안_xls]_228"/>
      <sheetName val="[입찰안_xls][입찰안_xls][입찰안_xls]_229"/>
      <sheetName val="[입찰안_xls][입찰안_xls][입찰안_xls]_236"/>
      <sheetName val="[입찰안_xls][입찰안_xls][입찰안_xls]_233"/>
      <sheetName val="[입찰안_xls][입찰안_xls][입찰안_xls]_232"/>
      <sheetName val="[입찰안_xls][입찰안_xls][입찰안_xls]_231"/>
      <sheetName val="[입찰안_xls][입찰안_xls][입찰안_xls]_234"/>
      <sheetName val="[입찰안_xls][입찰안_xls][입찰안_xls]_241"/>
      <sheetName val="[입찰안_xls][입찰안_xls][입찰안_xls]_238"/>
      <sheetName val="[입찰안_xls][입찰안_xls][입찰안_xls]_235"/>
      <sheetName val="[입찰안_xls][입찰안_xls][입찰안_xls]_237"/>
      <sheetName val="[입찰안_xls][입찰안_xls][입찰안_xls]_239"/>
      <sheetName val="[입찰안_xls][입찰안_xls][입찰안_xls]_240"/>
      <sheetName val="[입찰안_xls][입찰안_xls][입찰안_xls]_242"/>
      <sheetName val="[입찰안_xls][입찰안_xls][입찰안_xls]_243"/>
      <sheetName val="[입찰안_xls][입찰안_xls][입찰안_xls]_244"/>
      <sheetName val="[입찰안_xls][입찰안_xls][입찰안_xls]_252"/>
      <sheetName val="[입찰안_xls][입찰안_xls][입찰안_xls]_245"/>
      <sheetName val="[입찰안_xls][입찰안_xls][입찰안_xls]_249"/>
      <sheetName val="[입찰안_xls][입찰안_xls][입찰안_xls]_246"/>
      <sheetName val="[입찰안_xls][입찰안_xls][입찰안_xls]_247"/>
      <sheetName val="[입찰안_xls][입찰안_xls][입찰안_xls]_248"/>
      <sheetName val="[입찰안_xls][입찰안_xls][입찰안_xls]_250"/>
      <sheetName val="[입찰안_xls][입찰안_xls][입찰안_xls]_251"/>
      <sheetName val="[입찰안_xls][입찰안_xls][입찰안_xls]_253"/>
      <sheetName val="[입찰안_xls][입찰안_xls][입찰안_xls]_254"/>
      <sheetName val="대비표"/>
      <sheetName val="Báo cáo"/>
      <sheetName val="Báo_cáo"/>
      <sheetName val="조선용암면"/>
      <sheetName val="Cst Pkg-Eden"/>
      <sheetName val="Unt rate SS"/>
      <sheetName val="6MONTHS"/>
      <sheetName val="TONG HOP GIA TRI"/>
      <sheetName val="CHITIET VL-NC-TT -1p"/>
      <sheetName val="CHITIET VL-NC-TT-3p"/>
      <sheetName val="TONG HOP VL-NC TT"/>
      <sheetName val="TDTKP1"/>
      <sheetName val="KPVC-BD "/>
      <sheetName val="GIAVLIEU"/>
      <sheetName val="MTP"/>
      <sheetName val="working_load_¾_x0000_Ԁ_x0000_䀀ꄲ_x0007__x0000__x0000__x0000_Ā_x0000_ऀ_x0008_"/>
      <sheetName val="working_load_¾_x0000_Ԁ_x0000__x0000_툇_x000f__x0000__x0000__x0000_Ā_x0000_ऀ_x0008_"/>
      <sheetName val="working_load_¾_x0000_Ԁ_x0000_䀀붚_x000f__x0000__x0000__x0000_Ā_x0000_ऀ_x0008_"/>
      <sheetName val="working_load_¾_x0000_Ԁ_x0000__x0000_㾃_x000b__x0000__x0000__x0000_Ā_x0000_ऀ_x0008_"/>
      <sheetName val="working_load_¾_x0000_Ԁ_x0000_쀀毾_x0009__x0000__x0000__x0000_Ā_x0000_ऀ_x0008_"/>
      <sheetName val="working_load_¾_x0000_Ԁ_x0000__x0000_덯_x000e__x0000__x0000__x0000_Ā_x0000_ऀ_x0008_"/>
      <sheetName val="working_load_¾_x0000_Ԁ_x0000_쀀毾 _x0000__x0000__x0000_Ā_x0000_ऀ_x0008_"/>
      <sheetName val="working_load__x0000__x0000_Ԁ_x0000_쀀哦깠_x0001__x0000__x0000_Ā_x0000_倀"/>
      <sheetName val="working_load__x0000__x0000_Ԁ_x0000_退秚㎆_x0002__x0000__x0000_Ā_x0000_က鼪"/>
      <sheetName val="working_load__x0000__x0000_Ԁ_x0000_瀀즫㎒_x0002__x0000__x0000_Ā_x0000_က鼪"/>
      <sheetName val="working_load__x0000__x0000_Ԁ_x0000_က晻㎆_x0002__x0000__x0000_Ā_x0000_က鼪"/>
      <sheetName val="working_load__x0000__x0000_Ԁ_x0000_ 탮㎒_x0002__x0000__x0000_Ā_x0000_က鼪"/>
      <sheetName val="working_load__x0000__x0000_Ԁ_x0000_᠉㎘_x0002__x0000__x0000_Ā_x0000_က鼪"/>
      <sheetName val="working_load__x0000__x0000_Ԁ_x0000_ᕅ㎏_x0002__x0000__x0000_Ā_x0000_က鼪"/>
      <sheetName val="working_load__x0000__x0000_Ԁ_x0000_뀀㪫쏩_x0002__x0000__x0000_Ā_x0000_退렱"/>
      <sheetName val="Báo_cáo1"/>
      <sheetName val="5호광장_(만점)9"/>
      <sheetName val="인천국제_(만점)_(2)9"/>
      <sheetName val="Total_단위경유량집계9"/>
      <sheetName val="1_수인터널9"/>
      <sheetName val="준검_내역서9"/>
      <sheetName val="토공유동표(전체_당초)9"/>
      <sheetName val="3련_BOX9"/>
      <sheetName val="A_견적8"/>
      <sheetName val="BH-1_(2)9"/>
      <sheetName val="4_전기9"/>
      <sheetName val="표__지9"/>
      <sheetName val="I_설계조건9"/>
      <sheetName val="노원열병합__건축공사기성내역서9"/>
      <sheetName val="plan&amp;section_of_foundation9"/>
      <sheetName val="pile_bearing_capa_&amp;_arrenge9"/>
      <sheetName val="working_load_at_the_btm_ft_9"/>
      <sheetName val="stability_check9"/>
      <sheetName val="design_criteria9"/>
      <sheetName val="앉음벽_(2)9"/>
      <sheetName val="MSS_29"/>
      <sheetName val="2_1__노무비_평균단가산출8"/>
      <sheetName val="1_설계조건9"/>
      <sheetName val="우수관매설및_우수받이9"/>
      <sheetName val="조도계산서_(도서)9"/>
      <sheetName val="제출내역_(2)9"/>
      <sheetName val="내역_ver1_09"/>
      <sheetName val="보고서_기기리스트8"/>
      <sheetName val="7__현장관리비_9"/>
      <sheetName val="6__안전관리비9"/>
      <sheetName val="배수공_시멘트_및_골재량_산출8"/>
      <sheetName val="11_우각부_보강9"/>
      <sheetName val="_HIT__HMC_견적_3900_9"/>
      <sheetName val="소포내역_(2)9"/>
      <sheetName val="내___역8"/>
      <sheetName val="플랜트_설치8"/>
      <sheetName val="배수내역_(2)8"/>
      <sheetName val="11_산출(전열)9"/>
      <sheetName val="6_산출(동력)9"/>
      <sheetName val="7_산출(TRAY)9"/>
      <sheetName val="5_산출(전력)8"/>
      <sheetName val="수량산출서(전력간선_지하D_C)8"/>
      <sheetName val="SHEET_PILE단가8"/>
      <sheetName val="Customer_Databas8"/>
      <sheetName val="8_현장관리비8"/>
      <sheetName val="7_안전관리비8"/>
      <sheetName val="BH_1__2_8"/>
      <sheetName val="목차_8"/>
      <sheetName val="_HIT-&gt;HMC_견적(3900)8"/>
      <sheetName val="화재_탐지_설비8"/>
      <sheetName val="전_기8"/>
      <sheetName val="2차전체변경예정_(2)8"/>
      <sheetName val="6PILE__(돌출)8"/>
      <sheetName val="spc_배관견적8"/>
      <sheetName val="1_설계기준8"/>
      <sheetName val="귀래_설계_공내역서8"/>
      <sheetName val="unit_48"/>
      <sheetName val="1_취수장8"/>
      <sheetName val="도담구내_개소별_명세8"/>
      <sheetName val="개인별_순위표8"/>
      <sheetName val="세골재__T2_변경_현황8"/>
      <sheetName val="설_계8"/>
      <sheetName val="Cash_Flow-18"/>
      <sheetName val="3_1공사현황_공정표8"/>
      <sheetName val="노임_단가8"/>
      <sheetName val="投标材料清单_8"/>
      <sheetName val="내역서_8"/>
      <sheetName val="별표_8"/>
      <sheetName val="집_계_표8"/>
      <sheetName val="노임단가_(2)8"/>
      <sheetName val="3_공통공사대비8"/>
      <sheetName val="단가_및_재료비8"/>
      <sheetName val="단___산7"/>
      <sheetName val="실____단7"/>
      <sheetName val="7_공정표8"/>
      <sheetName val="단면_(2)8"/>
      <sheetName val="장비비_명세서18"/>
      <sheetName val="6__수량산출서7"/>
      <sheetName val="RETAIL_(ABOVE)8"/>
      <sheetName val="5__현장관리비(new)_8"/>
      <sheetName val="노무비_근거7"/>
      <sheetName val="제수변_수량집계표(보통)7"/>
      <sheetName val="2_대외공문8"/>
      <sheetName val="Eq__Mobilization8"/>
      <sheetName val="_갑지7"/>
      <sheetName val="장비_(2)7"/>
      <sheetName val="3BL공동구_수량7"/>
      <sheetName val="전선_및_전선관7"/>
      <sheetName val="CM_17"/>
      <sheetName val="5_동별횡주관경7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_소방공사_산출근거6"/>
      <sheetName val="기성(1차)_6"/>
      <sheetName val="Sheet1_(2)7"/>
      <sheetName val="습식및_셀프레벨링7"/>
      <sheetName val="1차_내역서7"/>
      <sheetName val="BSD_(2)6"/>
      <sheetName val="바_한일양산6"/>
      <sheetName val="Project_Brief6"/>
      <sheetName val="영업_일16"/>
      <sheetName val="기기_내역서6"/>
      <sheetName val="내역서1999_8최종7"/>
      <sheetName val="전사_(2)6"/>
      <sheetName val="BA_(2)6"/>
      <sheetName val="CP_(2)6"/>
      <sheetName val="암거_제원표7"/>
      <sheetName val="수량산출서_(2)6"/>
      <sheetName val="토공_total6"/>
      <sheetName val="참조_(2)7"/>
      <sheetName val="일위대가_7"/>
      <sheetName val="4_LINE7"/>
      <sheetName val="7_th7"/>
      <sheetName val="변경명신물량_(2)6"/>
      <sheetName val="1_CB6"/>
      <sheetName val="토공_토적표6"/>
      <sheetName val="아파트_5"/>
      <sheetName val="갑지_을지5"/>
      <sheetName val="기존단가_(2)6"/>
      <sheetName val="미납품_현황5"/>
      <sheetName val="유효폭의_계산5"/>
      <sheetName val="도담구내_개소별_명柖7"/>
      <sheetName val="danh_muc_vat_tu7"/>
      <sheetName val="Register-BG_NCC7"/>
      <sheetName val="Data_27"/>
      <sheetName val="TB_chính7"/>
      <sheetName val="Steel_pipe7"/>
      <sheetName val="Ref_pipe+Ins7"/>
      <sheetName val="Plastic_pipe7"/>
      <sheetName val="Air_Grilles7"/>
      <sheetName val="Cost_bd-&quot;A&quot;7"/>
      <sheetName val="2-2_매출분석5"/>
      <sheetName val="STEEL_BOX_단면설계(SEC_8)5"/>
      <sheetName val="설명서_5"/>
      <sheetName val="표지_(2)5"/>
      <sheetName val="단양_00_아파트-세부내역5"/>
      <sheetName val="4_2_1_마루높이_검토5"/>
      <sheetName val="4__VOs_summary6"/>
      <sheetName val="Chiet_tinh_dz356"/>
      <sheetName val="_견적서5"/>
      <sheetName val="자격_땡겨오기5"/>
      <sheetName val="1_내역(청_하역장전등)5"/>
      <sheetName val="갑지_설계_내역서5"/>
      <sheetName val="2_단면가정_(양곡1교)5"/>
      <sheetName val="ITB_COST5"/>
      <sheetName val="수량산출서_갑지5"/>
      <sheetName val="05년_상5"/>
      <sheetName val="영흥TL(UP,DOWN)_5"/>
      <sheetName val="8_PILE__(돌출)5"/>
      <sheetName val="2000_054"/>
      <sheetName val="내역(인테리어_실내)(도급)4"/>
      <sheetName val="내역(인테리어_실외)(도급)4"/>
      <sheetName val="TABLE_DB4"/>
      <sheetName val="쌍용_data_base4"/>
      <sheetName val="_FURNACE현설4"/>
      <sheetName val="97_사업추정(WEKI)4"/>
      <sheetName val="8_설치품셈4"/>
      <sheetName val="자재기성_신청서_xlsx4"/>
      <sheetName val="DATA_LISTS4"/>
      <sheetName val="내역서_제출5"/>
      <sheetName val="19_07월_세_계4"/>
      <sheetName val="19_07항목별(시트복사금지100번쓰기)4"/>
      <sheetName val="19_05월4"/>
      <sheetName val="품셈_4"/>
      <sheetName val="M-EMS_GP-570(BIT)4"/>
      <sheetName val="Bảng_mã_VT6"/>
      <sheetName val="0_목록14"/>
      <sheetName val="중기조종사_단위단가4"/>
      <sheetName val="Elec_LG4"/>
      <sheetName val="ESTI_4"/>
      <sheetName val="D_&amp;_W_sizes4"/>
      <sheetName val="Gia_vat_tu4"/>
      <sheetName val="dtct_cong4"/>
      <sheetName val="[입찰안_xls][입찰안_xls][입찰안_xls]B103"/>
      <sheetName val="[입찰안_xls][입찰안_xls][입찰안_xls]B104"/>
      <sheetName val="[입찰안_xls][입찰안_xls][입찰안_xls]B105"/>
      <sheetName val="[입찰안_xls][입찰안_xls][입찰안_xls]B106"/>
      <sheetName val="[입찰안_xls][입찰안_xls][입찰안_xls]B107"/>
      <sheetName val="[입찰안_xls][입찰안_xls][입찰안_xls]B108"/>
      <sheetName val="[입찰안_xls][입찰안_xls][입찰안_xls]B109"/>
      <sheetName val="[입찰안_xls][입찰안_xls][입찰안_xls]B110"/>
      <sheetName val="[입찰안_xls][입찰안_xls][입찰안_xls]B111"/>
      <sheetName val="[입찰안_xls][입찰안_xls][입찰안_xls]B112"/>
      <sheetName val="[입찰안_xls][입찰안_xls][입찰안_xls]B113"/>
      <sheetName val="[입찰안_xls][입찰안_xls][입찰안_xls]B114"/>
      <sheetName val="[입찰안_xls][입찰안_xls][입찰안_xls]B115"/>
      <sheetName val="[입찰안_xls][입찰안_xls][입찰안_xls]B116"/>
      <sheetName val="[입찰안_xls][입찰안_xls][입찰안_xls]B117"/>
      <sheetName val="So_sanh3"/>
      <sheetName val="[입찰안_xls][입찰안_xls][입찰안_xls]B118"/>
      <sheetName val="[입찰안_xls][입찰안_xls][입찰안_xls]B119"/>
      <sheetName val="[입찰안_xls][입찰안_xls][입찰안_xls]B120"/>
      <sheetName val="[입찰안_xls][입찰안_xls][입찰안_xls]B121"/>
      <sheetName val="[입찰안_xls][입찰안_xls][입찰안_xls]B122"/>
      <sheetName val="[입찰안_xls][입찰안_xls][입찰안_xls]B123"/>
      <sheetName val="[입찰안_xls][입찰안_xls][입찰안_xls]B124"/>
      <sheetName val="[입찰안_xls][입찰안_xls][입찰안_xls]B125"/>
      <sheetName val="[입찰안_xls][입찰안_xls][입찰안_xls]B126"/>
      <sheetName val="[입찰안_xls][입찰안_xls][입찰안_xls]B127"/>
      <sheetName val="[입찰안_xls][입찰안_xls][입찰안_xls]B128"/>
      <sheetName val="PROJ__DATA3"/>
      <sheetName val="_Beams_Sched_3"/>
      <sheetName val="견적비교표_(2)1"/>
      <sheetName val="결재방(지우지_마세요)1"/>
      <sheetName val="EXCHANGE_RATE1"/>
      <sheetName val="중강당_내역1"/>
      <sheetName val="[입찰안_xls][입찰안_xls][입찰안_xls]B129"/>
      <sheetName val="[입찰안_xls][입찰안_xls][입찰안_xls]B130"/>
      <sheetName val="[입찰안_xls][입찰안_xls][입찰안_xls]B131"/>
      <sheetName val="[입찰안_xls][입찰안_xls][입찰안_xls]B132"/>
      <sheetName val="[입찰안_xls][입찰안_xls][입찰안_xls]B133"/>
      <sheetName val="[입찰안_xls][입찰안_xls][입찰안_xls]B134"/>
      <sheetName val="[입찰안_xls][입찰안_xls][입찰안_xls]B135"/>
      <sheetName val="[입찰안_xls][입찰안_xls][입찰안_xls]B136"/>
      <sheetName val="[입찰안_xls][입찰안_xls][입찰안_xls]B137"/>
      <sheetName val="[입찰안_xls][입찰안_xls][입찰안_xls]B138"/>
      <sheetName val="[입찰안_xls][입찰안_xls][입찰안_xls]B139"/>
      <sheetName val="[입찰안_xls][입찰안_xls][입찰안_xls]B140"/>
      <sheetName val="[입찰안_xls][입찰안_xls][입찰안_xls]B141"/>
      <sheetName val="[입찰안_xls][입찰안_xls][입찰안_xls]B142"/>
      <sheetName val="[입찰안_xls][입찰안_xls][입찰안_xls]B143"/>
      <sheetName val="[입찰안_xls][입찰안_xls][입찰안_xls]B144"/>
      <sheetName val="[입찰안_xls][입찰안_xls][입찰안_xls]B145"/>
      <sheetName val="[입찰안_xls][입찰안_xls][입찰안_xls]B146"/>
      <sheetName val="[입찰안_xls][입찰안_xls][입찰안_xls]B147"/>
      <sheetName val="[입찰안_xls][입찰안_xls][입찰안_xls]B148"/>
      <sheetName val="[입찰안_xls][입찰안_xls][입찰안_xls]B149"/>
      <sheetName val="[입찰안_xls][입찰안_xls][입찰안_xls]B150"/>
      <sheetName val="[입찰안_xls][입찰안_xls][입찰안_xls]B151"/>
      <sheetName val="[입찰안_xls][입찰안_xls][입찰안_xls]B152"/>
      <sheetName val="[입찰안_xls][입찰안_xls][입찰안_xls]B153"/>
      <sheetName val="[입찰안_xls][입찰안_xls][입찰안_xls]B154"/>
      <sheetName val="[입찰안_xls][입찰안_xls][입찰안_xls]B155"/>
      <sheetName val="[입찰안_xls][입찰안_xls][입찰안_xls]B156"/>
      <sheetName val="[입찰안_xls][입찰안_xls][입찰안_xls]B157"/>
      <sheetName val="[입찰안_xls][입찰안_xls][입찰안_xls]B158"/>
      <sheetName val="[입찰안_xls][입찰안_xls][입찰안_xls]B159"/>
      <sheetName val="[입찰안_xls][입찰안_xls][입찰안_xls]B160"/>
      <sheetName val="[입찰안_xls][입찰안_xls][입찰안_xls]B161"/>
      <sheetName val="6-1_보오링(1)1"/>
      <sheetName val="실행내역서_1"/>
      <sheetName val="[입찰안_xls][입찰안_xls][입찰안_xls]B162"/>
      <sheetName val="[입찰안_xls][입찰안_xls][입찰안_xls]B163"/>
      <sheetName val="[입찰안_xls][입찰안_xls][입찰안_xls]B164"/>
      <sheetName val="[입찰안_xls][입찰안_xls][입찰안_xls]B165"/>
      <sheetName val="[입찰안_xls][입찰안_xls][입찰안_xls]B166"/>
      <sheetName val="[입찰안_xls][입찰안_xls][입찰안_xls]B167"/>
      <sheetName val="[입찰안_xls][입찰안_xls][입찰안_xls]B168"/>
      <sheetName val="[입찰안_xls][입찰안_xls][입찰안_xls]B169"/>
      <sheetName val="[입찰안_xls][입찰안_xls][입찰안_xls]B170"/>
      <sheetName val="[입찰안_xls][입찰안_xls][입찰안_xls]B171"/>
      <sheetName val="[입찰안_xls][입찰안_xls][입찰안_xls]B172"/>
      <sheetName val="[입찰안_xls][입찰안_xls][입찰안_xls]B173"/>
      <sheetName val="[입찰안_xls][입찰안_xls][입찰안_xls]B174"/>
      <sheetName val="[입찰안_xls][입찰안_xls][입찰안_xls]B175"/>
      <sheetName val="[입찰안_xls][입찰안_xls][입찰안_xls]B176"/>
      <sheetName val="[입찰안_xls][입찰안_xls][입찰안_xls]B177"/>
      <sheetName val="[입찰안_xls][입찰안_xls][입찰안_xls]B178"/>
      <sheetName val="[입찰안_xls][입찰안_xls][입찰안_xls]B179"/>
      <sheetName val="[입찰안_xls][입찰안_xls][입찰안_xls]B180"/>
      <sheetName val="[입찰안_xls][입찰안_xls][입찰안_xls]B181"/>
      <sheetName val="[입찰안_xls][입찰안_xls][입찰안_xls]B182"/>
      <sheetName val="[입찰안_xls][입찰안_xls][입찰안_xls]B183"/>
      <sheetName val="[입찰안_xls][입찰안_xls][입찰안_xls]B184"/>
      <sheetName val="[입찰안_xls][입찰안_xls][입찰안_xls]B185"/>
      <sheetName val="[입찰안_xls][입찰안_xls][입찰안_xls]B186"/>
      <sheetName val="[입찰안_xls][입찰안_xls][입찰안_xls]B187"/>
      <sheetName val="[입찰안_xls][입찰안_xls][입찰안_xls]B188"/>
      <sheetName val="[입찰안_xls][입찰안_xls][입찰안_xls]B189"/>
      <sheetName val="[입찰안_xls][입찰안_xls][입찰안_xls]B190"/>
      <sheetName val="[입찰안_xls][입찰안_xls][입찰안_xls]B191"/>
      <sheetName val="[입찰안_xls][입찰안_xls][입찰안_xls]B192"/>
      <sheetName val="[입찰안_xls][입찰안_xls][입찰안_xls]B193"/>
      <sheetName val="[입찰안_xls][입찰안_xls][입찰안_xls]B194"/>
      <sheetName val="[입찰안_xls][입찰안_xls][입찰안_xls]B195"/>
      <sheetName val="[입찰안_xls][입찰안_xls][입찰안_xls]B196"/>
      <sheetName val="[입찰안_xls][입찰안_xls][입찰안_xls]B197"/>
      <sheetName val="[입찰안_xls][입찰안_xls][입찰안_xls]B198"/>
      <sheetName val="[입찰안_xls][입찰안_xls][입찰안_xls]B199"/>
      <sheetName val="[입찰안_xls][입찰안_xls][입찰안_xls]B200"/>
      <sheetName val="TOWER_12TON1"/>
      <sheetName val="공사투입계획(변경결의)19_91"/>
      <sheetName val="노무비_월별지급현황19_91"/>
      <sheetName val="갑지(외주기성)19_91"/>
      <sheetName val="노임단가_및_기계경비1"/>
      <sheetName val="1공구원가계산서"/>
      <sheetName val="환율c­_x0000_Ԁ_x0000_쀀"/>
      <sheetName val="pile_bearing_capa_&amp;_¬_x0000_Ԁ_x0000_　촖蹻"/>
      <sheetName val="pile_bearing_capa_&amp;_¬_x0000_Ԁ_x0000_瀀濓蹮"/>
      <sheetName val="pile_bearing_capa_&amp;_¬_x0000_Ԁ_x0000_팉蹨"/>
      <sheetName val="pile_bearing_capa_&amp;_¬_x0000_Ԁ_x0000_瀀竒蹩"/>
      <sheetName val="pile_bearing_capa_&amp;_¬_x0000_Ԁ_x0000_뀀蹭"/>
      <sheetName val="pile_bearing_capa_&amp;_¬_x0000_Ԁ_x0000_℘撦"/>
      <sheetName val="GRAND_SUM"/>
      <sheetName val="_입찰안_xls__입찰안_xls__입찰안_xls_B__2"/>
      <sheetName val="_입찰안_xls__입찰안_xls__입찰안_xls_B__3"/>
      <sheetName val="_입찰안_xls__입찰안_xls__입찰안_xls_B__6"/>
      <sheetName val="_입찰안_xls__입찰안_xls__입찰안_xls_B__5"/>
      <sheetName val="_입찰안_xls__입찰안_xls__입찰안_xls_B__4"/>
      <sheetName val="_입찰안_xls__입찰안_xls__입찰안_xls_B_11"/>
      <sheetName val="_입찰안_xls__입찰안_xls__입찰안_xls_B__7"/>
      <sheetName val="_입찰안_xls__입찰안_xls__입찰안_xls_B__8"/>
      <sheetName val="_입찰안_xls__입찰안_xls__입찰안_xls_B__9"/>
      <sheetName val="_입찰안_xls__입찰안_xls__입찰안_xls_B_10"/>
      <sheetName val="_입찰안_xls__입찰안_xls__입찰안_xls_B_13"/>
      <sheetName val="_입찰안_xls__입찰안_xls__입찰안_xls_B_12"/>
      <sheetName val="_입찰안_xls__입찰안_xls__입찰안_xls_B_14"/>
      <sheetName val="_입찰안_xls__입찰안_xls__입찰안_xls_B_15"/>
      <sheetName val="_입찰안_xls__입찰안_xls__입찰안_xls_B_16"/>
      <sheetName val="_입찰안_xls__입찰안_xls__입찰안_xls____2"/>
      <sheetName val="_입찰안_xls__입찰안_xls__입찰안_xls_B_17"/>
      <sheetName val="_입찰안_xls__입찰안_xls__입찰안_xls_B_23"/>
      <sheetName val="_입찰안_xls__입찰안_xls__입찰안_xls_B_18"/>
      <sheetName val="_입찰안_xls__입찰안_xls__입찰안_xls_B_19"/>
      <sheetName val="_입찰안_xls__입찰안_xls__입찰안_xls_B_20"/>
      <sheetName val="_입찰안_xls__입찰안_xls__입찰안_xls_B_21"/>
      <sheetName val="_입찰안_xls__입찰안_xls__입찰안_xls_B_22"/>
      <sheetName val="_입찰안_xls__입찰안_xls__입찰안_xls_B_25"/>
      <sheetName val="_입찰안_xls__입찰안_xls__입찰안_xls_B_24"/>
      <sheetName val="_입찰안_xls__입찰안_xls__입찰안_xls_B_26"/>
      <sheetName val="_입찰안_xls__입찰안_xls__입찰안_xls_B_27"/>
      <sheetName val="_입찰안_xls__입찰안_xls__입찰안_xls_B_29"/>
      <sheetName val="_입찰안_xls__입찰안_xls__입찰안_xls_B_28"/>
      <sheetName val="설계기준"/>
      <sheetName val="6__안培¹_x0000__x0000_"/>
      <sheetName val="6__안培ú_x0000__x0000_"/>
      <sheetName val="equip"/>
      <sheetName val="CF"/>
      <sheetName val="확약서"/>
      <sheetName val="견적을지"/>
      <sheetName val="_입찰안.xls__입찰안.xls__입찰안.xls_B_30"/>
      <sheetName val="_입찰안.xls__입찰안.xls__입찰안.xls_B_31"/>
      <sheetName val="_입찰안.xls__입찰안.xls__입찰안.xls_B_32"/>
      <sheetName val="_입찰안.xls__입찰안.xls__입찰안.xls_B_47"/>
      <sheetName val="_입찰안.xls__입찰안.xls__입찰안.xls_B_46"/>
      <sheetName val="_입찰안.xls__입찰안.xls__입찰안.xls_B_45"/>
      <sheetName val="_입찰안.xls__입찰안.xls__입찰안.xls_B_33"/>
      <sheetName val="_입찰안.xls__입찰안.xls__입찰안.xls_B_35"/>
      <sheetName val="_입찰안.xls__입찰안.xls__입찰안.xls_B_40"/>
      <sheetName val="_입찰안.xls__입찰안.xls__입찰안.xls_B_34"/>
      <sheetName val="_입찰안.xls__입찰안.xls__입찰안.xls_B_41"/>
      <sheetName val="_입찰안.xls__입찰안.xls__입찰안.xls_B_36"/>
      <sheetName val="_입찰안.xls__입찰안.xls__입찰안.xls_B_37"/>
      <sheetName val="_입찰안.xls__입찰안.xls__입찰안.xls_B_42"/>
      <sheetName val="_입찰안.xls__입찰안.xls__입찰안.xls_B_38"/>
      <sheetName val="_입찰안.xls__입찰안.xls__입찰안.xls_B_39"/>
      <sheetName val="_입찰안.xls__입찰안.xls__입찰안.xls_B_43"/>
      <sheetName val="_입찰안.xls__입찰안.xls__입찰안.xls_B_44"/>
      <sheetName val="_입찰안.xls__입찰안.xls__입찰안.xls_B_48"/>
      <sheetName val="_입찰안_xls__입찰안_xls__입찰안_xls____1"/>
      <sheetName val="_입찰안_xls__입찰안_xls__입찰안_xls____3"/>
      <sheetName val="_입찰안_xls__입찰안_xls__입찰안_xls_B__1"/>
      <sheetName val="_입찰안.xls__입찰안.xls__입찰안.xls_B_53"/>
      <sheetName val="_입찰안.xls__입찰안.xls__입찰안.xls_B_49"/>
      <sheetName val="_입찰안.xls__입찰안.xls__입찰안.xls_B_50"/>
      <sheetName val="_입찰안.xls__입찰안.xls__입찰안.xls_B_51"/>
      <sheetName val="_입찰안.xls__입찰안.xls__입찰안.xls_B_52"/>
      <sheetName val="_입찰안.xls__입찰안.xls__입찰안.xls_B_54"/>
      <sheetName val="_입찰안.xls__입찰안.xls__입찰안.xls_B_55"/>
      <sheetName val="_입찰안.xls__입찰안.xls__입찰안.xls_B_57"/>
      <sheetName val="_입찰안.xls__입찰안.xls__입찰안.xls_B_58"/>
      <sheetName val="_입찰안.xls__입찰안.xls__입찰안.xls_B_56"/>
      <sheetName val="_입찰안.xls__입찰안.xls__입찰안.xls_B_64"/>
      <sheetName val="_입찰안.xls__입찰안.xls__입찰안.xls_B_63"/>
      <sheetName val="_입찰안.xls__입찰안.xls__입찰안.xls_B_62"/>
      <sheetName val="_입찰안.xls__입찰안.xls__입찰안.xls_B_61"/>
      <sheetName val="_입찰안.xls__입찰안.xls__입찰안.xls_B_60"/>
      <sheetName val="_입찰안.xls__입찰안.xls__입찰안.xls_B_59"/>
      <sheetName val="_입찰안.xls__입찰안.xls__입찰안.xls_B_67"/>
      <sheetName val="_입찰안.xls__입찰안.xls__입찰안.xls_B_66"/>
      <sheetName val="_입찰안.xls__입찰안.xls__입찰안.xls_B_65"/>
      <sheetName val="_입찰안.xls__입찰안.xls__입찰안.xls_B_68"/>
      <sheetName val="_입찰안.xls__입찰안.xls__입찰안.xls_B_70"/>
      <sheetName val="_입찰안.xls__입찰안.xls__입찰안.xls_B_69"/>
      <sheetName val="_입찰안.xls__입찰안.xls__입찰안.xls_B_71"/>
      <sheetName val="_입찰안.xls__입찰안.xls__입찰안.xls_B_84"/>
      <sheetName val="_입찰안.xls__입찰안.xls__입찰안.xls_B_86"/>
      <sheetName val="_입찰안.xls__입찰안.xls__입찰안.xls_B_85"/>
      <sheetName val="_입찰안.xls__입찰안.xls__입찰안.xls_B_82"/>
      <sheetName val="_입찰안.xls__입찰안.xls__입찰안.xls_B_73"/>
      <sheetName val="_입찰안.xls__입찰안.xls__입찰안.xls_B_72"/>
      <sheetName val="_입찰안.xls__입찰안.xls__입찰안.xls_B_77"/>
      <sheetName val="_입찰안.xls__입찰안.xls__입찰안.xls_B_83"/>
      <sheetName val="_입찰안.xls__입찰안.xls__입찰안.xls_B_74"/>
      <sheetName val="_입찰안.xls__입찰안.xls__입찰안.xls_B_75"/>
      <sheetName val="_입찰안.xls__입찰안.xls__입찰안.xls_B_76"/>
      <sheetName val="_입찰안.xls__입찰안.xls__입찰안.xls_B_79"/>
      <sheetName val="_입찰안.xls__입찰안.xls__입찰안.xls_B_78"/>
      <sheetName val="_입찰안.xls__입찰안.xls__입찰안.xls_B_80"/>
      <sheetName val="_입찰안.xls__입찰안.xls__입찰안.xls_B_81"/>
      <sheetName val="_입찰안.xls__입찰안.xls__입찰안.xls_B_88"/>
      <sheetName val="_입찰안.xls__입찰안.xls__입찰안.xls_B_87"/>
      <sheetName val="_입찰안.xls__입찰안.xls__입찰안.xls_B_95"/>
      <sheetName val="_입찰안.xls__입찰안.xls__입찰안.xls_B_97"/>
      <sheetName val="_입찰안.xls__입찰안.xls__입찰안.xls_B_96"/>
      <sheetName val="_입찰안.xls__입찰안.xls__입찰안.xls_B_89"/>
      <sheetName val="_입찰안.xls__입찰안.xls__입찰안.xls_B_90"/>
      <sheetName val="_입찰안.xls__입찰안.xls__입찰안.xls_B_91"/>
      <sheetName val="_입찰안.xls__입찰안.xls__입찰안.xls_B_93"/>
      <sheetName val="_입찰안.xls__입찰안.xls__입찰안.xls_B_92"/>
      <sheetName val="_입찰안.xls__입찰안.xls__입찰안.xls_B_94"/>
      <sheetName val="_입찰안.xls__입찰안.xls__입찰안.xls_B_99"/>
      <sheetName val="_입찰안.xls__입찰안.xls__입찰안.xls__102"/>
      <sheetName val="_입찰안.xls__입찰안.xls__입찰안.xls__101"/>
      <sheetName val="_입찰안.xls__입찰안.xls__입찰안.xls_B_98"/>
      <sheetName val="_입찰안.xls__입찰안.xls__입찰안.xls__103"/>
      <sheetName val="_입찰안.xls__입찰안.xls__입찰안.xls__100"/>
      <sheetName val="_입찰안.xls__입찰안.xls__입찰안.xls__104"/>
      <sheetName val="_입찰안.xls__입찰안.xls__입찰안.xls__105"/>
      <sheetName val="_입찰안.xls__입찰안.xls__입찰안.xls__107"/>
      <sheetName val="_입찰안.xls__입찰안.xls__입찰안.xls__106"/>
      <sheetName val="_입찰안.xls__입찰안.xls__입찰안.xls__108"/>
      <sheetName val="_입찰안.xls__입찰안.xls__입찰안.xls__112"/>
      <sheetName val="_입찰안.xls__입찰안.xls__입찰안.xls__110"/>
      <sheetName val="_입찰안.xls__입찰안.xls__입찰안.xls__109"/>
      <sheetName val="_입찰안.xls__입찰안.xls__입찰안.xls__111"/>
      <sheetName val="DM_BBNT"/>
      <sheetName val="TCVN"/>
      <sheetName val="[입찰안.xls]B_17"/>
      <sheetName val="[입찰안.xls]B__5"/>
      <sheetName val="[입찰안.xls]B__4"/>
      <sheetName val="[입찰안.xls]B__8"/>
      <sheetName val="[입찰안.xls]B__6"/>
      <sheetName val="[입찰안.xls]B_23"/>
      <sheetName val="[입찰안.xls]B__7"/>
      <sheetName val="[입찰안.xls]B__9"/>
      <sheetName val="[입찰안.xls]B_10"/>
      <sheetName val="[입찰안.xls]B_11"/>
      <sheetName val="[입찰안.xls]B_12"/>
      <sheetName val="[입찰안.xls]B_13"/>
      <sheetName val="[입찰안.xls]B_14"/>
      <sheetName val="[입찰안.xls]B_15"/>
      <sheetName val="[입찰안.xls]B_16"/>
      <sheetName val="[입찰안.xls]B_18"/>
      <sheetName val="[입찰안.xls]B_19"/>
      <sheetName val="[입찰안.xls]B_20"/>
      <sheetName val="[입찰안.xls]B_21"/>
      <sheetName val="[입찰안.xls]B_22"/>
      <sheetName val="[입찰안.xls]B_25"/>
      <sheetName val="[입찰안.xls]B_24"/>
      <sheetName val="[입찰안.xls]B_26"/>
      <sheetName val="[입찰안.xls]B_27"/>
      <sheetName val="[입찰안_xls]___2"/>
      <sheetName val="[입찰안_xls]___1"/>
      <sheetName val="[입찰안_xls]B__2"/>
      <sheetName val="[입찰안_xls]B__3"/>
      <sheetName val="[입찰안_xls]___3"/>
      <sheetName val="[입찰안_xls]B__1"/>
      <sheetName val="[입찰안_xls]B__4"/>
      <sheetName val="[입찰안.xls]B_28"/>
      <sheetName val="[입찰안.xls]B_46"/>
      <sheetName val="[입찰안.xls]B_45"/>
      <sheetName val="[입찰안.xls]B_44"/>
      <sheetName val="[입찰안.xls]B_33"/>
      <sheetName val="[입찰안.xls]B_31"/>
      <sheetName val="[입찰안.xls]B_30"/>
      <sheetName val="[입찰안.xls]B_29"/>
      <sheetName val="[입찰안.xls]B_35"/>
      <sheetName val="[입찰안.xls]B_32"/>
      <sheetName val="[입찰안.xls]B_40"/>
      <sheetName val="[입찰안.xls]B_34"/>
      <sheetName val="[입찰안.xls]B_41"/>
      <sheetName val="[입찰안.xls]B_36"/>
      <sheetName val="[입찰안.xls]B_37"/>
      <sheetName val="[입찰안.xls]B_42"/>
      <sheetName val="[입찰안.xls]B_38"/>
      <sheetName val="[입찰안.xls]B_39"/>
      <sheetName val="[입찰안.xls]B_43"/>
      <sheetName val="[입찰안.xls]B_54"/>
      <sheetName val="[입찰안.xls]B_53"/>
      <sheetName val="[입찰안.xls]B_47"/>
      <sheetName val="[입찰안.xls]B_48"/>
      <sheetName val="[입찰안.xls]B_51"/>
      <sheetName val="[입찰안.xls]B_50"/>
      <sheetName val="[입찰안.xls]B_49"/>
      <sheetName val="[입찰안.xls]B_52"/>
      <sheetName val="[입찰안.xls]B_55"/>
      <sheetName val="[입찰안.xls]B_56"/>
      <sheetName val="[입찰안.xls]B_57"/>
      <sheetName val="[입찰안.xls]B_60"/>
      <sheetName val="[입찰안.xls]B_59"/>
      <sheetName val="[입찰안.xls]B_58"/>
      <sheetName val="평가표"/>
      <sheetName val="장비코드표_0506015"/>
      <sheetName val="2007년_생산1부장비5"/>
      <sheetName val="2008년_생산부전장비코드5"/>
      <sheetName val="DDB부_장비_관리현황5"/>
      <sheetName val="Xunit_(단위환산)5"/>
      <sheetName val="01__DATA4"/>
      <sheetName val="SCOPE_OF_WORK4"/>
      <sheetName val="DGCT_(01)4"/>
      <sheetName val="Chi_tiet4"/>
      <sheetName val="nhôm_1,2mm4"/>
      <sheetName val="nhôm_1,4mm4"/>
      <sheetName val="Phan_tich_ca_may3"/>
      <sheetName val="Chenh_lech_ca_may3"/>
      <sheetName val="TLg_CN&amp;Laixe3"/>
      <sheetName val="TLg_CN&amp;Laixe_(2)3"/>
      <sheetName val="TLg_Laitau3"/>
      <sheetName val="TLg_Laitau_(2)3"/>
      <sheetName val="Cọc_nhồi3"/>
      <sheetName val="Gia_VLNCMTC3"/>
      <sheetName val="Dầm_13"/>
      <sheetName val="Chiet_tinh_don_gia_CM3"/>
      <sheetName val="Sàn_T13"/>
      <sheetName val="Lỗ_thông_gió3"/>
      <sheetName val="Sàn_tầng_01_(_old_)3"/>
      <sheetName val="Measure_13063"/>
      <sheetName val="EE_(3)3"/>
      <sheetName val="Div26_-_Elect2"/>
      <sheetName val="RAB_AR&amp;STR2"/>
      <sheetName val="Isolasi_Luar_Dalam2"/>
      <sheetName val="Isolasi_Luar2"/>
      <sheetName val="U_P_Breakdown2"/>
      <sheetName val="할증_2"/>
      <sheetName val="간접비_총괄표2"/>
      <sheetName val="1_R18_BF2"/>
      <sheetName val="6_External_works-R182"/>
      <sheetName val="Bill_01_-_CTN2"/>
      <sheetName val="020_235_23632"/>
      <sheetName val="CHITIET_VL-NC-TT1p2"/>
      <sheetName val="Project_Infor2"/>
      <sheetName val="Data_input2"/>
      <sheetName val="_입찰안_xls_직접뀀鞖_2"/>
      <sheetName val="_입찰안_xls__입찰안_xls_직접뀀鞖_2"/>
      <sheetName val="bang_TH2"/>
      <sheetName val="[입찰안_xls][입찰안_xls][입찰안_xls]__10"/>
      <sheetName val="[입찰안_xls][입찰안_xls]직접뀀鞖/3"/>
      <sheetName val="[입찰안_xls][입찰안_xls][입찰안_xls]__11"/>
      <sheetName val="[입찰안_xls][입찰안_xls][입찰안_xls]_256"/>
      <sheetName val="[입찰안_xls][입찰안_xls][입찰안_xls]_257"/>
      <sheetName val="[입찰안_xls][입찰안_xls][입찰안_xls]_255"/>
      <sheetName val="[입찰안_xls][입찰안_xls][입찰안_xls]_258"/>
      <sheetName val="[입찰안_xls][입찰안_xls][입찰안_xls]_259"/>
      <sheetName val="[입찰안_xls][입찰안_xls][입찰안_xls]_260"/>
      <sheetName val="[입찰안_xls][입찰안_xls][입찰안_xls]_261"/>
      <sheetName val="[입찰안_xls][입찰안_xls][입찰안_xls]_262"/>
      <sheetName val="[입찰안_xls][입찰안_xls][입찰안_xls]_263"/>
      <sheetName val="[입찰안_xls][입찰안_xls][입찰안_xls]_264"/>
      <sheetName val="Phan_tho2"/>
      <sheetName val="Tien_Thuong2"/>
      <sheetName val="NC_XL_6T_cuoi_01_CTy2"/>
      <sheetName val="Data_-6T_dau2"/>
      <sheetName val="Cong_6T2"/>
      <sheetName val="[입찰안_xls][입찰안_xls][입찰안_xls]_265"/>
      <sheetName val="[입찰안_xls][입찰안_xls][입찰안_xls]_266"/>
      <sheetName val="[입찰안_xls][입찰안_xls][입찰안_xls]_267"/>
      <sheetName val="[입찰안_xls][입찰안_xls][입찰안_xls]_268"/>
      <sheetName val="[입찰안_xls][입찰안_xls][입찰안_xls]_269"/>
      <sheetName val="[입찰안_xls][입찰안_xls][입찰안_xls]_270"/>
      <sheetName val="[입찰안_xls][입찰안_xls][입찰안_xls]_271"/>
      <sheetName val="[입찰안_xls][입찰안_xls][입찰안_xls]_272"/>
      <sheetName val="[입찰안_xls][입찰안_xls][입찰안_xls]_273"/>
      <sheetName val="[입찰안_xls][입찰안_xls][입찰안_xls]_274"/>
      <sheetName val="[입찰안_xls][입찰안_xls][입찰안_xls]_275"/>
      <sheetName val="[입찰안_xls][입찰안_xls][입찰안_xls]_276"/>
      <sheetName val="[입찰안_xls][입찰안_xls][입찰안_xls]_277"/>
      <sheetName val="[입찰안_xls][입찰안_xls][입찰안_xls]_291"/>
      <sheetName val="[입찰안_xls][입찰안_xls][입찰안_xls]_290"/>
      <sheetName val="_HIT__HMC_견ꉀ펔ɠ"/>
      <sheetName val="[입찰안_xls][입찰안_xls][입찰안_xls]_289"/>
      <sheetName val="새로이_설치할_정비기반시설_조서_나번_(2)"/>
      <sheetName val="정리계앀"/>
      <sheetName val="정리계"/>
      <sheetName val="plan&amp;section_of勉"/>
      <sheetName val="Khoi_luong"/>
      <sheetName val="[입찰안_xls][입찰안_xls][입찰안_xls]_278"/>
      <sheetName val="[입찰안_xls][입찰안_xls][입찰안_xls]_279"/>
      <sheetName val="[입찰안_xls][입찰안_xls][입찰안_xls]_280"/>
      <sheetName val="[입찰안_xls][입찰안_xls][입찰안_xls]_288"/>
      <sheetName val="[입찰안_xls][입찰안_xls][입찰안_xls]_287"/>
      <sheetName val="[입찰안_xls][입찰안_xls][입찰안_xls]_286"/>
      <sheetName val="[입찰안_xls][입찰안_xls][입찰안_xls]_285"/>
      <sheetName val="[입찰안_xls][입찰안_xls][입찰안_xls]_284"/>
      <sheetName val="[입찰안_xls][입찰안_xls][입찰안_xls]_281"/>
      <sheetName val="[입찰안_xls][입찰안_xls][입찰안_xls]_282"/>
      <sheetName val="[입찰안_xls][입찰안_xls][입찰안_xls]_283"/>
      <sheetName val="[입찰안_xls][입찰안_xls][입찰안_xls]_292"/>
      <sheetName val="[입찰안_xls][입찰안_xls][입찰안_xls]_293"/>
      <sheetName val="[입찰안_xls][입찰안_xls][입찰안_xls]_294"/>
      <sheetName val="[입찰안_xls][입찰안_xls][입찰안_xls]_295"/>
      <sheetName val="co-no_2"/>
      <sheetName val="(1)2002년_매출목표_산출"/>
      <sheetName val="[입찰안_xls][입찰안_xls][입찰안_xls]_296"/>
      <sheetName val="[입찰안_xls][입찰안_xls][입찰안_xls]_297"/>
      <sheetName val="[입찰안_xls][입찰안_xls][입찰안_xls]_298"/>
      <sheetName val="[입찰안_xls][입찰안_xls][입찰안_xls]_299"/>
      <sheetName val="[입찰안_xls][입찰안_xls][입찰안_xls]_300"/>
      <sheetName val="[입찰안_xls][입찰안_xls][입찰안_xls]_301"/>
      <sheetName val="[입찰안_xls][입찰안_xls][입찰안_xls]_302"/>
      <sheetName val="[입찰안_xls][입찰안_xls][입찰안_xls]_303"/>
      <sheetName val="[입찰안_xls][입찰안_xls][입찰안_xls]_304"/>
      <sheetName val="[입찰안_xls][입찰안_xls][입찰안_xls]_305"/>
      <sheetName val="[입찰안_xls][입찰안_xls][입찰안_xls]_306"/>
      <sheetName val="[입찰안_xls][입찰안_xls][입찰안_xls]_307"/>
      <sheetName val="[입찰안_xls][입찰안_xls][입찰안_xls]_308"/>
      <sheetName val="[입찰안_xls][입찰안_xls][입찰안_xls]_309"/>
      <sheetName val="[입찰안_xls][입찰안_xls][입찰안_xls]_310"/>
      <sheetName val="[입찰안_xls][입찰안_xls][입찰안_xls]_311"/>
      <sheetName val="[입찰안_xls][입찰안_xls][입찰안_xls]_312"/>
      <sheetName val="[입찰안_xls][입찰안_xls][입찰안_xls]_347"/>
      <sheetName val="[입찰안_xls][입찰안_xls][입찰안_xls]_313"/>
      <sheetName val="[입찰안_xls][입찰안_xls][입찰안_xls]_314"/>
      <sheetName val="[입찰안_xls][입찰안_xls][입찰안_xls]_315"/>
      <sheetName val="[입찰안_xls][입찰안_xls][입찰안_xls]_316"/>
      <sheetName val="[입찰안_xls][입찰안_xls][입찰안_xls]_317"/>
      <sheetName val="[입찰안_xls][입찰안_xls][입찰안_xls]_318"/>
      <sheetName val="[입찰안_xls][입찰안_xls][입찰안_xls]_319"/>
      <sheetName val="[입찰안_xls][입찰안_xls][입찰안_xls]_320"/>
      <sheetName val="[입찰안_xls][입찰안_xls][입찰안_xls]_321"/>
      <sheetName val="[입찰안_xls][입찰안_xls][입찰안_xls]_322"/>
      <sheetName val="[입찰안_xls][입찰안_xls][입찰안_xls]_323"/>
      <sheetName val="[입찰안_xls][입찰안_xls][입찰안_xls]_324"/>
      <sheetName val="[입찰안_xls][입찰안_xls][입찰안_xls]_325"/>
      <sheetName val="[입찰안_xls][입찰안_xls][입찰안_xls]_326"/>
      <sheetName val="[입찰안_xls][입찰안_xls][입찰안_xls]_327"/>
      <sheetName val="[입찰안_xls][입찰안_xls][입찰안_xls]_328"/>
      <sheetName val="F_D_SEC__PROP"/>
      <sheetName val="[입찰안_xls][입찰안_xls][입찰안_xls]_329"/>
      <sheetName val="[입찰안_xls][입찰안_xls][입찰안_xls]_330"/>
      <sheetName val="[입찰안_xls][입찰안_xls][입찰안_xls]_331"/>
      <sheetName val="[입찰안_xls][입찰안_xls][입찰안_xls]_332"/>
      <sheetName val="[입찰안_xls][입찰안_xls][입찰안_xls]_333"/>
      <sheetName val="[입찰안_xls][입찰안_xls][입찰안_xls]_334"/>
      <sheetName val="[입찰안_xls][입찰안_xls][입찰안_xls]_335"/>
      <sheetName val="[입찰안_xls][입찰안_xls][입찰안_xls]_336"/>
      <sheetName val="[입찰안_xls][입찰안_xls][입찰안_xls]_337"/>
      <sheetName val="[입찰안_xls][입찰안_xls][입찰안_xls]_338"/>
      <sheetName val="[입찰안_xls][입찰안_xls][입찰안_xls]_339"/>
      <sheetName val="[입찰안_xls][입찰안_xls][입찰안_xls]_340"/>
      <sheetName val="[입찰안_xls][입찰안_xls][입찰안_xls]_341"/>
      <sheetName val="[입찰안_xls][입찰안_xls][입찰안_xls]_342"/>
      <sheetName val="[입찰안_xls][입찰안_xls][입찰안_xls]_343"/>
      <sheetName val="[입찰안_xls][입찰안_xls][입찰안_xls]_344"/>
      <sheetName val="[입찰안_xls][입찰안_xls][입찰안_xls]_345"/>
      <sheetName val="[입찰안_xls][입찰안_xls][입찰안_xls]_346"/>
      <sheetName val="[입찰안_xls][입찰안_xls][입찰안_xls]_348"/>
      <sheetName val="[입찰안_xls][입찰안_xls][입찰안_xls]_349"/>
      <sheetName val="[입찰안_xls][입찰안_xls][입찰안_xls]_350"/>
      <sheetName val="[입찰안_xls][입찰안_xls][입찰안_xls]_351"/>
      <sheetName val="[입찰안_xls][입찰안_xls][입찰안_xls]_352"/>
      <sheetName val="[입찰안_xls][입찰안_xls][입찰안_xls]_353"/>
      <sheetName val="[입찰안_xls][입찰안_xls][입찰안_xls]_354"/>
      <sheetName val="[입찰안_xls][입찰안_xls][입찰안_xls]_355"/>
      <sheetName val="[입찰안_xls][입찰안_xls][입찰안_xls]_356"/>
      <sheetName val="[입찰안_xls][입찰안_xls][입찰안_xls]_357"/>
      <sheetName val="[입찰안_xls][입찰안_xls][입찰안_xls]_395"/>
      <sheetName val="[입찰안_xls][입찰안_xls][입찰안_xls]_396"/>
      <sheetName val="[입찰안_xls][입찰안_xls][입찰안_xls]_397"/>
      <sheetName val="PA"/>
      <sheetName val="[입찰안_xls][입찰안_xls][입찰안_xls]_385"/>
      <sheetName val="[입찰안_xls][입찰안_xls][입찰안_xls]_386"/>
      <sheetName val="[입찰안_xls][입찰안_xls][입찰안_xls]_391"/>
      <sheetName val="[입찰안_xls][입찰안_xls][입찰안_xls]_361"/>
      <sheetName val="[입찰안_xls][입찰안_xls][입찰안_xls]_358"/>
      <sheetName val="[입찰안_xls][입찰안_xls][입찰안_xls]_359"/>
      <sheetName val="[입찰안_xls][입찰안_xls][입찰안_xls]_360"/>
      <sheetName val="[입찰안_xls][입찰안_xls][입찰안_xls]_362"/>
      <sheetName val="[입찰안_xls][입찰안_xls][입찰안_xls]_363"/>
      <sheetName val="[입찰안_xls][입찰안_xls][입찰안_xls]_364"/>
      <sheetName val="[입찰안_xls][입찰안_xls][입찰안_xls]_365"/>
      <sheetName val="[입찰안_xls][입찰안_xls][입찰안_xls]_366"/>
      <sheetName val="[입찰안_xls][입찰안_xls][입찰안_xls]_367"/>
      <sheetName val="[입찰안_xls][입찰안_xls][입찰안_xls]_368"/>
      <sheetName val="[입찰안_xls][입찰안_xls][입찰안_xls]_369"/>
      <sheetName val="[입찰안_xls][입찰안_xls][입찰안_xls]_370"/>
      <sheetName val="[입찰안_xls][입찰안_xls][입찰안_xls]_371"/>
      <sheetName val="[입찰안_xls][입찰안_xls][입찰안_xls]_372"/>
      <sheetName val="[입찰안_xls][입찰안_xls][입찰안_xls]_374"/>
      <sheetName val="[입찰안_xls][입찰안_xls][입찰안_xls]_373"/>
      <sheetName val="[입찰안_xls][입찰안_xls][입찰안_xls]_375"/>
      <sheetName val="[입찰안_xls][입찰안_xls][입찰안_xls]_376"/>
      <sheetName val="[입찰안_xls][입찰안_xls][입찰안_xls]_377"/>
      <sheetName val="[입찰안_xls][입찰안_xls][입찰안_xls]_378"/>
      <sheetName val="[입찰안_xls][입찰안_xls][입찰안_xls]_379"/>
      <sheetName val="[입찰안_xls][입찰안_xls][입찰안_xls]_380"/>
      <sheetName val="[입찰안_xls][입찰안_xls][입찰안_xls]_381"/>
      <sheetName val="[입찰안_xls][입찰안_xls][입찰안_xls]_382"/>
      <sheetName val="[입찰안_xls][입찰안_xls][입찰안_xls]_383"/>
      <sheetName val="[입찰안_xls][입찰안_xls][입찰안_xls]_384"/>
      <sheetName val="[입찰안_xls][입찰안_xls][입찰안_xls]_387"/>
      <sheetName val="[입찰안_xls][입찰안_xls][입찰안_xls]_388"/>
      <sheetName val="[입찰안_xls][입찰안_xls][입찰안_xls]_389"/>
      <sheetName val="[입찰안_xls][입찰안_xls][입찰안_xls]_390"/>
      <sheetName val="[입찰안_xls][입찰안_xls][입찰안_xls]_392"/>
      <sheetName val="[입찰안_xls][입찰안_xls][입찰안_xls]_393"/>
      <sheetName val="[입찰안_xls][입찰안_xls][입찰안_xls]_394"/>
      <sheetName val="[입찰안_xls][입찰안_xls][입찰안_xls]_398"/>
      <sheetName val="[입찰안_xls][입찰안_xls][입찰안_xls]_399"/>
      <sheetName val="[입찰안_xls][입찰안_xls][입찰안_xls]_400"/>
      <sheetName val="[입찰안_xls][입찰안_xls][입찰안_xls]_401"/>
      <sheetName val="[입찰안_xls][입찰안_xls][입찰안_xls]_402"/>
      <sheetName val="[입찰안_xls][입찰안_xls][입찰안_xls]_420"/>
      <sheetName val="[입찰안_xls][입찰안_xls][입찰안_xls]_413"/>
      <sheetName val="[입찰안_xls][입찰안_xls][입찰안_xls]_414"/>
      <sheetName val="[입찰안_xls][입찰안_xls][입찰안_xls]_410"/>
      <sheetName val="[입찰안_xls][입찰안_xls][입찰안_xls]_411"/>
      <sheetName val="[입찰안_xls][입찰안_xls][입찰안_xls]_407"/>
      <sheetName val="[입찰안_xls][입찰안_xls][입찰안_xls]_409"/>
      <sheetName val="[입찰안_xls][입찰안_xls][입찰안_xls]_408"/>
      <sheetName val="DTICH_(Full)"/>
      <sheetName val="COST_SUMMARY"/>
      <sheetName val="Xuly_Data"/>
      <sheetName val="TL_rieng"/>
      <sheetName val="Thuc_thanh"/>
      <sheetName val="Cost_factor"/>
      <sheetName val="Item_list"/>
      <sheetName val="Sheet_Template_Empty"/>
      <sheetName val="[입찰안_xls][입찰안_xls][입찰안_xls]_403"/>
      <sheetName val="[입찰안_xls][입찰안_xls][입찰안_xls]_404"/>
      <sheetName val="[입찰안_xls][입찰안_xls][입찰안_xls]_405"/>
      <sheetName val="[입찰안_xls][입찰안_xls][입찰안_xls]_406"/>
      <sheetName val="[입찰안_xls][입찰안_xls][입찰안_xls]_412"/>
      <sheetName val="[입찰안_xls][입찰안_xls][입찰안_xls]_415"/>
      <sheetName val="[입찰안_xls][입찰안_xls][입찰안_xls]_416"/>
      <sheetName val="[입찰안_xls][입찰안_xls][입찰안_xls]_417"/>
      <sheetName val="[입찰안_xls][입찰안_xls][입찰안_xls]_418"/>
      <sheetName val="[입찰안_xls][입찰안_xls][입찰안_xls]_419"/>
      <sheetName val="[입찰안_xls][입찰안_xls][입찰안_xls]_421"/>
      <sheetName val="[입찰안_xls][입찰안_xls][입찰안_xls]_422"/>
      <sheetName val="[입찰안_xls][입찰안_xls][입찰안_xls]_423"/>
      <sheetName val="[입찰안_xls][입찰안_xls][입찰안_xls]_424"/>
      <sheetName val="[입찰안_xls][입찰안_xls][입찰안_xls]_425"/>
      <sheetName val="[입찰안_xls][입찰안_xls][입찰안_xls]_426"/>
      <sheetName val="[입찰안_xls][입찰안_xls][입찰안_xls]_427"/>
      <sheetName val="[입찰안_xls][입찰안_xls][입찰안_xls]_428"/>
      <sheetName val="[입찰안_xls][입찰안_xls][입찰안_xls]_429"/>
      <sheetName val="[입찰안_xls][입찰안_xls][입찰안_xls]_430"/>
      <sheetName val="[입찰안_xls][입찰안_xls][입찰안_xls]_431"/>
      <sheetName val="[입찰안_xls][입찰안_xls][입찰안_xls]_432"/>
      <sheetName val="[입찰안_xls][입찰안_xls][입찰안_xls]_433"/>
      <sheetName val="[입찰안_xls][입찰안_xls][입찰안_xls]_434"/>
      <sheetName val="[입찰안_xls][입찰안_xls][입찰안_xls]_435"/>
      <sheetName val="[입찰안_xls][입찰안_xls][입찰안_xls]_436"/>
      <sheetName val="[입찰안_xls][입찰안_xls][입찰안_xls]_437"/>
      <sheetName val="[입찰안_xls][입찰안_xls][입찰안_xls]_438"/>
      <sheetName val="[입찰안_xls][입찰안_xls][입찰안_xls]_439"/>
      <sheetName val="[입찰안_xls][입찰안_xls][입찰안_xls]_440"/>
      <sheetName val="[입찰안_xls][입찰안_xls][입찰안_xls]_441"/>
      <sheetName val="[입찰안_xls][입찰안_xls][입찰안_xls]_442"/>
      <sheetName val="[입찰안_xls][입찰안_xls][입찰안_xls]_443"/>
      <sheetName val="Macro(전"/>
      <sheetName val="[입찰안_xls][입찰안_xls][입찰안_xls]_444"/>
      <sheetName val="[입찰안_xls][입찰안_xls][입찰안_xls]_445"/>
      <sheetName val="[입찰안_xls][입찰안_xls][입찰안_xls]_446"/>
      <sheetName val="[입찰안_xls][입찰안_xls][입찰안_xls]_447"/>
      <sheetName val="[입찰안_xls][입찰안_xls][입찰안_xls]_448"/>
      <sheetName val="[입찰안_xls][입찰안_xls][입찰안_xls]_449"/>
      <sheetName val="[입찰안_xls][입찰안_xls][입찰안_xls]_450"/>
      <sheetName val="[입찰안_xls][입찰안_xls][입찰안_xls]_451"/>
      <sheetName val="[입찰안_xls][입찰안_xls][입찰안_xls]_452"/>
      <sheetName val="[입찰안_xls][입찰안_xls][입찰안_xls]_453"/>
      <sheetName val="[입찰안_xls][입찰안_xls][입찰안_xls]_454"/>
      <sheetName val="[입찰안_xls][입찰안_xls][입찰안_xls]_455"/>
      <sheetName val="[입찰안_xls][입찰안_xls][입찰안_xls]_456"/>
      <sheetName val="[입찰안_xls][입찰안_xls][입찰안_xls]_457"/>
      <sheetName val="[입찰안_xls][입찰안_xls][입찰안_xls]_458"/>
      <sheetName val="[입찰안_xls][입찰안_xls][입찰안_xls]_459"/>
      <sheetName val="[입찰안_xls][입찰안_xls][입찰안_xls]_460"/>
      <sheetName val="[입찰안_xls][입찰안_xls][입찰안_xls]_461"/>
      <sheetName val="[입찰안_xls][입찰안_xls][입찰안_xls]_462"/>
      <sheetName val="Code_02"/>
      <sheetName val="Code_03"/>
      <sheetName val="Code_04"/>
      <sheetName val="Code_05"/>
      <sheetName val="Code_06"/>
      <sheetName val="Code_07"/>
      <sheetName val="Code_09"/>
      <sheetName val="[입찰안_xls][입찰안_xls][입찰안_xls]_463"/>
      <sheetName val="[입찰안_xls][입찰안_xls][입찰안_xls]_464"/>
      <sheetName val="[입찰안_xls][입찰안_xls][입찰안_xls]_465"/>
      <sheetName val="[입찰안_xls][입찰안_xls][입찰안_xls]_466"/>
      <sheetName val="[입찰안_xls][입찰안_xls][입찰안_xls]_467"/>
      <sheetName val="[입찰안_xls][입찰안_xls][입찰안_xls]_468"/>
      <sheetName val="[입찰안_xls][입찰안_xls][입찰안_xls]_469"/>
      <sheetName val="수량산출서집²_x0000_㘀_x0000__x0000__x0000__x0000_"/>
      <sheetName val="시중노羄9臈"/>
      <sheetName val="시중노忕き_x0005_"/>
      <sheetName val="일위대¼_x0000__x0000__x0000__x0000_"/>
      <sheetName val="단가조견"/>
      <sheetName val="[입찰안.xls][입찰안.xls]_입___xls_1001"/>
      <sheetName val="3련_BÇ_x0000_"/>
      <sheetName val="08하"/>
      <sheetName val="항목등록"/>
      <sheetName val="해평견적"/>
      <sheetName val="plan&amp;section_of_fouꄰₙ_x0000__x0000__x0000__x0000_ﱔ"/>
      <sheetName val="plan&amp;section_of_fou_x0000_¶釈̫ꗝû߸"/>
      <sheetName val="plan&amp;section_of_fou_x0000_¶釈̫ꗝû荸"/>
      <sheetName val="plan&amp;section_of_fou_x0000_g釈ˆꗝ㥀"/>
      <sheetName val="plan&amp;section_of_fou_x0000_g釈ˆꗝ᳀"/>
      <sheetName val="plan&amp;section_of_fouꗝ¾䝠Ύ_x0000__x0000__x0000_"/>
      <sheetName val="plan&amp;section_of_fou_x0002__x0000_蒸ζ㓡è諠"/>
      <sheetName val="plan&amp;section_of_fouﵨὰ⭸⇭_x0000__x0000_㖬"/>
      <sheetName val="plan&amp;section_of_fou_x0000__x0000__x0005__x0000_௰좤ˑ"/>
      <sheetName val="plan&amp;section_of_fou_x0000__x0000__x0005__x0000_ហ붽ˑ"/>
      <sheetName val="plan&amp;section_of_fou_x0000__x0000__x0005__x0000_≰쬡ˑ"/>
      <sheetName val="plan&amp;section_of_fou_x0000__x0000__x0005__x0000_꒰쩼ˑ"/>
      <sheetName val="장비단"/>
      <sheetName val="SS"/>
      <sheetName val="관현간선입력"/>
      <sheetName val="[입찰안.xls][입찰안.xls]_____xls_2228"/>
      <sheetName val="[입찰안.xls][입찰안.xls]_____xls_2227"/>
      <sheetName val="제잡비 산출내역(실적공사비)"/>
      <sheetName val="재공품(3)"/>
      <sheetName val="표준원가표(2)"/>
      <sheetName val="0226"/>
      <sheetName val="작업일보"/>
      <sheetName val="[입찰안.xls][입찰안.xls]_____xls_2224"/>
      <sheetName val="[입찰안.xls][입찰안.xls]_____xls_2225"/>
      <sheetName val="[입찰안.xls][입찰안.xls]_____xls_2226"/>
      <sheetName val="[입찰안.xls][입찰안.xls]_____xls_2222"/>
      <sheetName val="[입찰안.xls][입찰안.xls]_____xls_2223"/>
      <sheetName val="[입찰안.xls][입찰안.xls]_____xls_2232"/>
      <sheetName val="[입찰안.xls][입찰안.xls]_____xls_2233"/>
      <sheetName val="[입찰안.xls][입찰안.xls]_____xls_2234"/>
      <sheetName val="[입찰안.xls][입찰안.xls]_____xls_2235"/>
      <sheetName val="[입찰안.xls][입찰안.xls]_____xls_2236"/>
      <sheetName val="_HIT__HM_x0000__x0000__x0005__x0000_᱀倨Ǖ_x0000__x0000__x0000_"/>
      <sheetName val="[입찰안.xls][입찰안.xls]_____xls_2239"/>
      <sheetName val="[입찰안.xls][입찰안.xls]_____xls_2237"/>
      <sheetName val="[입찰안.xls][입찰안.xls]_____xls_2238"/>
      <sheetName val="[입찰안.xls][입찰안.xls]_____xls_2240"/>
      <sheetName val="[입찰안.xls][입찰안.xls]_____xls_2241"/>
      <sheetName val="[입찰안.xls][입찰안.xls]_입찰__xls_1000"/>
      <sheetName val="6__안전관ꦡ_x001d_"/>
      <sheetName val="design_cꙭķ_x0000__x0000_㻰Ⅽ㿔"/>
      <sheetName val="[입찰안.xls][입찰안.xls]_입_안_xls_1003"/>
      <sheetName val="[입찰안.xls][입찰안.xls]_입_안_xls_1001"/>
      <sheetName val="[입찰안.xls][입찰안.xls]_입_안_xls_1002"/>
      <sheetName val="[입찰안.xls][입찰안.xls]_입_안_xls_1006"/>
      <sheetName val="[입찰안.xls][입찰안.xls]_입_안_xls_1004"/>
      <sheetName val="[입찰안.xls][입찰안.xls]_입_안_xls_1005"/>
      <sheetName val="[입찰안.xls][입찰안.xls]_____xls_2242"/>
      <sheetName val="[입찰안.xls][입찰안.xls]__찰안_xls_1000"/>
      <sheetName val="[입찰안.xls][입찰안.xls]__찰안_xls_1003"/>
      <sheetName val="[입찰안.xls][입찰안.xls]__찰안_xls_1001"/>
      <sheetName val="[입찰안.xls][입찰안.xls]__찰안_xls_1002"/>
      <sheetName val="[입찰안.xls][입찰안.xls]_입찰안_xls_1000"/>
      <sheetName val="[입찰안.xls][입찰안.xls]_입_안_xls_1008"/>
      <sheetName val="[입찰안.xls][입찰안.xls]_입_안_xls_1009"/>
      <sheetName val="[입찰안.xls][입찰안.xls]_입_안_xls_1010"/>
      <sheetName val="[입찰안.xls][입찰안.xls]_입_안_xls_1007"/>
      <sheetName val="[입찰안.xls][입찰안.xls]_입_안_xls_1011"/>
      <sheetName val="[입찰안.xls][입찰안.xls]_입찰안_xls_1001"/>
      <sheetName val="[입찰안.xls][입찰안.xls]_입_안_xls_1012"/>
      <sheetName val="[입찰안.xls][입찰안.xls]_입_안_xls_1013"/>
      <sheetName val="[입찰안.xls][입찰안.xls]_입찰안_xls_1002"/>
      <sheetName val="[입찰안.xls][입찰안.xls]_입찰안_xls_1003"/>
      <sheetName val="[입찰안.xls][입찰안.xls]_입_안_xls_1015"/>
      <sheetName val="[입찰안.xls][입찰안.xls]_입_안_xls_1014"/>
      <sheetName val="원가집계"/>
      <sheetName val="[입찰안.xls][입찰안.xls]_입찰안_xls_1004"/>
      <sheetName val="[입찰안.xls][입찰안.xls]_입_안_xls_1016"/>
      <sheetName val="[입찰안.xls][입찰안.xls]_입찰안_xls_1005"/>
      <sheetName val="[입찰안.xls][입찰안.xls]_입_안_xls_1017"/>
      <sheetName val="[입찰안.xls][입찰안.xls]_입찰안_xls_1006"/>
      <sheetName val="[입찰안.xls][입찰안.xls]_입_안_xls_1018"/>
      <sheetName val="[입찰안.xls][입찰안.xls]_입_안_xls_1019"/>
      <sheetName val="[입찰안.xls][입찰안.xls]_입찰안_xls_1009"/>
      <sheetName val="[입찰안.xls][입찰안.xls]_입찰안_xls_1007"/>
      <sheetName val="[입찰안.xls][입찰안.xls]_입찰안_xls_1008"/>
      <sheetName val="[입찰안.xls][입찰안.xls]_입_안_xls_1020"/>
      <sheetName val="[입찰안.xls][입찰안.xls]_입_안_xls_1023"/>
      <sheetName val="[입찰안.xls][입찰안.xls]_입_안_xls_1021"/>
      <sheetName val="[입찰안.xls][입찰안.xls]_입_안_xls_1024"/>
      <sheetName val="[입찰안.xls][입찰안.xls]_입_안_xls_1022"/>
      <sheetName val="[입찰안.xls][입찰안.xls]_입찰안_xls_1010"/>
      <sheetName val="[입찰안.xls][입찰안.xls]_입_안_xls_1025"/>
      <sheetName val="[입찰안.xls][입찰안.xls]_입찰안_xls_1011"/>
      <sheetName val="[입찰안.xls][입찰안.xls]_입_안_xls_1028"/>
      <sheetName val="[입찰안.xls][입찰안.xls]_입_안_xls_1026"/>
      <sheetName val="[입찰안.xls][입찰안.xls]_입_안_xls_1027"/>
      <sheetName val="원데이타"/>
      <sheetName val="집수정단면도 (2)"/>
      <sheetName val="수리결과"/>
      <sheetName val="UXSLCNK4"/>
      <sheetName val="[입찰안.xls][입찰안.xls]_____xls_2324"/>
      <sheetName val="[입찰안.xls][입찰안.xls]_____xls_2320"/>
      <sheetName val="[입찰안.xls][입찰안.xls]_____xls_2321"/>
      <sheetName val="[입찰안.xls][입찰안.xls]_____xls_2318"/>
      <sheetName val="노원열병합__"/>
      <sheetName val="노원열병합__건축공사기성내역ၒ"/>
      <sheetName val="Đơn giá theo m2"/>
      <sheetName val="Bill No.1.6"/>
      <sheetName val="Bill No.1.10"/>
      <sheetName val="Bill No.3.3"/>
      <sheetName val="Bill No.1.4"/>
      <sheetName val="Bill No.1.7"/>
      <sheetName val="Summary Bill No. 3"/>
      <sheetName val="PSCbeam설계"/>
      <sheetName val="노임단가(인쇄제외)"/>
      <sheetName val="E䣉᜵᠀"/>
      <sheetName val="(A)내역서"/>
      <sheetName val="[입찰안.xls][입찰안.xls]_____xls_2274"/>
      <sheetName val="[입찰안.xls][입찰안.xls]_____xls_2278"/>
      <sheetName val="[입찰안.xls][입찰안.xls]_____xls_2272"/>
      <sheetName val="[입찰안.xls][입찰안.xls]_____xls_2271"/>
      <sheetName val="[입찰안.xls][입찰안.xls]_____xls_2270"/>
      <sheetName val="Div10"/>
      <sheetName val="Div13"/>
      <sheetName val="Div4"/>
      <sheetName val="Div5"/>
      <sheetName val="Div6"/>
      <sheetName val="Div7"/>
      <sheetName val="Div9"/>
      <sheetName val="Earthwork"/>
      <sheetName val="plan&amp;section_of勉_x0010__x0000__x0000__x0000__x0000__x0000__x0001_Ԁ_x0000_�"/>
      <sheetName val="97_사업추정(їEKI)"/>
      <sheetName val="COA-17"/>
      <sheetName val="C-18"/>
      <sheetName val="VTP tham khảo"/>
      <sheetName val="Bang THKP-DMDT"/>
      <sheetName val="[입찰안.xls][입찰안.xls]_입찰안_xls_1012"/>
      <sheetName val="[입찰안.xls][입찰안.xls]_____xls_2268"/>
      <sheetName val="[입찰안.xls][입찰안.xls]_____xls_2267"/>
      <sheetName val="[입찰안.xls][입찰안.xls]_____xls_2269"/>
      <sheetName val="[입찰안.xls][입찰안.xls]_____xls_2253"/>
      <sheetName val="[입찰안.xls][입찰안.xls]_____xls_2249"/>
      <sheetName val="[입찰안.xls][입찰안.xls]_____xls_2244"/>
      <sheetName val="[입찰안.xls][입찰안.xls]_____xls_2243"/>
      <sheetName val="[입찰안.xls][입찰안.xls]_____xls_2245"/>
      <sheetName val="[입찰안.xls][입찰안.xls]_____xls_2247"/>
      <sheetName val="[입찰안.xls][입찰안.xls]_____xls_2246"/>
      <sheetName val="[입찰안.xls][입찰안.xls]_____xls_2248"/>
      <sheetName val="[입찰안.xls][입찰안.xls]_____xls_2251"/>
      <sheetName val="[입찰안.xls][입찰안.xls]_____xls_2250"/>
      <sheetName val="[입찰안.xls][입찰안.xls]_____xls_2252"/>
      <sheetName val="[입찰안.xls][입찰안.xls]_____xls_2266"/>
      <sheetName val="[입찰안.xls][입찰안.xls]_____xls_2257"/>
      <sheetName val="[입찰안.xls][입찰안.xls]_____xls_2254"/>
      <sheetName val="[입찰안.xls][입찰안.xls]_____xls_2255"/>
      <sheetName val="[입찰안.xls][입찰안.xls]_____xls_2256"/>
      <sheetName val="[입찰안.xls][입찰안.xls]_____xls_2261"/>
      <sheetName val="[입찰안.xls][입찰안.xls]_____xls_2258"/>
      <sheetName val="[입찰안.xls][입찰안.xls]_____xls_2259"/>
      <sheetName val="[입찰안.xls][입찰안.xls]_____xls_2260"/>
      <sheetName val="[입찰안.xls][입찰안.xls]_____xls_2262"/>
      <sheetName val="[입찰안.xls][입찰안.xls]_____xls_2263"/>
      <sheetName val="[입찰안.xls][입찰안.xls]_____xls_2264"/>
      <sheetName val="[입찰안.xls][입찰안.xls]_____xls_2265"/>
      <sheetName val="[입찰안.xls][입찰안.xls]_입_안_xls_1029"/>
      <sheetName val="[입찰안.xls][입찰안.xls]_입_안_xls_1030"/>
      <sheetName val="[입찰안.xls][입찰안.xls]_입_안_xls_1032"/>
      <sheetName val="[입찰안.xls][입찰안.xls]_입_안_xls_1031"/>
      <sheetName val="[입찰안.xls][입찰안.xls]_입찰안_xls_1014"/>
      <sheetName val="[입찰안.xls][입찰안.xls]_입_안_xls_1034"/>
      <sheetName val="[입찰안.xls][입찰안.xls]_입찰안_xls_1013"/>
      <sheetName val="[입찰안.xls][입찰안.xls]_입_안_xls_1033"/>
      <sheetName val="[입찰안.xls][입찰안.xls]_입찰안_xls_1015"/>
      <sheetName val="[입찰안.xls][입찰안.xls]_입찰안_xls_1016"/>
      <sheetName val="[입찰안.xls][입찰안.xls]_입_안_xls_1035"/>
      <sheetName val="[입찰안.xls][입찰안.xls]_입_안_xls_1036"/>
      <sheetName val="[입찰안.xls][입찰안.xls]_입찰안_xls_1020"/>
      <sheetName val="[입찰안.xls][입찰안.xls]_입찰안_xls_1017"/>
      <sheetName val="[입찰안.xls][입찰안.xls]_입찰안_xls_1018"/>
      <sheetName val="[입찰안.xls][입찰안.xls]_입찰안_xls_1019"/>
      <sheetName val="[입찰안.xls][입찰안.xls]_입찰안_xls_1021"/>
      <sheetName val="[입찰안.xls][입찰안.xls]_입_안_xls_1038"/>
      <sheetName val="[입찰안.xls][입찰안.xls]_입_안_xls_1037"/>
      <sheetName val="[입찰안.xls][입찰안.xls]_입찰안_xls_1022"/>
      <sheetName val="[입찰안.xls][입찰안.xls]_입찰안_xls_1023"/>
      <sheetName val="[입찰안.xls][입찰안.xls]_입찰안_xls_1024"/>
      <sheetName val="[입찰안.xls][입찰안.xls]_입찰안_xls_1025"/>
      <sheetName val="[입찰안.xls][입찰안.xls]_입_안_xls_1040"/>
      <sheetName val="[입찰안.xls][입찰안.xls]_입_안_xls_1039"/>
      <sheetName val="[입찰안.xls][입찰안.xls]_____xls_2273"/>
      <sheetName val="[입찰안.xls][입찰안.xls]_____xls_2275"/>
      <sheetName val="[입찰안.xls][입찰안.xls]_____xls_2276"/>
      <sheetName val="[입찰안.xls][입찰안.xls]_____xls_2277"/>
      <sheetName val="[입찰안.xls][입찰안.xls]_____xls_2285"/>
      <sheetName val="[입찰안.xls][입찰안.xls]_____xls_2279"/>
      <sheetName val="[입찰안.xls][입찰안.xls]_____xls_2280"/>
      <sheetName val="[입찰안.xls][입찰안.xls]_____xls_2283"/>
      <sheetName val="[입찰안.xls][입찰안.xls]_____xls_2281"/>
      <sheetName val="[입찰안.xls][입찰안.xls]_____xls_2282"/>
      <sheetName val="[입찰안.xls][입찰안.xls]_____xls_2286"/>
      <sheetName val="[입찰안.xls][입찰안.xls]_____xls_2287"/>
      <sheetName val="[입찰안.xls][입찰안.xls]_____xls_2284"/>
      <sheetName val="[입찰안.xls][입찰안.xls]_____xls_2290"/>
      <sheetName val="[입찰안.xls][입찰안.xls]_____xls_2288"/>
      <sheetName val="[입찰안.xls][입찰안.xls]_____xls_2289"/>
      <sheetName val="[입찰안.xls][입찰안.xls]_____xls_2291"/>
      <sheetName val="[입찰안.xls][입찰안.xls]_____xls_2295"/>
      <sheetName val="[입찰안.xls][입찰안.xls]_____xls_2293"/>
      <sheetName val="[입찰안.xls][입찰안.xls]_____xls_2292"/>
      <sheetName val="[입찰안.xls][입찰안.xls]_____xls_2294"/>
      <sheetName val="[입찰안.xls][입찰안.xls]_____xls_2298"/>
      <sheetName val="[입찰안.xls][입찰안.xls]_____xls_2296"/>
      <sheetName val="[입찰안.xls][입찰안.xls]_____xls_2297"/>
      <sheetName val="[입찰안.xls][입찰안.xls]_____xls_2300"/>
      <sheetName val="[입찰안.xls][입찰안.xls]_____xls_2299"/>
      <sheetName val="[입찰안.xls][입찰안.xls]_____xls_2301"/>
      <sheetName val="[입찰안.xls][입찰안.xls]_____xls_2302"/>
      <sheetName val="[입찰안.xls][입찰안.xls]_____xls_2303"/>
      <sheetName val="[입찰안.xls][입찰안.xls]_____xls_2305"/>
      <sheetName val="[입찰안.xls][입찰안.xls]_____xls_2304"/>
      <sheetName val="[입찰안.xls][입찰안.xls]_____xls_2306"/>
      <sheetName val="[입찰안.xls][입찰안.xls]_____xls_2308"/>
      <sheetName val="[입찰안.xls][입찰안.xls]_____xls_2309"/>
      <sheetName val="[입찰안.xls][입찰안.xls]_____xls_2307"/>
      <sheetName val="[입찰안.xls][입찰안.xls]_____xls_2310"/>
      <sheetName val="[입찰안.xls][입찰안.xls]_____xls_2311"/>
      <sheetName val="[입찰안.xls][입찰안.xls]_____xls_2317"/>
      <sheetName val="[입찰안.xls][입찰안.xls]_____xls_2314"/>
      <sheetName val="[입찰안.xls][입찰안.xls]_____xls_2312"/>
      <sheetName val="[입찰안.xls][입찰안.xls]_____xls_2313"/>
      <sheetName val="[입찰안.xls][입찰안.xls]_____xls_2316"/>
      <sheetName val="[입찰안.xls][입찰안.xls]_____xls_2315"/>
      <sheetName val="[입찰안.xls][입찰안.xls]_____xls_2319"/>
      <sheetName val="[입찰안.xls][입찰안.xls]_____xls_2322"/>
      <sheetName val="[입찰안.xls][입찰안.xls]_____xls_2323"/>
      <sheetName val="[입찰안.xls][입찰안.xls]_____xls_2327"/>
      <sheetName val="[입찰안.xls][입찰안.xls]_____xls_2329"/>
      <sheetName val="[입찰안.xls][입찰안.xls]_____xls_2328"/>
      <sheetName val="[입찰안.xls][입찰안.xls]_입___xls_1002"/>
      <sheetName val="지질조사분석"/>
      <sheetName val="차선도색수량집계"/>
      <sheetName val="일목"/>
      <sheetName val="건물"/>
      <sheetName val="[입찰안_xls][입찰안_xls][입찰안_xls]_830"/>
      <sheetName val="[입찰안_xls][입찰안_xls][입찰안_xls]_832"/>
      <sheetName val="[입찰안_xls][입찰안_xls][입찰안_xls]_831"/>
      <sheetName val="콤보박스와_리스트박스의_연결"/>
      <sheetName val="chiet_tinh"/>
      <sheetName val="남양시작동자105노65기1_3화1_2"/>
      <sheetName val="plan&amp;section_of_Ā翹조ꤟ"/>
      <sheetName val="노원열병합__츀ɮ"/>
      <sheetName val="[입찰안_xls][입찰안_xls][입찰안_xls]_744"/>
      <sheetName val="[입찰안_xls][입찰안_xls][입찰안_xls]_483"/>
      <sheetName val="[입찰안_xls][입찰안_xls][입찰안_xls]_485"/>
      <sheetName val="[입찰안_xls][입찰안_xls][입찰안_xls]_470"/>
      <sheetName val="[입찰안_xls][입찰안_xls][입찰안_xls]_471"/>
      <sheetName val="[입찰안_xls][입찰안_xls][입찰안_xls]_472"/>
      <sheetName val="[입찰안_xls][입찰안_xls][입찰안_xls]_473"/>
      <sheetName val="[입찰안_xls][입찰안_xls][입찰안_xls]_474"/>
      <sheetName val="[입찰안_xls][입찰안_xls][입찰안_xls]_475"/>
      <sheetName val="[입찰안_xls][입찰안_xls][입찰안_xls]_476"/>
      <sheetName val="[입찰안_xls][입찰안_xls][입찰안_xls]_477"/>
      <sheetName val="[입찰안_xls][입찰안_xls][입찰안_xls]_478"/>
      <sheetName val="[입찰안_xls][입찰안_xls][입찰안_xls]_479"/>
      <sheetName val="[입찰안_xls][입찰안_xls][입찰안_xls]_480"/>
      <sheetName val="[입찰안_xls][입찰안_xls][입찰안_xls]_481"/>
      <sheetName val="[입찰안_xls][입찰안_xls][입찰안_xls]_482"/>
      <sheetName val="[입찰안_xls][입찰안_xls][입찰안_xls]_484"/>
      <sheetName val="[입찰안_xls][입찰안_xls][입찰안_xls]_486"/>
      <sheetName val="[입찰안_xls][입찰안_xls][입찰안_xls]_487"/>
      <sheetName val="[입찰안_xls][입찰안_xls][입찰안_xls]_488"/>
      <sheetName val="[입찰안_xls][입찰안_xls][입찰안_xls]_489"/>
      <sheetName val="[입찰안_xls][입찰안_xls][입찰안_xls]_490"/>
      <sheetName val="[입찰안_xls][입찰안_xls][입찰안_xls]_496"/>
      <sheetName val="[입찰안_xls][입찰안_xls][입찰안_xls]_491"/>
      <sheetName val="[입찰안_xls][입찰안_xls][입찰안_xls]_492"/>
      <sheetName val="[입찰안_xls][입찰안_xls][입찰안_xls]_527"/>
      <sheetName val="[입찰안_xls][입찰안_xls][입찰안_xls]_521"/>
      <sheetName val="[입찰안_xls][입찰안_xls][입찰안_xls]_493"/>
      <sheetName val="[입찰안_xls][입찰안_xls][입찰안_xls]_494"/>
      <sheetName val="[입찰안_xls][입찰안_xls][입찰안_xls]_495"/>
      <sheetName val="[입찰안_xls][입찰안_xls][입찰안_xls]_497"/>
      <sheetName val="[입찰안_xls][입찰안_xls][입찰안_xls]_498"/>
      <sheetName val="[입찰안_xls][입찰안_xls][입찰안_xls]_499"/>
      <sheetName val="[입찰안_xls][입찰안_xls][입찰안_xls]_500"/>
      <sheetName val="[입찰안_xls][입찰안_xls][입찰안_xls]_512"/>
      <sheetName val="[입찰안_xls][입찰안_xls][입찰안_xls]_502"/>
      <sheetName val="[입찰안_xls][입찰안_xls][입찰안_xls]_501"/>
      <sheetName val="[입찰안_xls][입찰안_xls][입찰안_xls]_503"/>
      <sheetName val="[입찰안_xls][입찰안_xls][입찰안_xls]_504"/>
      <sheetName val="[입찰안_xls][입찰안_xls][입찰안_xls]_505"/>
      <sheetName val="[입찰안_xls][입찰안_xls][입찰안_xls]_506"/>
      <sheetName val="[입찰안_xls][입찰안_xls][입찰안_xls]_507"/>
      <sheetName val="[입찰안_xls][입찰안_xls][입찰안_xls]_508"/>
      <sheetName val="[입찰안_xls][입찰안_xls][입찰안_xls]_509"/>
      <sheetName val="[입찰안_xls][입찰안_xls][입찰안_xls]_510"/>
      <sheetName val="[입찰안_xls][입찰안_xls][입찰안_xls]_511"/>
      <sheetName val="[입찰안_xls][입찰안_xls][입찰안_xls]_513"/>
      <sheetName val="[입찰안_xls][입찰안_xls][입찰안_xls]_514"/>
      <sheetName val="[입찰안_xls][입찰안_xls][입찰안_xls]_515"/>
      <sheetName val="[입찰안_xls][입찰안_xls][입찰안_xls]_516"/>
      <sheetName val="[입찰안_xls][입찰안_xls][입찰안_xls]_517"/>
      <sheetName val="[입찰안_xls][입찰안_xls][입찰안_xls]_518"/>
      <sheetName val="[입찰안_xls][입찰안_xls][입찰안_xls]_519"/>
      <sheetName val="[입찰안_xls][입찰안_xls][입찰안_xls]_520"/>
      <sheetName val="[입찰안_xls][입찰안_xls][입찰안_xls]_522"/>
      <sheetName val="[입찰안_xls][입찰안_xls][입찰안_xls]_523"/>
      <sheetName val="[입찰안_xls][입찰안_xls][입찰안_xls]_524"/>
      <sheetName val="[입찰안_xls][입찰안_xls][입찰안_xls]_525"/>
      <sheetName val="[입찰안_xls][입찰안_xls][입찰안_xls]_526"/>
      <sheetName val="[입찰안_xls][입찰안_xls][입찰안_xls]_528"/>
      <sheetName val="[입찰안_xls][입찰안_xls][입찰안_xls]_529"/>
      <sheetName val="[입찰안_xls][입찰안_xls][입찰안_xls]_530"/>
      <sheetName val="[입찰안_xls][입찰안_xls][입찰안_xls]_531"/>
      <sheetName val="[입찰안_xls][입찰안_xls][입찰안_xls]_533"/>
      <sheetName val="[입찰안_xls][입찰안_xls][입찰안_xls]_532"/>
      <sheetName val="[입찰안_xls][입찰안_xls][입찰안_xls]_534"/>
      <sheetName val="[입찰안_xls][입찰안_xls][입찰안_xls]_535"/>
      <sheetName val="[입찰안_xls][입찰안_xls][입찰안_xls]_536"/>
      <sheetName val="[입찰안_xls][입찰안_xls][입찰안_xls]_562"/>
      <sheetName val="[입찰안_xls][입찰안_xls][입찰안_xls]_537"/>
      <sheetName val="[입찰안_xls][입찰안_xls][입찰안_xls]_574"/>
      <sheetName val="[입찰안_xls][입찰안_xls][입찰안_xls]_538"/>
      <sheetName val="[입찰안_xls][입찰안_xls][입찰안_xls]_539"/>
      <sheetName val="[입찰안_xls][입찰안_xls][입찰안_xls]_540"/>
      <sheetName val="[입찰안_xls][입찰안_xls][입찰안_xls]_541"/>
      <sheetName val="[입찰안_xls][입찰안_xls][입찰안_xls]_542"/>
      <sheetName val="[입찰안_xls][입찰안_xls][입찰안_xls]_543"/>
      <sheetName val="[입찰안_xls][입찰안_xls][입찰안_xls]_544"/>
      <sheetName val="[입찰안_xls][입찰안_xls][입찰안_xls]_545"/>
      <sheetName val="[입찰안_xls][입찰안_xls][입찰안_xls]_546"/>
      <sheetName val="[입찰안_xls][입찰안_xls][입찰안_xls]_547"/>
      <sheetName val="[입찰안_xls][입찰안_xls][입찰안_xls]_548"/>
      <sheetName val="[입찰안_xls][입찰안_xls][입찰안_xls]_549"/>
      <sheetName val="[입찰안_xls][입찰안_xls][입찰안_xls]_550"/>
      <sheetName val="[입찰안_xls][입찰안_xls][입찰안_xls]_551"/>
      <sheetName val="[입찰안_xls][입찰안_xls][입찰안_xls]_552"/>
      <sheetName val="[입찰안_xls][입찰안_xls][입찰안_xls]_553"/>
      <sheetName val="[입찰안_xls][입찰안_xls][입찰안_xls]_554"/>
      <sheetName val="[입찰안_xls][입찰안_xls][입찰안_xls]_555"/>
      <sheetName val="[입찰안_xls][입찰안_xls][입찰안_xls]_556"/>
      <sheetName val="[입찰안_xls][입찰안_xls][입찰안_xls]_557"/>
      <sheetName val="[입찰안_xls][입찰안_xls][입찰안_xls]_558"/>
      <sheetName val="[입찰안_xls][입찰안_xls][입찰안_xls]_559"/>
      <sheetName val="[입찰안_xls][입찰안_xls][입찰안_xls]_560"/>
      <sheetName val="[입찰안_xls][입찰안_xls][입찰안_xls]_561"/>
      <sheetName val="[입찰안_xls][입찰안_xls][입찰안_xls]_563"/>
      <sheetName val="[입찰안_xls][입찰안_xls][입찰안_xls]_564"/>
      <sheetName val="[입찰안_xls][입찰안_xls][입찰안_xls]_565"/>
      <sheetName val="[입찰안_xls][입찰안_xls][입찰안_xls]_566"/>
      <sheetName val="[입찰안_xls][입찰안_xls][입찰안_xls]_567"/>
      <sheetName val="[입찰안_xls][입찰안_xls][입찰안_xls]_568"/>
      <sheetName val="[입찰안_xls][입찰안_xls][입찰안_xls]_575"/>
      <sheetName val="[입찰안_xls][입찰안_xls][입찰안_xls]_569"/>
      <sheetName val="[입찰안_xls][입찰안_xls][입찰안_xls]_570"/>
      <sheetName val="[입찰안_xls][입찰안_xls][입찰안_xls]_571"/>
      <sheetName val="[입찰안_xls][입찰안_xls][입찰안_xls]_572"/>
      <sheetName val="[입찰안_xls][입찰안_xls][입찰안_xls]_573"/>
      <sheetName val="[입찰안_xls][입찰안_xls][입찰안_xls]_576"/>
      <sheetName val="[입찰안_xls][입찰안_xls][입찰안_xls]_577"/>
      <sheetName val="[입찰안_xls][입찰안_xls][입찰안_xls]_578"/>
      <sheetName val="[입찰안_xls][입찰안_xls][입찰안_xls]_579"/>
      <sheetName val="[입찰안_xls][입찰안_xls][입찰안_xls]_580"/>
      <sheetName val="[입찰안_xls][입찰안_xls][입찰안_xls]_585"/>
      <sheetName val="[입찰안_xls][입찰안_xls][입찰안_xls]_581"/>
      <sheetName val="[입찰안_xls][입찰안_xls][입찰안_xls]_582"/>
      <sheetName val="[입찰안_xls][입찰안_xls][입찰안_xls]_583"/>
      <sheetName val="[입찰안_xls][입찰안_xls][입찰안_xls]_584"/>
      <sheetName val="[입찰안_xls][입찰안_xls][입찰안_xls]_586"/>
      <sheetName val="[입찰안_xls][입찰안_xls][입찰안_xls]_587"/>
      <sheetName val="[입찰안_xls][입찰안_xls][입찰안_xls]_588"/>
      <sheetName val="[입찰안_xls][입찰안_xls][입찰안_xls]_589"/>
      <sheetName val="[입찰안_xls][입찰안_xls][입찰안_xls]_590"/>
      <sheetName val="[입찰안_xls][입찰안_xls][입찰안_xls]_591"/>
      <sheetName val="[입찰안_xls][입찰안_xls][입찰안_xls]_592"/>
      <sheetName val="[입찰안_xls][입찰안_xls][입찰안_xls]_593"/>
      <sheetName val="[입찰안_xls][입찰안_xls][입찰안_xls]_594"/>
      <sheetName val="[입찰안_xls][입찰안_xls][입찰안_xls]_595"/>
      <sheetName val="[입찰안_xls][입찰안_xls][입찰안_xls]_597"/>
      <sheetName val="[입찰안_xls][입찰안_xls][입찰안_xls]_596"/>
      <sheetName val="[입찰안_xls][입찰안_xls][입찰안_xls]_598"/>
      <sheetName val="[입찰안_xls][입찰안_xls][입찰안_xls]_599"/>
      <sheetName val="[입찰안_xls][입찰안_xls][입찰안_xls]_600"/>
      <sheetName val="[입찰안_xls][입찰안_xls][입찰안_xls]_601"/>
      <sheetName val="[입찰안_xls][입찰안_xls][입찰안_xls]_614"/>
      <sheetName val="[입찰안_xls][입찰안_xls][입찰안_xls]_602"/>
      <sheetName val="[입찰안_xls][입찰안_xls][입찰안_xls]_603"/>
      <sheetName val="[입찰안_xls][입찰안_xls][입찰안_xls]_604"/>
      <sheetName val="[입찰안_xls][입찰안_xls][입찰안_xls]_628"/>
      <sheetName val="[입찰안_xls][입찰안_xls][입찰안_xls]_605"/>
      <sheetName val="[입찰안_xls][입찰안_xls][입찰안_xls]_606"/>
      <sheetName val="[입찰안_xls][입찰안_xls][입찰안_xls]_607"/>
      <sheetName val="[입찰안_xls][입찰안_xls][입찰안_xls]_608"/>
      <sheetName val="[입찰안_xls][입찰안_xls][입찰안_xls]_609"/>
      <sheetName val="[입찰안_xls][입찰안_xls][입찰안_xls]_610"/>
      <sheetName val="[입찰안_xls][입찰안_xls][입찰안_xls]_611"/>
      <sheetName val="[입찰안_xls][입찰안_xls][입찰안_xls]_612"/>
      <sheetName val="[입찰안_xls][입찰안_xls][입찰안_xls]_613"/>
      <sheetName val="[입찰안_xls][입찰안_xls][입찰안_xls]_615"/>
      <sheetName val="[입찰안_xls][입찰안_xls][입찰안_xls]_616"/>
      <sheetName val="[입찰안_xls][입찰안_xls][입찰안_xls]_617"/>
      <sheetName val="[입찰안_xls][입찰안_xls][입찰안_xls]_618"/>
      <sheetName val="[입찰안_xls][입찰안_xls][입찰안_xls]_619"/>
      <sheetName val="[입찰안_xls][입찰안_xls][입찰안_xls]_620"/>
      <sheetName val="[입찰안_xls][입찰안_xls][입찰안_xls]_621"/>
      <sheetName val="[입찰안_xls][입찰안_xls][입찰안_xls]_622"/>
      <sheetName val="[입찰안_xls][입찰안_xls][입찰안_xls]_623"/>
      <sheetName val="[입찰안_xls][입찰안_xls][입찰안_xls]_624"/>
      <sheetName val="[입찰안_xls][입찰안_xls][입찰안_xls]_625"/>
      <sheetName val="[입찰안_xls][입찰안_xls][입찰안_xls]_626"/>
      <sheetName val="[입찰안_xls][입찰안_xls][입찰안_xls]_627"/>
      <sheetName val="[입찰안_xls][입찰안_xls][입찰안_xls]_629"/>
      <sheetName val="[입찰안_xls][입찰안_xls][입찰안_xls]_630"/>
      <sheetName val="[입찰안_xls][입찰안_xls][입찰안_xls]_631"/>
      <sheetName val="[입찰안_xls][입찰안_xls][입찰안_xls]_632"/>
      <sheetName val="[입찰안_xls][입찰안_xls][입찰안_xls]_635"/>
      <sheetName val="[입찰안_xls][입찰안_xls][입찰안_xls]_633"/>
      <sheetName val="[입찰안_xls][입찰안_xls][입찰안_xls]_634"/>
      <sheetName val="[입찰안_xls][입찰안_xls][입찰안_xls]_636"/>
      <sheetName val="[입찰안_xls][입찰안_xls][입찰안_xls]_637"/>
      <sheetName val="[입찰안_xls][입찰안_xls][입찰안_xls]_638"/>
      <sheetName val="[입찰안_xls][입찰안_xls][입찰안_xls]_639"/>
      <sheetName val="[입찰안_xls][입찰안_xls][입찰안_xls]_640"/>
      <sheetName val="[입찰안_xls][입찰안_xls][입찰안_xls]_641"/>
      <sheetName val="[입찰안_xls][입찰안_xls][입찰안_xls]_642"/>
      <sheetName val="[입찰안_xls][입찰안_xls][입찰안_xls]_643"/>
      <sheetName val="[입찰안_xls][입찰안_xls][입찰안_xls]_644"/>
      <sheetName val="[입찰안_xls][입찰안_xls][입찰안_xls]_645"/>
      <sheetName val="[입찰안_xls][입찰안_xls][입찰안_xls]_646"/>
      <sheetName val="[입찰안_xls][입찰안_xls][입찰안_xls]_647"/>
      <sheetName val="[입찰안_xls][입찰안_xls][입찰안_xls]_648"/>
      <sheetName val="[입찰안_xls][입찰안_xls][입찰안_xls]_649"/>
      <sheetName val="[입찰안_xls][입찰안_xls][입찰안_xls]_650"/>
      <sheetName val="[입찰안_xls][입찰안_xls][입찰안_xls]_651"/>
      <sheetName val="[입찰안_xls][입찰안_xls][입찰안_xls]_667"/>
      <sheetName val="[입찰안_xls][입찰안_xls][입찰안_xls]_652"/>
      <sheetName val="[입찰안_xls][입찰안_xls][입찰안_xls]_653"/>
      <sheetName val="[입찰안_xls][입찰안_xls][입찰안_xls]_654"/>
      <sheetName val="[입찰안_xls][입찰안_xls][입찰안_xls]_655"/>
      <sheetName val="[입찰안_xls][입찰안_xls][입찰안_xls]_656"/>
      <sheetName val="[입찰안_xls][입찰안_xls][입찰안_xls]_657"/>
      <sheetName val="[입찰안_xls][입찰안_xls][입찰안_xls]_658"/>
      <sheetName val="[입찰안_xls][입찰안_xls][입찰안_xls]_672"/>
      <sheetName val="[입찰안_xls][입찰안_xls][입찰안_xls]_659"/>
      <sheetName val="[입찰안_xls][입찰안_xls][입찰안_xls]_660"/>
      <sheetName val="[입찰안_xls][입찰안_xls][입찰안_xls]_661"/>
      <sheetName val="[입찰안_xls][입찰안_xls][입찰안_xls]_662"/>
      <sheetName val="[입찰안_xls][입찰안_xls][입찰안_xls]_663"/>
      <sheetName val="[입찰안_xls][입찰안_xls][입찰안_xls]_664"/>
      <sheetName val="[입찰안_xls][입찰안_xls][입찰안_xls]_665"/>
      <sheetName val="[입찰안_xls][입찰안_xls][입찰안_xls]_666"/>
      <sheetName val="[입찰안_xls][입찰안_xls][입찰안_xls]_668"/>
      <sheetName val="[입찰안_xls][입찰안_xls][입찰안_xls]_669"/>
      <sheetName val="[입찰안_xls][입찰안_xls][입찰안_xls]_670"/>
      <sheetName val="[입찰안_xls][입찰안_xls][입찰안_xls]_671"/>
      <sheetName val="[입찰안_xls][입찰안_xls][입찰안_xls]_684"/>
      <sheetName val="[입찰안_xls][입찰안_xls][입찰안_xls]_673"/>
      <sheetName val="[입찰안_xls][입찰안_xls][입찰안_xls]_674"/>
      <sheetName val="[입찰안_xls][입찰안_xls][입찰안_xls]_675"/>
      <sheetName val="[입찰안_xls][입찰안_xls][입찰안_xls]_676"/>
      <sheetName val="[입찰안_xls][입찰안_xls][입찰안_xls]_677"/>
      <sheetName val="[입찰안_xls][입찰안_xls][입찰안_xls]_678"/>
      <sheetName val="[입찰안_xls][입찰안_xls][입찰안_xls]_679"/>
      <sheetName val="[입찰안_xls][입찰안_xls][입찰안_xls]_693"/>
      <sheetName val="[입찰안_xls][입찰안_xls][입찰안_xls]_680"/>
      <sheetName val="[입찰안_xls][입찰안_xls][입찰안_xls]_681"/>
      <sheetName val="[입찰안_xls][입찰안_xls][입찰안_xls]_682"/>
      <sheetName val="[입찰안_xls][입찰안_xls][입찰안_xls]_683"/>
      <sheetName val="[입찰안_xls][입찰안_xls][입찰안_xls]_685"/>
      <sheetName val="[입찰안_xls][입찰안_xls][입찰안_xls]_686"/>
      <sheetName val="[입찰안_xls][입찰안_xls][입찰안_xls]_687"/>
      <sheetName val="[입찰안_xls][입찰안_xls][입찰안_xls]_688"/>
      <sheetName val="[입찰안_xls][입찰안_xls][입찰안_xls]_689"/>
      <sheetName val="[입찰안_xls][입찰안_xls][입찰안_xls]_690"/>
      <sheetName val="[입찰안_xls][입찰안_xls][입찰안_xls]_691"/>
      <sheetName val="[입찰안_xls][입찰안_xls][입찰안_xls]_692"/>
      <sheetName val="[입찰안_xls][입찰안_xls][입찰안_xls]_694"/>
      <sheetName val="[입찰안_xls][입찰안_xls][입찰안_xls]_695"/>
      <sheetName val="[입찰안_xls][입찰안_xls][입찰안_xls]_696"/>
      <sheetName val="[입찰안_xls][입찰안_xls][입찰안_xls]_697"/>
      <sheetName val="[입찰안_xls][입찰안_xls][입찰안_xls]_699"/>
      <sheetName val="[입찰안_xls][입찰안_xls][입찰안_xls]_698"/>
      <sheetName val="[입찰안_xls][입찰안_xls][입찰안_xls]_700"/>
      <sheetName val="[입찰안_xls][입찰안_xls][입찰안_xls]_701"/>
      <sheetName val="[입찰안_xls][입찰안_xls][입찰안_xls]_702"/>
      <sheetName val="[입찰안_xls][입찰안_xls][입찰안_xls]_703"/>
      <sheetName val="[입찰안_xls][입찰안_xls][입찰안_xls]_718"/>
      <sheetName val="[입찰안_xls][입찰안_xls][입찰안_xls]_704"/>
      <sheetName val="[입찰안_xls][입찰안_xls][입찰안_xls]_705"/>
      <sheetName val="[입찰안_xls][입찰안_xls][입찰안_xls]_706"/>
      <sheetName val="[입찰안_xls][입찰안_xls][입찰안_xls]_707"/>
      <sheetName val="[입찰안_xls][입찰안_xls][입찰안_xls]_708"/>
      <sheetName val="[입찰안_xls][입찰안_xls][입찰안_xls]_709"/>
      <sheetName val="[입찰안_xls][입찰안_xls][입찰안_xls]_710"/>
      <sheetName val="[입찰안_xls][입찰안_xls][입찰안_xls]_711"/>
      <sheetName val="[입찰안_xls][입찰안_xls][입찰안_xls]_712"/>
      <sheetName val="[입찰안_xls][입찰안_xls][입찰안_xls]_728"/>
      <sheetName val="[입찰안_xls][입찰안_xls][입찰안_xls]_713"/>
      <sheetName val="[입찰안_xls][입찰안_xls][입찰안_xls]_714"/>
      <sheetName val="[입찰안_xls][입찰안_xls][입찰안_xls]_715"/>
      <sheetName val="[입찰안_xls][입찰안_xls][입찰안_xls]_716"/>
      <sheetName val="[입찰안_xls][입찰안_xls][입찰안_xls]_717"/>
      <sheetName val="[입찰안_xls][입찰안_xls][입찰안_xls]_719"/>
      <sheetName val="[입찰안_xls][입찰안_xls][입찰안_xls]_720"/>
      <sheetName val="[입찰안_xls][입찰안_xls][입찰안_xls]_721"/>
      <sheetName val="[입찰안_xls][입찰안_xls][입찰안_xls]_722"/>
      <sheetName val="[입찰안_xls][입찰안_xls][입찰안_xls]_723"/>
      <sheetName val="[입찰안_xls][입찰안_xls][입찰안_xls]_724"/>
      <sheetName val="[입찰안_xls][입찰안_xls][입찰안_xls]_725"/>
      <sheetName val="[입찰안_xls][입찰안_xls][입찰안_xls]_726"/>
      <sheetName val="[입찰안_xls][입찰안_xls][입찰안_xls]_727"/>
      <sheetName val="[입찰안_xls][입찰안_xls][입찰안_xls]_729"/>
      <sheetName val="[입찰안_xls][입찰안_xls][입찰안_xls]_730"/>
      <sheetName val="[입찰안_xls][입찰안_xls][입찰안_xls]_731"/>
      <sheetName val="[입찰안_xls][입찰안_xls][입찰안_xls]_732"/>
      <sheetName val="[입찰안_xls][입찰안_xls][입찰안_xls]_733"/>
      <sheetName val="[입찰안_xls][입찰안_xls][입찰안_xls]_734"/>
      <sheetName val="[입찰안_xls][입찰안_xls][입찰안_xls]_735"/>
      <sheetName val="[입찰안_xls][입찰안_xls][입찰안_xls]_736"/>
      <sheetName val="[입찰안_xls][입찰안_xls][입찰안_xls]_739"/>
      <sheetName val="[입찰안_xls][입찰안_xls][입찰안_xls]_737"/>
      <sheetName val="[입찰안_xls][입찰안_xls][입찰안_xls]_738"/>
      <sheetName val="[입찰안_xls][입찰안_xls][입찰안_xls]_740"/>
      <sheetName val="[입찰안_xls][입찰안_xls][입찰안_xls]_741"/>
      <sheetName val="[입찰안_xls][입찰안_xls][입찰안_xls]_742"/>
      <sheetName val="[입찰안_xls][입찰안_xls][입찰안_xls]_743"/>
      <sheetName val="[입찰안_xls][입찰안_xls][입찰안_xls]_745"/>
      <sheetName val="[입찰안_xls][입찰안_xls][입찰안_xls]_746"/>
      <sheetName val="[입찰안_xls][입찰안_xls][입찰안_xls]_747"/>
      <sheetName val="[입찰안_xls][입찰안_xls][입찰안_xls]_748"/>
      <sheetName val="Thoat_nuoc"/>
      <sheetName val="1__Dashboard"/>
      <sheetName val="PHU_LUC_01"/>
      <sheetName val="Đầu_vào"/>
      <sheetName val="Bill_02_INF"/>
      <sheetName val="7_"/>
      <sheetName val="6-1_Summary_Of_Cost"/>
      <sheetName val="6-2_In-Direct_Cost"/>
      <sheetName val="6-3_EQ_Cost"/>
      <sheetName val="6-4-1_MP_Status(107,125,12)"/>
      <sheetName val="6-4-2_MP_Status(144)"/>
      <sheetName val="6-5-1_EQ_Status(107,125,12)"/>
      <sheetName val="6-5-2_EQ_Status(144)"/>
      <sheetName val="6-6_Agree_Other&amp;Expanse_(Att_1)"/>
      <sheetName val="6-7_EQ_Apply"/>
      <sheetName val="MP_U107,125,12"/>
      <sheetName val="MP_U144"/>
      <sheetName val="EQ_U107,125,12"/>
      <sheetName val="EQ_U144"/>
      <sheetName val="Agrement_Day_W_Cost"/>
      <sheetName val="Agrement_Day_EQ_Cost"/>
      <sheetName val="Indirect_Cost"/>
      <sheetName val="[입찰안_xls][입찰안_xls][입찰안_xls]_752"/>
      <sheetName val="[입찰안_xls][입찰안_xls][입찰안_xls]_749"/>
      <sheetName val="[입찰안_xls][입찰안_xls][입찰안_xls]_750"/>
      <sheetName val="[입찰안_xls][입찰안_xls][입찰안_xls]_751"/>
      <sheetName val="[입찰안_xls][입찰안_xls][입찰안_xls]_753"/>
      <sheetName val="[입찰안_xls][입찰안_xls][입찰안_xls]_754"/>
      <sheetName val="[입찰안_xls][입찰안_xls][입찰안_xls]_755"/>
      <sheetName val="[입찰안_xls][입찰안_xls][입찰안_xls]_756"/>
      <sheetName val="[입찰안_xls][입찰안_xls][입찰안_xls]_757"/>
      <sheetName val="[입찰안_xls][입찰안_xls][입찰안_xls]_758"/>
      <sheetName val="[입찰안_xls][입찰안_xls][입찰안_xls]_759"/>
      <sheetName val="[입찰안_xls][입찰안_xls][입찰안_xls]_760"/>
      <sheetName val="[입찰안_xls][입찰안_xls][입찰안_xls]_761"/>
      <sheetName val="[입찰안_xls][입찰안_xls][입찰안_xls]_762"/>
      <sheetName val="[입찰안_xls][입찰안_xls][입찰안_xls]_763"/>
      <sheetName val="[입찰안_xls][입찰안_xls][입찰안_xls]_764"/>
      <sheetName val="[입찰안_xls][입찰안_xls][입찰안_xls]_765"/>
      <sheetName val="[입찰안_xls][입찰안_xls][입찰안_xls]_766"/>
      <sheetName val="[입찰안_xls][입찰안_xls][입찰안_xls]__12"/>
      <sheetName val="[입찰안_xls][입찰안_xls][입찰안_xls]__13"/>
      <sheetName val="[입찰안_xls][입찰안_xls][입찰안_xls]__14"/>
      <sheetName val="[입찰안_xls][입찰안_xls][입찰안_xls]__15"/>
      <sheetName val="[입찰안_xls][입찰안_xls][입찰안_xls]__16"/>
      <sheetName val="[입찰안_xls][입찰안_xls][입찰안_xls]__17"/>
      <sheetName val="[입찰안_xls][입찰안_xls][입찰안_xls]_767"/>
      <sheetName val="[입찰안_xls][입찰안_xls][입찰안_xls]_778"/>
      <sheetName val="[입찰안_xls][입찰안_xls][입찰안_xls]_770"/>
      <sheetName val="[입찰안_xls][입찰안_xls][입찰안_xls]_773"/>
      <sheetName val="[입찰안_xls][입찰안_xls][입찰안_xls]_772"/>
      <sheetName val="[입찰안_xls][입찰안_xls][입찰안_xls]_768"/>
      <sheetName val="[입찰안_xls][입찰안_xls][입찰안_xls]_769"/>
      <sheetName val="[입찰안_xls][입찰안_xls][입찰안_xls]_771"/>
      <sheetName val="[입찰안_xls][입찰안_xls][입찰안_xls]_774"/>
      <sheetName val="[입찰안_xls][입찰안_xls][입찰안_xls]_775"/>
      <sheetName val="[입찰안_xls][입찰안_xls][입찰안_xls]_776"/>
      <sheetName val="[입찰안_xls][입찰안_xls][입찰안_xls]_777"/>
      <sheetName val="[입찰안_xls][입찰안_xls][입찰안_xls]_779"/>
      <sheetName val="[입찰안_xls][입찰안_xls][입찰안_xls]_780"/>
      <sheetName val="[입찰안_xls][입찰안_xls][입찰안_xls]_781"/>
      <sheetName val="[입찰안_xls][입찰안_xls][입찰안_xls]_782"/>
      <sheetName val="[입찰안_xls][입찰안_xls][입찰안_xls]_783"/>
      <sheetName val="[입찰안_xls][입찰안_xls][입찰안_xls]_822"/>
      <sheetName val="[입찰안_xls][입찰안_xls][입찰안_xls]_814"/>
      <sheetName val="[입찰안_xls][입찰안_xls][입찰안_xls]_816"/>
      <sheetName val="[입찰안_xls][입찰안_xls][입찰안_xls]_815"/>
      <sheetName val="[입찰안_xls][입찰안_xls][입찰안_xls]_784"/>
      <sheetName val="[입찰안_xls][입찰안_xls][입찰안_xls]_785"/>
      <sheetName val="[입찰안_xls][입찰안_xls][입찰안_xls]_786"/>
      <sheetName val="[입찰안_xls][입찰안_xls][입찰안_xls]_787"/>
      <sheetName val="[입찰안_xls][입찰안_xls][입찰안_xls]_788"/>
      <sheetName val="[입찰안_xls][입찰안_xls][입찰안_xls]_789"/>
      <sheetName val="[입찰안_xls][입찰안_xls][입찰안_xls]_794"/>
      <sheetName val="[입찰안_xls][입찰안_xls][입찰안_xls]_795"/>
      <sheetName val="[입찰안_xls][입찰안_xls][입찰안_xls]_790"/>
      <sheetName val="[입찰안_xls][입찰안_xls][입찰안_xls]_791"/>
      <sheetName val="[입찰안_xls][입찰안_xls][입찰안_xls]_792"/>
      <sheetName val="[입찰안_xls][입찰안_xls][입찰안_xls]_793"/>
      <sheetName val="[입찰안_xls][입찰안_xls][입찰안_xls]_796"/>
      <sheetName val="[입찰안_xls][입찰안_xls][입찰안_xls]_797"/>
      <sheetName val="[입찰안_xls][입찰안_xls][입찰안_xls]_798"/>
      <sheetName val="[입찰안_xls][입찰안_xls][입찰안_xls]_799"/>
      <sheetName val="[입찰안_xls][입찰안_xls][입찰안_xls]_800"/>
      <sheetName val="[입찰안_xls][입찰안_xls][입찰안_xls]_801"/>
      <sheetName val="[입찰안_xls][입찰안_xls][입찰안_xls]_803"/>
      <sheetName val="[입찰안_xls][입찰안_xls][입찰안_xls]_802"/>
      <sheetName val="[입찰안_xls][입찰안_xls][입찰안_xls]_804"/>
      <sheetName val="[입찰안_xls][입찰안_xls][입찰안_xls]_805"/>
      <sheetName val="[입찰안_xls][입찰안_xls][입찰안_xls]_806"/>
      <sheetName val="[입찰안_xls][입찰안_xls][입찰안_xls]_807"/>
      <sheetName val="[입찰안_xls][입찰안_xls][입찰안_xls]_808"/>
      <sheetName val="[입찰안_xls][입찰안_xls][입찰안_xls]_809"/>
      <sheetName val="[입찰안_xls][입찰안_xls][입찰안_xls]_810"/>
      <sheetName val="[입찰안_xls][입찰안_xls][입찰안_xls]_811"/>
      <sheetName val="[입찰안_xls][입찰안_xls][입찰안_xls]_812"/>
      <sheetName val="[입찰안_xls][입찰안_xls][입찰안_xls]_813"/>
      <sheetName val="[입찰안_xls][입찰안_xls][입찰안_xls]_817"/>
      <sheetName val="[입찰안_xls][입찰안_xls][입찰안_xls]_818"/>
      <sheetName val="[입찰안_xls][입찰안_xls][입찰안_xls]_819"/>
      <sheetName val="[입찰안_xls][입찰안_xls][입찰안_xls]_820"/>
      <sheetName val="[입찰안_xls][입찰안_xls][입찰안_xls]_821"/>
      <sheetName val="[입찰안_xls][입찰안_xls][입찰안_xls]_823"/>
      <sheetName val="[입찰안_xls][입찰안_xls][입찰안_xls]_824"/>
      <sheetName val="[입찰안_xls][입찰안_xls][입찰안_xls]_825"/>
      <sheetName val="[입찰안_xls][입찰안_xls][입찰안_xls]_826"/>
      <sheetName val="[입찰안_xls][입찰안_xls][입찰안_xls]_827"/>
      <sheetName val="[입찰안_xls][입찰안_xls][입찰안_xls]_829"/>
      <sheetName val="[입찰안_xls][입찰안_xls][입찰안_xls]_828"/>
      <sheetName val="[입찰안_xls][입찰안_xls][입찰안_xls]_833"/>
      <sheetName val="[입찰안_xls][입찰안_xls][입찰안_xls]_834"/>
      <sheetName val="[입찰안_xls][입찰안_xls][입찰안_xls]_835"/>
      <sheetName val="[입찰안_xls][입찰안_xls][입찰안_xls]_836"/>
      <sheetName val="[입찰안_xls][입찰안_xls][입찰안_xls]_837"/>
      <sheetName val="[입찰안_xls][입찰안_xls][입찰안_xls]_842"/>
      <sheetName val="[입찰안_xls][입찰안_xls][입찰안_xls]_838"/>
      <sheetName val="MAIN_GATE_HOUSE"/>
      <sheetName val="worksheet_inchican"/>
      <sheetName val="combined_9-30"/>
      <sheetName val="CT_Thang_Mo"/>
      <sheetName val="Cst_Pkg-Eden"/>
      <sheetName val="Unt_rate_SS"/>
      <sheetName val="TONG_HOP_GIA_TRI"/>
      <sheetName val="CHITIET_VL-NC-TT_-1p"/>
      <sheetName val="CHITIET_VL-NC-TT-3p"/>
      <sheetName val="TONG_HOP_VL-NC_TT"/>
      <sheetName val="KPVC-BD_"/>
      <sheetName val="KLDT_DIEN"/>
      <sheetName val="전기혼잡제경비(45"/>
      <sheetName val="#2_노임단가"/>
      <sheetName val="원료비2(2000_10-09)"/>
      <sheetName val="[입찰안_xls][입찰안_xls][입찰안_xls]_839"/>
      <sheetName val="[입찰안_xls][입찰안_xls][입찰안_xls]_840"/>
      <sheetName val="[입찰안_xls][입찰안_xls][입찰안_xls]_841"/>
      <sheetName val="[입찰안_xls][입찰안_xls][입찰안_xls]_843"/>
      <sheetName val="[입찰안_xls][입찰안_xls][입찰안_xls]_844"/>
      <sheetName val="[입찰안_xls][입찰안_xls][입찰안_xls]_845"/>
      <sheetName val="[입찰안_xls][입찰안_xls][입찰안_xls]_846"/>
      <sheetName val="[입찰안_xls][입찰안_xls][입찰안_xls]_847"/>
      <sheetName val="[입찰안_xls][입찰안_xls][입찰안_xls]_848"/>
      <sheetName val="[입찰안_xls][입찰안_xls][입찰안_xls]_849"/>
      <sheetName val="[입찰안_xls][입찰안_xls][입찰안_xls]_850"/>
      <sheetName val="[입찰안_xls][입찰안_xls][입찰안_xls]_851"/>
      <sheetName val="[입찰안_xls][입찰안_xls][입찰안_xls]_852"/>
      <sheetName val="[입찰안_xls][입찰안_xls][입찰안_xls]_853"/>
      <sheetName val="[입찰안_xls][입찰안_xls][입찰안_xls]_854"/>
      <sheetName val="[입찰안_xls][입찰안_xls][입찰안_xls]_855"/>
      <sheetName val="[입찰안_xls][입찰안_xls][입찰안_xls]_856"/>
      <sheetName val="[입찰안_xls][입찰안_xls][입찰안_xls]_857"/>
      <sheetName val="[입찰안_xls][입찰안_xls][입찰안_xls]_860"/>
      <sheetName val="[입찰안_xls][입찰안_xls][입찰안_xls]_859"/>
      <sheetName val="[입찰안_xls][입찰안_xls][입찰안_xls]_858"/>
      <sheetName val="[입찰안_xls][입찰안_xls][입찰안_xls]_861"/>
      <sheetName val="[입찰안_xls][입찰안_xls][입찰안_xls]_862"/>
      <sheetName val="[입찰안_xls][입찰안_xls][입찰안_xls]_863"/>
      <sheetName val="[입찰안_xls][입찰안_xls][입찰안_xls]_864"/>
      <sheetName val="[입찰안_xls][입찰안_xls][입찰안_xls]_877"/>
      <sheetName val="[입찰안_xls][입찰안_xls][입찰안_xls]_869"/>
      <sheetName val="[입찰안_xls][입찰안_xls][입찰안_xls]_878"/>
      <sheetName val="[입찰안_xls][입찰안_xls][입찰안_xls]_865"/>
      <sheetName val="[입찰안_xls][입찰안_xls][입찰안_xls]_866"/>
      <sheetName val="[입찰안_xls][입찰안_xls][입찰안_xls]_867"/>
      <sheetName val="[입찰안_xls][입찰안_xls][입찰안_xls]_868"/>
      <sheetName val="[입찰안_xls][입찰안_xls][입찰안_xls]_870"/>
      <sheetName val="[입찰안_xls][입찰안_xls][입찰안_xls]_871"/>
      <sheetName val="[입찰안_xls][입찰안_xls][입찰안_xls]_872"/>
      <sheetName val="[입찰안_xls][입찰안_xls][입찰안_xls]_873"/>
      <sheetName val="[입찰안_xls][입찰안_xls][입찰안_xls]_874"/>
      <sheetName val="[입찰안_xls][입찰안_xls][입찰안_xls]_881"/>
      <sheetName val="[입찰안_xls][입찰안_xls][입찰안_xls]_875"/>
      <sheetName val="[입찰안_xls][입찰안_xls][입찰안_xls]_876"/>
      <sheetName val="[입찰안_xls][입찰안_xls][입찰안_xls]_879"/>
      <sheetName val="[입찰안_xls][입찰안_xls][입찰안_xls]_880"/>
      <sheetName val="[입찰안_xls][입찰안_xls][입찰안_xls]_882"/>
      <sheetName val="[입찰안_xls][입찰안_xls][입찰안_xls]_883"/>
      <sheetName val="[입찰안_xls][입찰안_xls][입찰안_xls]_884"/>
      <sheetName val="[입찰안_xls][입찰안_xls][입찰안_xls]_885"/>
      <sheetName val="2선재"/>
      <sheetName val="Job Assign"/>
      <sheetName val="정미시간"/>
      <sheetName val="1221"/>
      <sheetName val="가격표"/>
      <sheetName val="[입찰안.xls][입찰안.xls]_____xls_2325"/>
      <sheetName val="[입찰안.xls][입찰안.xls]_____xls_2326"/>
      <sheetName val="[입찰안.xls][입찰안.xls]_____xls_2341"/>
      <sheetName val="[입찰안.xls][입찰안.xls]_____xls_2331"/>
      <sheetName val="[입찰안.xls][입찰안.xls]_____xls_2330"/>
      <sheetName val="[입찰안.xls][입찰안.xls]_____xls_2334"/>
      <sheetName val="[입찰안.xls][입찰안.xls]_____xls_2335"/>
      <sheetName val="[입찰안.xls][입찰안.xls]_____xls_2336"/>
      <sheetName val="[입찰안.xls][입찰안.xls]_____xls_2332"/>
      <sheetName val="[입찰안.xls][입찰안.xls]_____xls_2333"/>
      <sheetName val="[입찰안.xls][입찰안.xls]_____xls_2337"/>
      <sheetName val="[입찰안.xls][입찰안.xls]_____xls_2339"/>
      <sheetName val="[입찰안.xls][입찰안.xls]_____xls_2338"/>
      <sheetName val="[입찰안.xls][입찰안.xls]_____xls_2340"/>
      <sheetName val="[입찰안.xls][입찰안.xls]_____xls_2342"/>
      <sheetName val="[입찰안.xls][입찰안.xls]_____xls_2343"/>
      <sheetName val="[입찰안.xls][입찰안.xls]_____xls_2344"/>
      <sheetName val="[입찰안.xls][입찰안.xls]_____xls_2345"/>
      <sheetName val="[입찰안.xls][입찰안.xls]_____xls_2350"/>
      <sheetName val="[입찰안.xls][입찰안.xls]_____xls_2351"/>
      <sheetName val="[입찰안.xls][입찰안.xls]_____xls_2346"/>
      <sheetName val="[입찰안.xls][입찰안.xls]_____xls_2349"/>
      <sheetName val="[입찰안.xls][입찰안.xls]_____xls_2347"/>
      <sheetName val="[입찰안.xls][입찰안.xls]_____xls_2348"/>
      <sheetName val="[입찰안.xls][입찰안.xls]_____xls_2358"/>
      <sheetName val="[입찰안.xls][입찰안.xls]_____xls_2353"/>
      <sheetName val="[입찰안.xls][입찰안.xls]_____xls_2359"/>
      <sheetName val="[입찰안.xls][입찰안.xls]_____xls_2352"/>
      <sheetName val="[입찰안.xls][입찰안.xls]_____xls_2354"/>
      <sheetName val="[입찰안.xls][입찰안.xls]_____xls_2355"/>
      <sheetName val="[입찰안.xls][입찰안.xls]_____xls_2356"/>
      <sheetName val="[입찰안.xls][입찰안.xls]_____xls_2357"/>
      <sheetName val="[입찰안.xls][입찰안.xls]_____xls_2362"/>
      <sheetName val="[입찰안.xls][입찰안.xls]_____xls_2360"/>
      <sheetName val="[입찰안.xls][입찰안.xls]_____xls_2361"/>
      <sheetName val="[입찰안.xls][입찰안.xls]_____xls_2411"/>
      <sheetName val="[입찰안.xls][입찰안.xls]_____xls_2410"/>
      <sheetName val="[입찰안.xls][입찰안.xls]_____xls_2451"/>
      <sheetName val="[입찰안_xls][입찰안_xls]B:\입찰안_xls1"/>
      <sheetName val="노_표-조1"/>
      <sheetName val="Requirement(Work_Crew)1"/>
      <sheetName val="General_Data1"/>
      <sheetName val="사__업__비__수__지__예__산__서1"/>
      <sheetName val="B:\입찰안_xls1"/>
      <sheetName val="[입찰안_xls]B:\입찰안_xls1"/>
      <sheetName val="Sheet2_(2)1"/>
      <sheetName val="A_LINE1"/>
      <sheetName val="주안3차A-A"/>
      <sheetName val="[입찰안.xls][입찰안.xls]_____xls_2366"/>
      <sheetName val="[입찰안.xls][입찰안.xls]_____xls_2367"/>
      <sheetName val="[입찰안.xls][입찰안.xls]_____xls_2365"/>
      <sheetName val="현금및현금등가물1"/>
      <sheetName val="환율차"/>
      <sheetName val="자산TOTAL"/>
      <sheetName val="주민번호"/>
      <sheetName val="CAUDIT"/>
      <sheetName val="7.안전관㣸C"/>
      <sheetName val="생산직"/>
      <sheetName val="결재탔"/>
      <sheetName val="À_x0000__x0000__x0000__x0000__x0000__x0000__x0000__x0000_"/>
      <sheetName val="자재목록"/>
      <sheetName val="DD EST."/>
      <sheetName val="Du lieu"/>
      <sheetName val="단면A-A(TR)"/>
      <sheetName val="DG ke"/>
      <sheetName val="DTXL"/>
      <sheetName val="수정시산표"/>
      <sheetName val="CT35"/>
      <sheetName val="Calculations"/>
      <sheetName val="PSW_Sheet"/>
      <sheetName val="대비2"/>
      <sheetName val="직접뀀鞖/_x005f_x0000_"/>
      <sheetName val="정리계槜〚_x005f_x0000__x005f_x0000_䇀"/>
      <sheetName val="design_crit_x005f_x0000__x005f_x0000__x00_2"/>
      <sheetName val="내역_verᔈ_x005f_x0000__x005f_x0000_"/>
      <sheetName val="계산_x005f_x0000__x005f_x0000_"/>
      <sheetName val="1_2_3_4_x005f_x0005__x005f_x0000___x005f_x0000__2"/>
      <sheetName val="6_산출닑⾱_x005f_x0005__x005f_x0000_"/>
      <sheetName val="조도계산서Å_x005f_x0000_Ԁ_x005f_x0000__x005f_x0000_"/>
      <sheetName val="조도계산서Å_x005f_x0000_Ԁ_x005f_x0000_耀"/>
      <sheetName val="공량·_x005f_x0000__x005f_x0000_"/>
      <sheetName val="working_load_at_______x005f_x0000___2"/>
      <sheetName val="[입찰안.xls]직접뀀鞖/_x005f_x0000_"/>
      <sheetName val="[입찰안.xls][입찰안.xls]직접뀀鞖/_x005f_x0000_"/>
      <sheetName val="_____x005f_x0000__x005f_x0000__x005f_x0005__x00_2"/>
      <sheetName val="plan_section_of__x005f_x0000__x005f_x0000_2"/>
      <sheetName val="원_x005f_x0000__x005f_x0000_"/>
      <sheetName val="1,2,3,4_x005f_x0005_"/>
      <sheetName val="단_x005f_x0005__x005f_x0000_"/>
      <sheetName val="공기압¬_x005f_x0000_Ԁ"/>
      <sheetName val="pile_bearing_capa__________x0_2"/>
      <sheetName val="pile_bearing_capa________x000_2"/>
      <sheetName val="일위대가(집계_x005f_x0000_"/>
      <sheetName val="정리계槜で_x005f_x0000__x005f_x0000_ｐ"/>
      <sheetName val="정리계槜で_x005f_x0000__x005f_x0000_㟠"/>
      <sheetName val="_________x005f_x0000__x005f_x0000__x005f_x0005__2"/>
      <sheetName val="_________x005f_x0000__x005f_x0000__x005f_x0005__3"/>
      <sheetName val="pile_bearing_ca____x005f_x0000______2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수량산출서집´_x005f_x0000_Ԁ_x005f_x0000_耀֜䌛"/>
      <sheetName val="전기혼잡제경⻉ⴋԯ_x005f_x0000_缀"/>
      <sheetName val="일위대가_x005f_x0000__x005f_x0000_렀"/>
      <sheetName val="일위대가耀쾑_x005f_x0000_"/>
      <sheetName val="조도계산서Ì_x005f_x0000_Ԁ_x005f_x0000_耀"/>
      <sheetName val="______x005f_x005f_x005f_x0000__x005f_x005f_x000_2"/>
      <sheetName val="____x005f_x005f_x005f_x0000__x005f_x005f_x005f_x0000__2"/>
      <sheetName val="공기압舓⿫_x005f_x005f_x005f_x0005_"/>
      <sheetName val="I_설계조_x005f_x005f_x005f_x0000_"/>
      <sheetName val="조도계산서_(도서_x005f_x005f_x005f_x0000_"/>
      <sheetName val="주bea_x005f_x005f_x005f_xdcf0_"/>
      <sheetName val="대_x005f_x005f_x005f_x0000__x005f_x005f_x005f_x0000_"/>
      <sheetName val="장悱_x005f_x0017_"/>
      <sheetName val="3련_BÈ_x005f_x0000_"/>
      <sheetName val="plan_section_of__x005f_x0010__x005f_x0000_2"/>
      <sheetName val="집계장(Â_x005f_x0000_蠀1_x005f_x0000__x005f_x0000_"/>
      <sheetName val="집계장(뀀ﰡ_x005f_x0000_䀰"/>
      <sheetName val="design_c_x005f_x0000__x005f_x0000______x0_2"/>
      <sheetName val="POL6차-PIPÁ_x005f_x0000_Ԁ"/>
      <sheetName val="stability_x005f_xdc00_䘢䠂檱䠛檳"/>
      <sheetName val="노원열병합__건축공사기성내역_x005f_x0000_"/>
      <sheetName val="[입찰안.xls][입찰안.xls]_____xls_2363"/>
      <sheetName val="[입찰안.xls][입찰안.xls]_____xls_2364"/>
      <sheetName val="[입찰안.xls][입찰안.xls]_____xls_2386"/>
      <sheetName val="[입찰안.xls][입찰안.xls]_____xls_2384"/>
      <sheetName val="[입찰안.xls][입찰안.xls]_____xls_2385"/>
      <sheetName val="[입찰안.xls][입찰안.xls]__찰안_xls_1005"/>
      <sheetName val="[입찰안.xls][입찰안.xls]__찰안_xls_1004"/>
      <sheetName val="[입찰안.xls][입찰안.xls]_____xls_2374"/>
      <sheetName val="[입찰안.xls][입찰안.xls]_____xls_2375"/>
      <sheetName val="[입찰안.xls][입찰안.xls]_____xls_2368"/>
      <sheetName val="[입찰안.xls][입찰안.xls]_____xls_2369"/>
      <sheetName val="[입찰안.xls][입찰안.xls]_____xls_2372"/>
      <sheetName val="[입찰안.xls][입찰안.xls]_____xls_2370"/>
      <sheetName val="[입찰안.xls][입찰안.xls]_____xls_2371"/>
      <sheetName val="[입찰안.xls][입찰안.xls]_____xls_2373"/>
      <sheetName val="[입찰안.xls][입찰안.xls]_____xls_2376"/>
      <sheetName val="[입찰안.xls][입찰안.xls]_____xls_2383"/>
      <sheetName val="[입찰안.xls][입찰안.xls]_____xls_2382"/>
      <sheetName val="[입찰안.xls][입찰안.xls]_____xls_2381"/>
      <sheetName val="[입찰안.xls][입찰안.xls]_____xls_2379"/>
      <sheetName val="[입찰안.xls][입찰안.xls]_____xls_2377"/>
      <sheetName val="[입찰안.xls][입찰안.xls]_____xls_2378"/>
      <sheetName val="[입찰안.xls][입찰안.xls]_____xls_2380"/>
      <sheetName val="[입찰안.xls][입찰안.xls]_____xls_2387"/>
      <sheetName val="FORM-0"/>
      <sheetName val="명단"/>
      <sheetName val="제조 경영"/>
      <sheetName val="[입찰안.xls][입찰안.xls]_____xls_2402"/>
      <sheetName val="[입찰안.xls][입찰안.xls]_____xls_2403"/>
      <sheetName val="[입찰안.xls][입찰안.xls]_____xls_2404"/>
      <sheetName val="[입찰안.xls][입찰안.xls]_____xls_2401"/>
      <sheetName val="[입찰안.xls][입찰안.xls]_____xls_2391"/>
      <sheetName val="[입찰안.xls][입찰안.xls]_____xls_2392"/>
      <sheetName val="[입찰안.xls][입찰안.xls]_____xls_2389"/>
      <sheetName val="[입찰안.xls][입찰안.xls]_____xls_2390"/>
      <sheetName val="[입찰안.xls][입찰안.xls]_____xls_2388"/>
      <sheetName val="[입찰안.xls][입찰안.xls]_____xls_2396"/>
      <sheetName val="[입찰안.xls][입찰안.xls]_____xls_2393"/>
      <sheetName val="[입찰안.xls][입찰안.xls]_____xls_2394"/>
      <sheetName val="[입찰안.xls][입찰안.xls]_____xls_2397"/>
      <sheetName val="[입찰안.xls][입찰안.xls]_____xls_2398"/>
      <sheetName val="[입찰안.xls][입찰안.xls]_____xls_2395"/>
      <sheetName val="[입찰안.xls][입찰안.xls]_____xls_2399"/>
      <sheetName val="[입찰안.xls][입찰안.xls]_____xls_2400"/>
      <sheetName val="[입찰안.xls][입찰안.xls]_____xls_2405"/>
      <sheetName val="[입찰안.xls][입찰안.xls]_____xls_2407"/>
      <sheetName val="[입찰안.xls][입찰안.xls]_____xls_2406"/>
      <sheetName val="[입찰안.xls][입찰안.xls]_____xls_2409"/>
      <sheetName val="[입찰안.xls][입찰안.xls]_____xls_2408"/>
      <sheetName val="입찰내역 발주처 양식"/>
      <sheetName val="기성금내역서"/>
      <sheetName val="SCE_LOG"/>
      <sheetName val="[입찰안.xls][입찰안.xls]_____xls_2447"/>
      <sheetName val="[입찰안.xls][입찰안.xls]_____xls_2448"/>
      <sheetName val="[입찰안.xls][입찰안.xls]_____xls_2445"/>
      <sheetName val="[입찰안.xls][입찰안.xls]_____xls_2446"/>
      <sheetName val="[입찰안.xls][입찰안.xls]_____xls_2441"/>
      <sheetName val="[입찰안.xls][입찰안.xls]_____xls_2443"/>
      <sheetName val="[입찰안.xls][입찰안.xls]_____xls_2444"/>
      <sheetName val="참고2.조달내역"/>
      <sheetName val="일용직"/>
      <sheetName val="7내역"/>
      <sheetName val="[입찰안.xls][입찰안.xls]_____xls_2434"/>
      <sheetName val="[입찰안.xls][입찰안.xls]_____xls_2435"/>
      <sheetName val="[입찰안.xls][입찰안.xls]_____xls_2436"/>
      <sheetName val="[입찰안.xls][입찰안.xls]_____xls_2418"/>
      <sheetName val="5호광장_(만점)11"/>
      <sheetName val="인천국제_(만점)_(2)11"/>
      <sheetName val="Total_단위경유량집계11"/>
      <sheetName val="BH-1_(2)11"/>
      <sheetName val="표__지11"/>
      <sheetName val="준검_내역서11"/>
      <sheetName val="토공유동표(전체_당초)11"/>
      <sheetName val="1_수인터널11"/>
      <sheetName val="앉음벽_(2)11"/>
      <sheetName val="_HIT__HMC_견적_3900_11"/>
      <sheetName val="I_설계조건11"/>
      <sheetName val="4_전기11"/>
      <sheetName val="7__현장관리비_11"/>
      <sheetName val="6__안전관리비11"/>
      <sheetName val="1_설계조건11"/>
      <sheetName val="소포내역_(2)11"/>
      <sheetName val="노원열병합__건축공사기성내역서11"/>
      <sheetName val="조도계산서_(도서)11"/>
      <sheetName val="3련_BOX11"/>
      <sheetName val="11_산출(전열)11"/>
      <sheetName val="6_산출(동력)11"/>
      <sheetName val="7_산출(TRAY)11"/>
      <sheetName val="5_산출(전력)10"/>
      <sheetName val="수량산출서(전력간선_지하D_C)10"/>
      <sheetName val="MSS_211"/>
      <sheetName val="우수관매설및_우수받이11"/>
      <sheetName val="11_우각부_보강11"/>
      <sheetName val="제출내역_(2)11"/>
      <sheetName val="플랜트_설치10"/>
      <sheetName val="보고서_기기리스트10"/>
      <sheetName val="2_1__노무비_평균단가산출10"/>
      <sheetName val="내역_ver1_011"/>
      <sheetName val="내___역10"/>
      <sheetName val="plan&amp;section_of_foundation11"/>
      <sheetName val="pile_bearing_capa_&amp;_arrenge11"/>
      <sheetName val="working_load_at_the_btm_ft_11"/>
      <sheetName val="stability_check11"/>
      <sheetName val="design_criteria11"/>
      <sheetName val="배수내역_(2)10"/>
      <sheetName val="배수공_시멘트_및_골재량_산출10"/>
      <sheetName val="A_견적10"/>
      <sheetName val="Customer_Databas10"/>
      <sheetName val="목차_10"/>
      <sheetName val="6PILE__(돌출)10"/>
      <sheetName val="_HIT-&gt;HMC_견적(3900)10"/>
      <sheetName val="전_기10"/>
      <sheetName val="spc_배관견적10"/>
      <sheetName val="SHEET_PILE단가10"/>
      <sheetName val="unit_410"/>
      <sheetName val="BH_1__2_10"/>
      <sheetName val="도담구내_개소별_명세10"/>
      <sheetName val="화재_탐지_설비10"/>
      <sheetName val="귀래_설계_공내역서10"/>
      <sheetName val="2차전체변경예정_(2)10"/>
      <sheetName val="3_1공사현황_공정표10"/>
      <sheetName val="개인별_순위표10"/>
      <sheetName val="세골재__T2_변경_현황10"/>
      <sheetName val="8_현장관리비10"/>
      <sheetName val="7_안전관리비10"/>
      <sheetName val="1_설계기준10"/>
      <sheetName val="1_취수장10"/>
      <sheetName val="설_계10"/>
      <sheetName val="Cash_Flow-110"/>
      <sheetName val="노임_단가10"/>
      <sheetName val="投标材料清单_10"/>
      <sheetName val="별표_10"/>
      <sheetName val="3_공통공사대비10"/>
      <sheetName val="단가_및_재료비10"/>
      <sheetName val="내역서_10"/>
      <sheetName val="집_계_표10"/>
      <sheetName val="RETAIL_(ABOVE)10"/>
      <sheetName val="5__현장관리비(new)_10"/>
      <sheetName val="노임단가_(2)10"/>
      <sheetName val="7_공정표10"/>
      <sheetName val="단면_(2)10"/>
      <sheetName val="장비비_명세서110"/>
      <sheetName val="단___산9"/>
      <sheetName val="실____단9"/>
      <sheetName val="6__수량산출서9"/>
      <sheetName val="노무비_근거9"/>
      <sheetName val="참조_(2)9"/>
      <sheetName val="2_대외공문10"/>
      <sheetName val="Eq__Mobilization10"/>
      <sheetName val="_갑지9"/>
      <sheetName val="제수변_수량집계표(보통)9"/>
      <sheetName val="장비_(2)9"/>
      <sheetName val="3BL공동구_수량9"/>
      <sheetName val="전선_및_전선관9"/>
      <sheetName val="CM_19"/>
      <sheetName val="5_동별횡주관경9"/>
      <sheetName val="암거_제원표9"/>
      <sheetName val="내역서1999_8최종9"/>
      <sheetName val="Sheet1_(2)9"/>
      <sheetName val="수량산출서_(2)8"/>
      <sheetName val="토공_total8"/>
      <sheetName val="기성(1차)_8"/>
      <sheetName val="전사_(2)8"/>
      <sheetName val="BA_(2)8"/>
      <sheetName val="CP_(2)8"/>
      <sheetName val="일위대가56-1_8"/>
      <sheetName val="일위대가71-1_8"/>
      <sheetName val="일위대가74-1_8"/>
      <sheetName val="일위대가76-1_8"/>
      <sheetName val="일위대가77-1_8"/>
      <sheetName val="일위대가78-1_8"/>
      <sheetName val="_소방공사_산출근거8"/>
      <sheetName val="습식및_셀프레벨링9"/>
      <sheetName val="1차_내역서9"/>
      <sheetName val="BSD_(2)8"/>
      <sheetName val="바_한일양산8"/>
      <sheetName val="Project_Brief8"/>
      <sheetName val="영업_일18"/>
      <sheetName val="기기_내역서8"/>
      <sheetName val="일위대가_9"/>
      <sheetName val="4_LINE9"/>
      <sheetName val="7_th9"/>
      <sheetName val="1_CB8"/>
      <sheetName val="유효폭의_계산7"/>
      <sheetName val="아파트_7"/>
      <sheetName val="변경명신물량_(2)8"/>
      <sheetName val="토공_토적표8"/>
      <sheetName val="갑지_을지7"/>
      <sheetName val="2-2_매출분석7"/>
      <sheetName val="미납품_현황7"/>
      <sheetName val="STEEL_BOX_단면설계(SEC_8)7"/>
      <sheetName val="도담구내_개소별_명柖9"/>
      <sheetName val="danh_muc_vat_tu9"/>
      <sheetName val="Register-BG_NCC9"/>
      <sheetName val="Data_29"/>
      <sheetName val="TB_chính9"/>
      <sheetName val="Steel_pipe9"/>
      <sheetName val="Ref_pipe+Ins9"/>
      <sheetName val="Plastic_pipe9"/>
      <sheetName val="Air_Grilles9"/>
      <sheetName val="Cost_bd-&quot;A&quot;9"/>
      <sheetName val="갑지_설계_내역서7"/>
      <sheetName val="기존단가_(2)8"/>
      <sheetName val="설명서_7"/>
      <sheetName val="_FURNACE현설6"/>
      <sheetName val="97_사업추정(WEKI)6"/>
      <sheetName val="8_설치품셈6"/>
      <sheetName val="ITB_COST7"/>
      <sheetName val="자격_땡겨오기7"/>
      <sheetName val="05년_상7"/>
      <sheetName val="영흥TL(UP,DOWN)_7"/>
      <sheetName val="단양_00_아파트-세부내역7"/>
      <sheetName val="2_단면가정_(양곡1교)7"/>
      <sheetName val="8_PILE__(돌출)7"/>
      <sheetName val="1_내역(청_하역장전등)7"/>
      <sheetName val="2000_056"/>
      <sheetName val="표지_(2)7"/>
      <sheetName val="Xunit_(단위환산)7"/>
      <sheetName val="4__VOs_summary8"/>
      <sheetName val="수량산출서_갑지7"/>
      <sheetName val="장비코드표_0506017"/>
      <sheetName val="2007년_생산1부장비7"/>
      <sheetName val="2008년_생산부전장비코드7"/>
      <sheetName val="DDB부_장비_관리현황7"/>
      <sheetName val="Chiet_tinh_dz358"/>
      <sheetName val="Bảng_mã_VT8"/>
      <sheetName val="DATA_LISTS6"/>
      <sheetName val="4_2_1_마루높이_검토7"/>
      <sheetName val="_견적서7"/>
      <sheetName val="품셈_6"/>
      <sheetName val="M-EMS_GP-570(BIT)6"/>
      <sheetName val="내역서_제출7"/>
      <sheetName val="19_07월_세_계6"/>
      <sheetName val="19_07항목별(시트복사금지100번쓰기)6"/>
      <sheetName val="19_05월6"/>
      <sheetName val="TABLE_DB6"/>
      <sheetName val="쌍용_data_base6"/>
      <sheetName val="내역(인테리어_실내)(도급)6"/>
      <sheetName val="내역(인테리어_실외)(도급)6"/>
      <sheetName val="Elec_LG6"/>
      <sheetName val="ESTI_6"/>
      <sheetName val="D_&amp;_W_sizes6"/>
      <sheetName val="Gia_vat_tu6"/>
      <sheetName val="dtct_cong6"/>
      <sheetName val="DGCT_(01)6"/>
      <sheetName val="SCOPE_OF_WORK6"/>
      <sheetName val="Chi_tiet6"/>
      <sheetName val="nhôm_1,2mm6"/>
      <sheetName val="nhôm_1,4mm6"/>
      <sheetName val="01__DATA6"/>
      <sheetName val="중기조종사_단위단가6"/>
      <sheetName val="자재기성_신청서_xlsx6"/>
      <sheetName val="0_목록16"/>
      <sheetName val="So_sanh5"/>
      <sheetName val="[입찰안_xls][입찰안_xls][입찰안_xls]B299"/>
      <sheetName val="[입찰안_xls][입찰안_xls][입찰안_xls]B300"/>
      <sheetName val="[입찰안_xls][입찰안_xls][입찰안_xls]B301"/>
      <sheetName val="[입찰안_xls][입찰안_xls][입찰안_xls]B302"/>
      <sheetName val="[입찰안_xls][입찰안_xls][입찰안_xls]B303"/>
      <sheetName val="[입찰안_xls][입찰안_xls][입찰안_xls]B304"/>
      <sheetName val="[입찰안_xls][입찰안_xls][입찰안_xls]B305"/>
      <sheetName val="[입찰안_xls][입찰안_xls][입찰안_xls]B306"/>
      <sheetName val="PROJ__DATA5"/>
      <sheetName val="_Beams_Sched_5"/>
      <sheetName val="[입찰안_xls][입찰안_xls][입찰안_xls]B307"/>
      <sheetName val="[입찰안_xls][입찰안_xls][입찰안_xls]B308"/>
      <sheetName val="[입찰안_xls][입찰안_xls][입찰안_xls]B309"/>
      <sheetName val="[입찰안_xls][입찰안_xls][입찰안_xls]B310"/>
      <sheetName val="[입찰안_xls][입찰안_xls][입찰안_xls]B311"/>
      <sheetName val="[입찰안_xls][입찰안_xls][입찰안_xls]B312"/>
      <sheetName val="[입찰안_xls][입찰안_xls][입찰안_xls]B313"/>
      <sheetName val="[입찰안_xls][입찰안_xls][입찰안_xls]B314"/>
      <sheetName val="[입찰안_xls][입찰안_xls][입찰안_xls]B315"/>
      <sheetName val="[입찰안_xls][입찰안_xls][입찰안_xls]B316"/>
      <sheetName val="[입찰안_xls][입찰안_xls][입찰안_xls]B317"/>
      <sheetName val="[입찰안_xls][입찰안_xls][입찰안_xls]B318"/>
      <sheetName val="[입찰안_xls][입찰안_xls][입찰안_xls]B319"/>
      <sheetName val="[입찰안_xls][입찰안_xls][입찰안_xls]B320"/>
      <sheetName val="[입찰안_xls][입찰안_xls][입찰안_xls]B321"/>
      <sheetName val="[입찰안_xls][입찰안_xls][입찰안_xls]B322"/>
      <sheetName val="[입찰안_xls][입찰안_xls][입찰안_xls]B323"/>
      <sheetName val="[입찰안_xls][입찰안_xls][입찰안_xls]B324"/>
      <sheetName val="[입찰안_xls][입찰안_xls][입찰안_xls]__24"/>
      <sheetName val="[입찰안_xls][입찰안_xls][입찰안_xls]__25"/>
      <sheetName val="[입찰안_xls][입찰안_xls][입찰안_xls]B325"/>
      <sheetName val="[입찰안_xls][입찰안_xls][입찰안_xls]B326"/>
      <sheetName val="[입찰안_xls][입찰안_xls][입찰안_xls]B327"/>
      <sheetName val="[입찰안_xls][입찰안_xls][입찰안_xls]B328"/>
      <sheetName val="Cọc_nhồi5"/>
      <sheetName val="Phan_tich_ca_may5"/>
      <sheetName val="Chenh_lech_ca_may5"/>
      <sheetName val="TLg_CN&amp;Laixe5"/>
      <sheetName val="TLg_CN&amp;Laixe_(2)5"/>
      <sheetName val="TLg_Laitau5"/>
      <sheetName val="TLg_Laitau_(2)5"/>
      <sheetName val="Dầm_15"/>
      <sheetName val="Gia_VLNCMTC5"/>
      <sheetName val="Sàn_T15"/>
      <sheetName val="Lỗ_thông_gió5"/>
      <sheetName val="Sàn_tầng_01_(_old_)5"/>
      <sheetName val="Chiet_tinh_don_gia_CM5"/>
      <sheetName val="Measure_13065"/>
      <sheetName val="EE_(3)5"/>
      <sheetName val="RAB_AR&amp;STR4"/>
      <sheetName val="Isolasi_Luar_Dalam4"/>
      <sheetName val="Isolasi_Luar4"/>
      <sheetName val="Div26_-_Elect4"/>
      <sheetName val="U_P_Breakdown4"/>
      <sheetName val="1_R18_BF4"/>
      <sheetName val="6_External_works-R184"/>
      <sheetName val="[입찰안_xls][입찰안_xls][입찰안_xls]B329"/>
      <sheetName val="[입찰안_xls][입찰안_xls][입찰안_xls]B330"/>
      <sheetName val="[입찰안_xls][입찰안_xls][입찰안_xls]B331"/>
      <sheetName val="[입찰안_xls][입찰안_xls][입찰안_xls]B332"/>
      <sheetName val="[입찰안_xls][입찰안_xls][입찰안_xls]B333"/>
      <sheetName val="[입찰안_xls][입찰안_xls][입찰안_xls]B334"/>
      <sheetName val="[입찰안_xls][입찰안_xls][입찰안_xls]B335"/>
      <sheetName val="[입찰안_xls][입찰안_xls][입찰안_xls]B336"/>
      <sheetName val="[입찰안_xls][입찰안_xls][입찰안_xls]B337"/>
      <sheetName val="[입찰안_xls][입찰안_xls][입찰안_xls]B338"/>
      <sheetName val="[입찰안_xls][입찰안_xls][입찰안_xls]B339"/>
      <sheetName val="[입찰안_xls][입찰안_xls][입찰안_xls]B340"/>
      <sheetName val="[입찰안_xls][입찰안_xls][입찰안_xls]B341"/>
      <sheetName val="[입찰안_xls][입찰안_xls][입찰안_xls]B342"/>
      <sheetName val="견적비교표_(2)3"/>
      <sheetName val="결재방(지우지_마세요)3"/>
      <sheetName val="EXCHANGE_RATE3"/>
      <sheetName val="[입찰안_xls][입찰안_xls][입찰안_xls]B343"/>
      <sheetName val="[입찰안_xls][입찰안_xls][입찰안_xls]B344"/>
      <sheetName val="TOWER_12TON3"/>
      <sheetName val="공사투입계획(변경결의)19_93"/>
      <sheetName val="노무비_월별지급현황19_93"/>
      <sheetName val="갑지(외주기성)19_93"/>
      <sheetName val="[입찰안_xls][입찰안_xls][입찰안_xls]B345"/>
      <sheetName val="노임단가_및_기계경비3"/>
      <sheetName val="실행내역서_3"/>
      <sheetName val="[입찰안_xls][입찰안_xls][입찰안_xls]B346"/>
      <sheetName val="[입찰안_xls][입찰안_xls][입찰안_xls]B347"/>
      <sheetName val="[입찰안_xls][입찰안_xls][입찰안_xls]B348"/>
      <sheetName val="[입찰안_xls][입찰안_xls][입찰안_xls]B349"/>
      <sheetName val="[입찰안_xls][입찰안_xls][입찰안_xls]B350"/>
      <sheetName val="[입찰안_xls][입찰안_xls][입찰안_xls]B351"/>
      <sheetName val="중강당_내역3"/>
      <sheetName val="[입찰안_xls][입찰안_xls][입찰안_xls]B352"/>
      <sheetName val="[입찰안_xls][입찰안_xls][입찰안_xls]B353"/>
      <sheetName val="[입찰안_xls][입찰안_xls][입찰안_xls]B354"/>
      <sheetName val="[입찰안_xls][입찰안_xls][입찰안_xls]B355"/>
      <sheetName val="[입찰안_xls][입찰안_xls][입찰안_xls]B356"/>
      <sheetName val="[입찰안_xls][입찰안_xls][입찰안_xls]B357"/>
      <sheetName val="[입찰안_xls][입찰안_xls][입찰안_xls]B358"/>
      <sheetName val="[입찰안_xls][입찰안_xls][입찰안_xls]B359"/>
      <sheetName val="[입찰안_xls][입찰안_xls][입찰안_xls]B360"/>
      <sheetName val="[입찰안_xls][입찰안_xls][입찰안_xls]B361"/>
      <sheetName val="[입찰안_xls][입찰안_xls][입찰안_xls]B362"/>
      <sheetName val="[입찰안_xls][입찰안_xls][입찰안_xls]B363"/>
      <sheetName val="[입찰안_xls][입찰안_xls][입찰안_xls]B364"/>
      <sheetName val="[입찰안_xls][입찰안_xls][입찰안_xls]B365"/>
      <sheetName val="6-1_보오링(1)3"/>
      <sheetName val="할증_4"/>
      <sheetName val="간접비_총괄표4"/>
      <sheetName val="노_표-조2"/>
      <sheetName val="[입찰안_xls][입찰안_xls][입찰안_xls]B366"/>
      <sheetName val="[입찰안_xls][입찰안_xls][입찰안_xls]B367"/>
      <sheetName val="Requirement(Work_Crew)2"/>
      <sheetName val="[입찰안_xls][입찰안_xls][입찰안_xls]B368"/>
      <sheetName val="[입찰안_xls][입찰안_xls][입찰안_xls]B369"/>
      <sheetName val="[입찰안_xls][입찰안_xls][입찰안_xls]B370"/>
      <sheetName val="[입찰안_xls][입찰안_xls][입찰안_xls]B371"/>
      <sheetName val="[입찰안_xls][입찰안_xls][입찰안_xls]B372"/>
      <sheetName val="[입찰안_xls][입찰안_xls][입찰안_xls]B373"/>
      <sheetName val="[입찰안_xls][입찰안_xls][입찰안_xls]B374"/>
      <sheetName val="[입찰안_xls][입찰안_xls][입찰안_xls]B375"/>
      <sheetName val="[입찰안_xls][입찰안_xls][입찰안_xls]B376"/>
      <sheetName val="[입찰안_xls][입찰안_xls][입찰안_xls]B377"/>
      <sheetName val="[입찰안_xls][입찰안_xls][입찰안_xls]B378"/>
      <sheetName val="[입찰안_xls][입찰안_xls][입찰안_xls]B379"/>
      <sheetName val="[입찰안_xls][입찰안_xls][입찰안_xls]B380"/>
      <sheetName val="[입찰안_xls][입찰안_xls][입찰안_xls]B381"/>
      <sheetName val="[입찰안_xls][입찰안_xls][입찰안_xls]B382"/>
      <sheetName val="[입찰안_xls][입찰안_xls][입찰안_xls]B383"/>
      <sheetName val="[입찰안_xls][입찰안_xls][입찰안_xls]B384"/>
      <sheetName val="[입찰안_xls][입찰안_xls][입찰안_xls]B385"/>
      <sheetName val="[입찰안_xls][입찰안_xls][입찰안_xls]B386"/>
      <sheetName val="[입찰안_xls][입찰안_xls][입찰안_xls]B387"/>
      <sheetName val="[입찰안_xls][입찰안_xls][입찰안_xls]B388"/>
      <sheetName val="[입찰안_xls][입찰안_xls][입찰안_xls]B389"/>
      <sheetName val="[입찰안_xls][입찰안_xls][입찰안_xls]B390"/>
      <sheetName val="[입찰안_xls][입찰안_xls][입찰안_xls]B391"/>
      <sheetName val="[입찰안_xls][입찰안_xls][입찰안_xls]B392"/>
      <sheetName val="[입찰안_xls][입찰안_xls][입찰안_xls]B393"/>
      <sheetName val="[입찰안_xls][입찰안_xls][입찰안_xls]B394"/>
      <sheetName val="[입찰안_xls][입찰안_xls][입찰안_xls]B395"/>
      <sheetName val="[입찰안_xls][입찰안_xls][입찰안_xls]_978"/>
      <sheetName val="[입찰안_xls][입찰안_xls][입찰안_xls]_979"/>
      <sheetName val="[입찰안_xls][입찰안_xls][입찰안_xls]B396"/>
      <sheetName val="[입찰안_xls][입찰안_xls][입찰안_xls]_980"/>
      <sheetName val="[입찰안_xls][입찰안_xls][입찰안_xls]_981"/>
      <sheetName val="[입찰안_xls][입찰안_xls][입찰안_xls]_982"/>
      <sheetName val="[입찰안_xls][입찰안_xls][입찰안_xls]_983"/>
      <sheetName val="[입찰안_xls][입찰안_xls][입찰안_xls]_984"/>
      <sheetName val="[입찰안_xls][입찰안_xls][입찰안_xls]_985"/>
      <sheetName val="[입찰안_xls][입찰안_xls][입찰안_xls]_986"/>
      <sheetName val="[입찰안_xls][입찰안_xls][입찰안_xls]_987"/>
      <sheetName val="[입찰안_xls][입찰안_xls][입찰안_xls]_988"/>
      <sheetName val="[입찰안_xls][입찰안_xls][입찰안_xls]_989"/>
      <sheetName val="[입찰안_xls][입찰안_xls][입찰안_xls]_990"/>
      <sheetName val="[입찰안_xls][입찰안_xls][입찰안_xls]_991"/>
      <sheetName val="[입찰안_xls][입찰안_xls][입찰안_xls]_992"/>
      <sheetName val="[입찰안_xls][입찰안_xls][입찰안_xls]_993"/>
      <sheetName val="[입찰안_xls][입찰안_xls][입찰안_xls]_994"/>
      <sheetName val="[입찰안_xls][입찰안_xls][입찰안_xls]_995"/>
      <sheetName val="[입찰안_xls][입찰안_xls][입찰안_xls]_996"/>
      <sheetName val="[입찰안_xls][입찰안_xls][입찰안_xls]_997"/>
      <sheetName val="[입찰안_xls][입찰안_xls][입찰안_xls]__26"/>
      <sheetName val="[입찰안_xls][입찰안_xls][입찰안_xls]_998"/>
      <sheetName val="[입찰안_xls][입찰안_xls][입찰안_xls]_999"/>
      <sheetName val="[입찰안_xls][입찰안_xls][입찰안_xls]1000"/>
      <sheetName val="[입찰안_xls][입찰안_xls][입찰안_xls]1001"/>
      <sheetName val="[입찰안_xls][입찰안_xls][입찰안_xls]1002"/>
      <sheetName val="[입찰안_xls][입찰안_xls][입찰안_xls]1003"/>
      <sheetName val="[입찰안_xls][입찰안_xls][입찰안_xls]1004"/>
      <sheetName val="[입찰안_xls][입찰안_xls][입찰안_xls]1005"/>
      <sheetName val="사__업__비__수__지__예__산__서2"/>
      <sheetName val="[입찰안_xls][입찰안_xls][입찰안_xls]1006"/>
      <sheetName val="General_Data2"/>
      <sheetName val="Bill_01_-_CTN4"/>
      <sheetName val="020_235_23634"/>
      <sheetName val="CHITIET_VL-NC-TT1p4"/>
      <sheetName val="Project_Infor4"/>
      <sheetName val="Data_input4"/>
      <sheetName val="[입찰안_xls][입찰안_xls][입찰안_xls]1007"/>
      <sheetName val="[입찰안_xls][입찰안_xls][입찰안_xls]1008"/>
      <sheetName val="[입찰안_xls][입찰안_xls][입찰안_xls]1009"/>
      <sheetName val="[입찰안_xls][입찰안_xls][입찰안_xls]1010"/>
      <sheetName val="[입찰안_xls][입찰안_xls][입찰안_xls]1011"/>
      <sheetName val="[입찰안_xls][입찰안_xls][입찰안_xls]1012"/>
      <sheetName val="[입찰안_xls][입찰안_xls][입찰안_xls]1013"/>
      <sheetName val="[입찰안_xls][입찰안_xls][입찰안_xls]1014"/>
      <sheetName val="[입찰안_xls][입찰안_xls][입찰안_xls]1015"/>
      <sheetName val="[입찰안_xls][입찰안_xls][입찰안_xls]1016"/>
      <sheetName val="[입찰안_xls][입찰안_xls][입찰안_xls]1017"/>
      <sheetName val="[입찰안_xls][입찰안_xls][입찰안_xls]1018"/>
      <sheetName val="[입찰안_xls][입찰안_xls][입찰안_xls]1019"/>
      <sheetName val="[입찰안_xls][입찰안_xls][입찰안_xls]1020"/>
      <sheetName val="[입찰안_xls][입찰안_xls][입찰안_xls]1021"/>
      <sheetName val="[입찰안_xls][입찰안_xls][입찰안_xls]1022"/>
      <sheetName val="[입찰안_xls][입찰안_xls][입찰안_xls]1023"/>
      <sheetName val="[입찰안_xls][입찰안_xls][입찰안_xls]1024"/>
      <sheetName val="[입찰안_xls][입찰안_xls][입찰안_xls]1025"/>
      <sheetName val="[입찰안_xls][입찰안_xls][입찰안_xls]1026"/>
      <sheetName val="[입찰안_xls][입찰안_xls][입찰안_xls]1027"/>
      <sheetName val="[입찰안_xls][입찰안_xls][입찰안_xls]1028"/>
      <sheetName val="[입찰안_xls][입찰안_xls][입찰안_xls]1029"/>
      <sheetName val="[입찰안_xls][입찰안_xls][입찰안_xls]1030"/>
      <sheetName val="[입찰안_xls][입찰안_xls][입찰안_xls]1031"/>
      <sheetName val="[입찰안_xls][입찰안_xls][입찰안_xls]1032"/>
      <sheetName val="[입찰안_xls][입찰안_xls][입찰안_xls]1033"/>
      <sheetName val="[입찰안_xls][입찰안_xls][입찰안_xls]1034"/>
      <sheetName val="[입찰안_xls][입찰안_xls][입찰안_xls]1035"/>
      <sheetName val="[입찰안_xls][입찰안_xls][입찰안_xls]1036"/>
      <sheetName val="[입찰안_xls][입찰안_xls][입찰안_xls]1037"/>
      <sheetName val="[입찰안_xls][입찰안_xls][입찰안_xls]1038"/>
      <sheetName val="[입찰안_xls][입찰안_xls][입찰안_xls]1039"/>
      <sheetName val="[입찰안_xls][입찰안_xls][입찰안_xls]1040"/>
      <sheetName val="[입찰안_xls][입찰안_xls][입찰안_xls]1041"/>
      <sheetName val="[입찰안_xls][입찰안_xls][입찰안_xls]1042"/>
      <sheetName val="[입찰안_xls][입찰안_xls][입찰안_xls]1043"/>
      <sheetName val="[입찰안_xls][입찰안_xls][입찰안_xls]1044"/>
      <sheetName val="[입찰안_xls][입찰안_xls][입찰안_xls]1045"/>
      <sheetName val="[입찰안_xls][입찰안_xls][입찰안_xls]1046"/>
      <sheetName val="[입찰안_xls][입찰안_xls][입찰안_xls]1047"/>
      <sheetName val="[입찰안_xls][입찰안_xls][입찰안_xls]1048"/>
      <sheetName val="[입찰안_xls][입찰안_xls][입찰안_xls]1049"/>
      <sheetName val="[입찰안_xls][입찰안_xls][입찰안_xls]1050"/>
      <sheetName val="[입찰안_xls][입찰안_xls][입찰안_xls]1051"/>
      <sheetName val="[입찰안_xls][입찰안_xls][입찰안_xls]1052"/>
      <sheetName val="[입찰안_xls][입찰안_xls][입찰안_xls]1053"/>
      <sheetName val="[입찰안_xls][입찰안_xls][입찰안_xls]1054"/>
      <sheetName val="[입찰안_xls][입찰안_xls][입찰안_xls]1055"/>
      <sheetName val="[입찰안_xls][입찰안_xls][입찰안_xls]1056"/>
      <sheetName val="[입찰안_xls][입찰안_xls][입찰안_xls]1057"/>
      <sheetName val="[입찰안_xls][입찰안_xls][입찰안_xls]1058"/>
      <sheetName val="[입찰안_xls][입찰안_xls][입찰안_xls]1059"/>
      <sheetName val="[입찰안_xls][입찰안_xls][입찰안_xls]1060"/>
      <sheetName val="[입찰안_xls][입찰안_xls][입찰안_xls]1061"/>
      <sheetName val="[입찰안_xls][입찰안_xls][입찰안_xls]1062"/>
      <sheetName val="[입찰안_xls][입찰안_xls][입찰안_xls]1063"/>
      <sheetName val="[입찰안_xls][입찰안_xls][입찰안_xls]1064"/>
      <sheetName val="[입찰안_xls][입찰안_xls][입찰안_xls]1065"/>
      <sheetName val="[입찰안_xls][입찰안_xls][입찰안_xls]1066"/>
      <sheetName val="[입찰안_xls][입찰안_xls][입찰안_xls]1067"/>
      <sheetName val="[입찰안_xls][입찰안_xls][입찰안_xls]1068"/>
      <sheetName val="[입찰안_xls][입찰안_xls][입찰안_xls]1069"/>
      <sheetName val="[입찰안_xls][입찰안_xls][입찰안_xls]1070"/>
      <sheetName val="[입찰안_xls][입찰안_xls][입찰안_xls]1071"/>
      <sheetName val="[입찰안_xls][입찰안_xls][입찰안_xls]1072"/>
      <sheetName val="[입찰안_xls][입찰안_xls][입찰안_xls]1073"/>
      <sheetName val="[입찰안_xls][입찰안_xls][입찰안_xls]1074"/>
      <sheetName val="[입찰안_xls][입찰안_xls][입찰안_xls]1075"/>
      <sheetName val="[입찰안_xls][입찰안_xls][입찰안_xls]1076"/>
      <sheetName val="[입찰안_xls][입찰안_xls][입찰안_xls]1077"/>
      <sheetName val="[입찰안_xls][입찰안_xls][입찰안_xls]1078"/>
      <sheetName val="[입찰안_xls][입찰안_xls][입찰안_xls]1079"/>
      <sheetName val="[입찰안_xls][입찰안_xls][입찰안_xls]1080"/>
      <sheetName val="[입찰안_xls][입찰안_xls][입찰안_xls]1081"/>
      <sheetName val="[입찰안_xls][입찰안_xls][입찰안_xls]1082"/>
      <sheetName val="[입찰안_xls][입찰안_xls][입찰안_xls]1083"/>
      <sheetName val="[입찰안_xls][입찰안_xls][입찰안_xls]1084"/>
      <sheetName val="[입찰안_xls][입찰안_xls][입찰안_xls]1085"/>
      <sheetName val="[입찰안_xls][입찰안_xls][입찰안_xls]1086"/>
      <sheetName val="[입찰안_xls][입찰안_xls][입찰안_xls]1087"/>
      <sheetName val="[입찰안_xls][입찰안_xls][입찰안_xls]1088"/>
      <sheetName val="[입찰안_xls][입찰안_xls][입찰안_xls]1089"/>
      <sheetName val="[입찰안_xls][입찰안_xls][입찰안_xls]1090"/>
      <sheetName val="[입찰안_xls][입찰안_xls][입찰안_xls]1091"/>
      <sheetName val="[입찰안_xls][입찰안_xls][입찰안_xls]1092"/>
      <sheetName val="_입찰안_xls_직접뀀鞖_4"/>
      <sheetName val="_입찰안_xls__입찰안_xls_직접뀀鞖_4"/>
      <sheetName val="bang_TH4"/>
      <sheetName val="Sheet2_(2)2"/>
      <sheetName val="[입찰안_xls][입찰안_xls][입찰안_xls]1093"/>
      <sheetName val="[입찰안_xls][입찰안_xls][입찰안_xls]1094"/>
      <sheetName val="[입찰안_xls][입찰안_xls][입찰안_xls]1095"/>
      <sheetName val="[입찰안_xls][입찰안_xls][입찰안_xls]1096"/>
      <sheetName val="[입찰안_xls][입찰안_xls][입찰안_xls]1097"/>
      <sheetName val="[입찰안_xls][입찰안_xls][입찰안_xls]1098"/>
      <sheetName val="[입찰안_xls][입찰안_xls][입찰안_xls]1099"/>
      <sheetName val="[입찰안_xls][입찰안_xls][입찰안_xls]1100"/>
      <sheetName val="[입찰안_xls][입찰안_xls][입찰안_xls]1101"/>
      <sheetName val="A_LINE2"/>
      <sheetName val="[입찰안_xls][입찰안_xls][입찰안_xls]1102"/>
      <sheetName val="[입찰안_xls][입찰안_xls][입찰안_xls]1103"/>
      <sheetName val="[입찰안_xls][입찰안_xls][입찰안_xls]1104"/>
      <sheetName val="[입찰안_xls][입찰안_xls][입찰안_xls]1105"/>
      <sheetName val="[입찰안_xls][입찰안_xls][입찰안_xls]1106"/>
      <sheetName val="[입찰안_xls][입찰안_xls][입찰안_xls]1107"/>
      <sheetName val="[입찰안_xls][입찰안_xls][입찰안_xls]1108"/>
      <sheetName val="[입찰안_xls][입찰안_xls][입찰안_xls]1109"/>
      <sheetName val="[입찰안_xls][입찰안_xls][입찰안_xls]1110"/>
      <sheetName val="[입찰안_xls][입찰안_xls][입찰안_xls]1111"/>
      <sheetName val="[입찰안_xls][입찰안_xls][입찰안_xls]1112"/>
      <sheetName val="[입찰안_xls][입찰안_xls][입찰안_xls]1113"/>
      <sheetName val="[입찰안_xls][입찰안_xls][입찰안_xls]1114"/>
      <sheetName val="[입찰안_xls][입찰안_xls][입찰안_xls]1115"/>
      <sheetName val="[입찰안_xls][입찰안_xls][입찰안_xls]1116"/>
      <sheetName val="[입찰안_xls][입찰안_xls][입찰안_xls]1117"/>
      <sheetName val="[입찰안_xls][입찰안_xls][입찰안_xls]1118"/>
      <sheetName val="[입찰안_xls][입찰안_xls][입찰안_xls]1119"/>
      <sheetName val="[입찰안_xls][입찰안_xls][입찰안_xls]1120"/>
      <sheetName val="[입찰안_xls][입찰안_xls][입찰안_xls]1121"/>
      <sheetName val="[입찰안_xls][입찰안_xls][입찰안_xls]1122"/>
      <sheetName val="[입찰안_xls][입찰안_xls][입찰안_xls]1123"/>
      <sheetName val="[입찰안_xls][입찰안_xls][입찰안_xls]1124"/>
      <sheetName val="[입찰안_xls][입찰안_xls][입찰안_xls]1125"/>
      <sheetName val="[입찰안_xls][입찰안_xls][입찰안_xls]1126"/>
      <sheetName val="[입찰안_xls][입찰안_xls][입찰안_xls]1127"/>
      <sheetName val="[입찰안_xls][입찰안_xls][입찰안_xls]1128"/>
      <sheetName val="[입찰안_xls][입찰안_xls][입찰안_xls]1129"/>
      <sheetName val="[입찰안_xls][입찰안_xls][입찰안_xls]1130"/>
      <sheetName val="[입찰안_xls][입찰안_xls][입찰안_xls]1131"/>
      <sheetName val="[입찰안_xls][입찰안_xls][입찰안_xls]1132"/>
      <sheetName val="[입찰안_xls][입찰안_xls][입찰안_xls]1133"/>
      <sheetName val="[입찰안_xls][입찰안_xls][입찰안_xls]1134"/>
      <sheetName val="[입찰안_xls][입찰안_xls][입찰안_xls]1135"/>
      <sheetName val="[입찰안_xls][입찰안_xls][입찰안_xls]1136"/>
      <sheetName val="[입찰안_xls][입찰안_xls][입찰안_xls]1137"/>
      <sheetName val="[입찰안_xls][입찰안_xls][입찰안_xls]1138"/>
      <sheetName val="[입찰안_xls][입찰안_xls][입찰안_xls]1139"/>
      <sheetName val="[입찰안_xls][입찰안_xls][입찰안_xls]1140"/>
      <sheetName val="[입찰안_xls][입찰안_xls][입찰안_xls]1141"/>
      <sheetName val="[입찰안_xls][입찰안_xls][입찰안_xls]1142"/>
      <sheetName val="[입찰안_xls][입찰안_xls][입찰안_xls]1143"/>
      <sheetName val="[입찰안_xls][입찰안_xls][입찰안_xls]1144"/>
      <sheetName val="[입찰안_xls][입찰안_xls][입찰안_xls]1145"/>
      <sheetName val="[입찰안_xls][입찰안_xls][입찰안_xls]1146"/>
      <sheetName val="Phan_tho4"/>
      <sheetName val="Tien_Thuong4"/>
      <sheetName val="NC_XL_6T_cuoi_01_CTy4"/>
      <sheetName val="Data_-6T_dau4"/>
      <sheetName val="Cong_6T4"/>
      <sheetName val="[입찰안_xls][입찰안_xls][입찰안_xls]1147"/>
      <sheetName val="[입찰안_xls][입찰안_xls][입찰안_xls]__27"/>
      <sheetName val="[입찰안_xls][입찰안_xls][입찰안_xls]__28"/>
      <sheetName val="[입찰안_xls][입찰안_xls]직접뀀鞖/5"/>
      <sheetName val="[입찰안_xls][입찰안_xls][입찰안_xls]__29"/>
      <sheetName val="[입찰안_xls][입찰안_xls][입찰안_xls]1148"/>
      <sheetName val="[입찰안_xls][입찰안_xls][입찰안_xls]1149"/>
      <sheetName val="Khoi_luong2"/>
      <sheetName val="_입찰안_xls__입찰안_xls__입찰안_xls____5"/>
      <sheetName val="_입찰안_xls__입찰안_xls__입찰안_xls____6"/>
      <sheetName val="[입찰안_xls][입찰안_xls][입찰안_xls]1150"/>
      <sheetName val="[입찰안_xls][입찰안_xls][입찰안_xls]1151"/>
      <sheetName val="[입찰안_xls][입찰안_xls][입찰안_xls]1152"/>
      <sheetName val="[입찰안_xls][입찰안_xls][입찰안_xls]1153"/>
      <sheetName val="[입찰안_xls][입찰안_xls][입찰안_xls]1154"/>
      <sheetName val="[입찰안_xls][입찰안_xls][입찰안_xls]1155"/>
      <sheetName val="[입찰안_xls][입찰안_xls][입찰안_xls]1156"/>
      <sheetName val="[입찰안_xls][입찰안_xls][입찰안_xls]1157"/>
      <sheetName val="[입찰안_xls][입찰안_xls][입찰안_xls]1158"/>
      <sheetName val="[입찰안_xls][입찰안_xls][입찰안_xls]1159"/>
      <sheetName val="[입찰안_xls][입찰안_xls][입찰안_xls]1160"/>
      <sheetName val="[입찰안_xls][입찰안_xls][입찰안_xls]1161"/>
      <sheetName val="[입찰안_xls][입찰안_xls][입찰안_xls]1162"/>
      <sheetName val="[입찰안_xls][입찰안_xls][입찰안_xls]1163"/>
      <sheetName val="[입찰안_xls][입찰안_xls][입찰안_xls]1164"/>
      <sheetName val="[입찰안_xls][입찰안_xls][입찰안_xls]1165"/>
      <sheetName val="[입찰안_xls][입찰안_xls][입찰안_xls]1166"/>
      <sheetName val="[입찰안_xls][입찰안_xls][입찰안_xls]1167"/>
      <sheetName val="[입찰안_xls][입찰안_xls][입찰안_xls]1168"/>
      <sheetName val="[입찰안_xls][입찰안_xls][입찰안_xls]1169"/>
      <sheetName val="[입찰안_xls][입찰안_xls][입찰안_xls]1170"/>
      <sheetName val="[입찰안_xls][입찰안_xls][입찰안_xls]1171"/>
      <sheetName val="[입찰안_xls][입찰안_xls][입찰안_xls]1172"/>
      <sheetName val="[입찰안_xls][입찰안_xls][입찰안_xls]1173"/>
      <sheetName val="[입찰안_xls][입찰안_xls][입찰안_xls]1174"/>
      <sheetName val="[입찰안_xls][입찰안_xls][입찰안_xls]1175"/>
      <sheetName val="[입찰안_xls][입찰안_xls][입찰안_xls]1176"/>
      <sheetName val="[입찰안_xls][입찰안_xls][입찰안_xls]1177"/>
      <sheetName val="[입찰안_xls][입찰안_xls][입찰안_xls]1178"/>
      <sheetName val="[입찰안_xls][입찰안_xls][입찰안_xls]1179"/>
      <sheetName val="[입찰안_xls][입찰안_xls][입찰안_xls]1180"/>
      <sheetName val="[입찰안_xls][입찰안_xls][입찰안_xls]1181"/>
      <sheetName val="[입찰안_xls][입찰안_xls][입찰안_xls]1182"/>
      <sheetName val="[입찰안_xls][입찰안_xls][입찰안_xls]1183"/>
      <sheetName val="[입찰안_xls][입찰안_xls][입찰안_xls]1184"/>
      <sheetName val="[입찰안_xls][입찰안_xls][입찰안_xls]1185"/>
      <sheetName val="[입찰안_xls][입찰안_xls][입찰안_xls]1186"/>
      <sheetName val="[입찰안_xls][입찰안_xls][입찰안_xls]1187"/>
      <sheetName val="[입찰안_xls][입찰안_xls][입찰안_xls]1188"/>
      <sheetName val="[입찰안_xls][입찰안_xls][입찰안_xls]1189"/>
      <sheetName val="[입찰안_xls][입찰안_xls][입찰안_xls]1190"/>
      <sheetName val="[입찰안_xls][입찰안_xls][입찰안_xls]1191"/>
      <sheetName val="[입찰안_xls][입찰안_xls][입찰안_xls]1192"/>
      <sheetName val="[입찰안_xls][입찰안_xls][입찰안_xls]1193"/>
      <sheetName val="[입찰안_xls][입찰안_xls][입찰안_xls]1194"/>
      <sheetName val="[입찰안_xls][입찰안_xls][입찰안_xls]1195"/>
      <sheetName val="[입찰안_xls][입찰안_xls][입찰안_xls]1196"/>
      <sheetName val="[입찰안_xls][입찰안_xls][입찰안_xls]1197"/>
      <sheetName val="[입찰안_xls][입찰안_xls][입찰안_xls]1198"/>
      <sheetName val="[입찰안_xls][입찰안_xls][입찰안_xls]1199"/>
      <sheetName val="[입찰안_xls][입찰안_xls][입찰안_xls]1200"/>
      <sheetName val="[입찰안_xls][입찰안_xls][입찰안_xls]1201"/>
      <sheetName val="[입찰안_xls][입찰안_xls][입찰안_xls]1202"/>
      <sheetName val="[입찰안_xls][입찰안_xls][입찰안_xls]1203"/>
      <sheetName val="[입찰안_xls][입찰안_xls][입찰안_xls]1204"/>
      <sheetName val="[입찰안_xls][입찰안_xls][입찰안_xls]1205"/>
      <sheetName val="[입찰안_xls][입찰안_xls][입찰안_xls]1206"/>
      <sheetName val="[입찰안_xls][입찰안_xls][입찰안_xls]1207"/>
      <sheetName val="[입찰안_xls][입찰안_xls][입찰안_xls]1208"/>
      <sheetName val="[입찰안_xls][입찰안_xls][입찰안_xls]1209"/>
      <sheetName val="[입찰안_xls][입찰안_xls][입찰안_xls]1210"/>
      <sheetName val="[입찰안_xls][입찰안_xls][입찰안_xls]1211"/>
      <sheetName val="[입찰안_xls][입찰안_xls][입찰안_xls]1212"/>
      <sheetName val="[입찰안_xls][입찰안_xls][입찰안_xls]1213"/>
      <sheetName val="[입찰안_xls][입찰안_xls][입찰안_xls]1214"/>
      <sheetName val="[입찰안_xls][입찰안_xls][입찰안_xls]1215"/>
      <sheetName val="[입찰안_xls][입찰안_xls][입찰안_xls]1216"/>
      <sheetName val="[입찰안_xls][입찰안_xls][입찰안_xls]1217"/>
      <sheetName val="[입찰안_xls][입찰안_xls][입찰안_xls]1218"/>
      <sheetName val="[입찰안_xls][입찰안_xls][입찰안_xls]1219"/>
      <sheetName val="[입찰안_xls][입찰안_xls][입찰안_xls]1220"/>
      <sheetName val="[입찰안_xls][입찰안_xls][입찰안_xls]1221"/>
      <sheetName val="[입찰안_xls][입찰안_xls][입찰안_xls]1222"/>
      <sheetName val="[입찰안_xls][입찰안_xls][입찰안_xls]1223"/>
      <sheetName val="[입찰안_xls][입찰안_xls][입찰안_xls]1224"/>
      <sheetName val="[입찰안_xls][입찰안_xls][입찰안_xls]1225"/>
      <sheetName val="[입찰안_xls][입찰안_xls][입찰안_xls]1226"/>
      <sheetName val="[입찰안_xls][입찰안_xls][입찰안_xls]1227"/>
      <sheetName val="[입찰안_xls][입찰안_xls][입찰안_xls]1228"/>
      <sheetName val="[입찰안_xls][입찰안_xls][입찰안_xls]1229"/>
      <sheetName val="[입찰안_xls][입찰안_xls][입찰안_xls]1230"/>
      <sheetName val="[입찰안_xls][입찰안_xls][입찰안_xls]1231"/>
      <sheetName val="[입찰안_xls][입찰안_xls][입찰안_xls]1232"/>
      <sheetName val="[입찰안_xls][입찰안_xls][입찰안_xls]1233"/>
      <sheetName val="[입찰안_xls][입찰안_xls][입찰안_xls]1234"/>
      <sheetName val="[입찰안_xls][입찰안_xls][입찰안_xls]1235"/>
      <sheetName val="[입찰안_xls][입찰안_xls][입찰안_xls]1236"/>
      <sheetName val="[입찰안_xls][입찰안_xls][입찰안_xls]1237"/>
      <sheetName val="[입찰안_xls][입찰안_xls][입찰안_xls]1238"/>
      <sheetName val="[입찰안_xls][입찰안_xls][입찰안_xls]1239"/>
      <sheetName val="[입찰안_xls][입찰안_xls][입찰안_xls]1240"/>
      <sheetName val="[입찰안_xls][입찰안_xls][입찰안_xls]1241"/>
      <sheetName val="[입찰안_xls][입찰안_xls][입찰안_xls]1242"/>
      <sheetName val="[입찰안_xls][입찰안_xls][입찰안_xls]1243"/>
      <sheetName val="[입찰안_xls][입찰안_xls][입찰안_xls]1244"/>
      <sheetName val="[입찰안_xls][입찰안_xls][입찰안_xls]1245"/>
      <sheetName val="[입찰안_xls][입찰안_xls][입찰안_xls]1246"/>
      <sheetName val="[입찰안_xls][입찰안_xls][입찰안_xls]1247"/>
      <sheetName val="[입찰안_xls][입찰안_xls][입찰안_xls]1248"/>
      <sheetName val="[입찰안_xls][입찰안_xls][입찰안_xls]1249"/>
      <sheetName val="[입찰안_xls][입찰안_xls][입찰안_xls]1250"/>
      <sheetName val="[입찰안_xls][입찰안_xls][입찰안_xls]1251"/>
      <sheetName val="[입찰안_xls][입찰안_xls][입찰안_xls]1252"/>
      <sheetName val="새로이_설치할_정비기반시설_조서_나번_(2)2"/>
      <sheetName val="[입찰안_xls][입찰안_xls][입찰안_xls]1253"/>
      <sheetName val="[입찰안_xls][입찰안_xls][입찰안_xls]__30"/>
      <sheetName val="[입찰안_xls][입찰안_xls][입찰안_xls]__31"/>
      <sheetName val="[입찰안_xls][입찰안_xls][입찰안_xls]__32"/>
      <sheetName val="[입찰안_xls][입찰안_xls][입찰안_xls]1254"/>
      <sheetName val="DTICH_(Full)2"/>
      <sheetName val="COST_SUMMARY2"/>
      <sheetName val="Xuly_Data2"/>
      <sheetName val="TL_rieng2"/>
      <sheetName val="Thuc_thanh2"/>
      <sheetName val="Cost_factor2"/>
      <sheetName val="Item_list2"/>
      <sheetName val="Sheet_Template_Empty2"/>
      <sheetName val="[입찰안_xls][입찰안_xls][입찰안_xls]1255"/>
      <sheetName val="[입찰안_xls][입찰안_xls][입찰안_xls]1256"/>
      <sheetName val="[입찰안_xls][입찰안_xls][입찰안_xls]1257"/>
      <sheetName val="[입찰안_xls][입찰안_xls][입찰안_xls]1258"/>
      <sheetName val="[입찰안_xls][입찰안_xls][입찰안_xls]1259"/>
      <sheetName val="[입찰안_xls][입찰안_xls][입찰안_xls]1260"/>
      <sheetName val="[입찰안_xls][입찰안_xls][입찰안_xls]1261"/>
      <sheetName val="[입찰안_xls][입찰안_xls][입찰안_xls]1262"/>
      <sheetName val="[입찰안_xls][입찰안_xls][입찰안_xls]1263"/>
      <sheetName val="[입찰안_xls][입찰안_xls][입찰안_xls]1264"/>
      <sheetName val="[입찰안_xls][입찰안_xls][입찰안_xls]1265"/>
      <sheetName val="[입찰안_xls][입찰안_xls][입찰안_xls]1266"/>
      <sheetName val="[입찰안_xls][입찰안_xls][입찰안_xls]1267"/>
      <sheetName val="[입찰안_xls][입찰안_xls][입찰안_xls]1268"/>
      <sheetName val="[입찰안_xls][입찰안_xls][입찰안_xls]1269"/>
      <sheetName val="[입찰안_xls][입찰안_xls][입찰안_xls]1270"/>
      <sheetName val="[입찰안_xls][입찰안_xls][입찰안_xls]1271"/>
      <sheetName val="[입찰안_xls][입찰안_xls][입찰안_xls]1272"/>
      <sheetName val="[입찰안_xls][입찰안_xls][입찰안_xls]1273"/>
      <sheetName val="[입찰안_xls][입찰안_xls][입찰안_xls]1274"/>
      <sheetName val="[입찰안_xls][입찰안_xls][입찰안_xls]1275"/>
      <sheetName val="[입찰안_xls][입찰안_xls][입찰안_xls]1276"/>
      <sheetName val="[입찰안_xls][입찰안_xls][입찰안_xls]1277"/>
      <sheetName val="[입찰안_xls][입찰안_xls][입찰안_xls]1278"/>
      <sheetName val="[입찰안_xls][입찰안_xls][입찰안_xls]1279"/>
      <sheetName val="[입찰안_xls][입찰안_xls][입찰안_xls]1280"/>
      <sheetName val="[입찰안_xls][입찰안_xls][입찰안_xls]1281"/>
      <sheetName val="[입찰안_xls][입찰안_xls][입찰안_xls]1282"/>
      <sheetName val="[입찰안_xls][입찰안_xls][입찰안_xls]1283"/>
      <sheetName val="[입찰안_xls][입찰안_xls][입찰안_xls]1284"/>
      <sheetName val="[입찰안_xls][입찰안_xls][입찰안_xls]1285"/>
      <sheetName val="[입찰안_xls][입찰안_xls][입찰안_xls]1286"/>
      <sheetName val="[입찰안_xls][입찰안_xls][입찰안_xls]1287"/>
      <sheetName val="[입찰안_xls][입찰안_xls][입찰안_xls]1288"/>
      <sheetName val="[입찰안_xls][입찰안_xls][입찰안_xls]1289"/>
      <sheetName val="[입찰안_xls][입찰안_xls][입찰안_xls]1290"/>
      <sheetName val="[입찰안_xls][입찰안_xls][입찰안_xls]1291"/>
      <sheetName val="[입찰안_xls][입찰안_xls][입찰안_xls]1292"/>
      <sheetName val="[입찰안_xls][입찰안_xls][입찰안_xls]1293"/>
      <sheetName val="[입찰안_xls][입찰안_xls][입찰안_xls]1294"/>
      <sheetName val="[입찰안_xls][입찰안_xls][입찰안_xls]1295"/>
      <sheetName val="[입찰안_xls][입찰안_xls][입찰안_xls]1296"/>
      <sheetName val="[입찰안_xls][입찰안_xls][입찰안_xls]1297"/>
      <sheetName val="[입찰안_xls][입찰안_xls][입찰안_xls]1298"/>
      <sheetName val="[입찰안_xls][입찰안_xls][입찰안_xls]1299"/>
      <sheetName val="[입찰안_xls][입찰안_xls][입찰안_xls]1300"/>
      <sheetName val="[입찰안_xls][입찰안_xls][입찰안_xls]1301"/>
      <sheetName val="[입찰안_xls][입찰안_xls][입찰안_xls]1302"/>
      <sheetName val="[입찰안_xls][입찰안_xls][입찰안_xls]1303"/>
      <sheetName val="F_D_SEC__PROP2"/>
      <sheetName val="[입찰안_xls][입찰안_xls][입찰안_xls]1304"/>
      <sheetName val="[입찰안_xls][입찰안_xls][입찰안_xls]1305"/>
      <sheetName val="[입찰안_xls][입찰안_xls][입찰안_xls]1306"/>
      <sheetName val="[입찰안_xls][입찰안_xls][입찰안_xls]1307"/>
      <sheetName val="[입찰안_xls][입찰안_xls][입찰안_xls]1308"/>
      <sheetName val="[입찰안_xls][입찰안_xls][입찰안_xls]1309"/>
      <sheetName val="[입찰안_xls][입찰안_xls][입찰안_xls]1310"/>
      <sheetName val="[입찰안_xls][입찰안_xls][입찰안_xls]1311"/>
      <sheetName val="[입찰안_xls][입찰안_xls][입찰안_xls]1312"/>
      <sheetName val="[입찰안_xls][입찰안_xls][입찰안_xls]1313"/>
      <sheetName val="[입찰안_xls][입찰안_xls][입찰안_xls]1314"/>
      <sheetName val="[입찰안_xls][입찰안_xls][입찰안_xls]1315"/>
      <sheetName val="[입찰안_xls][입찰안_xls][입찰안_xls]1316"/>
      <sheetName val="[입찰안_xls][입찰안_xls][입찰안_xls]1317"/>
      <sheetName val="[입찰안_xls][입찰안_xls][입찰안_xls]1318"/>
      <sheetName val="[입찰안_xls][입찰안_xls][입찰안_xls]1319"/>
      <sheetName val="[입찰안_xls][입찰안_xls][입찰안_xls]1320"/>
      <sheetName val="[입찰안_xls][입찰안_xls][입찰안_xls]1321"/>
      <sheetName val="[입찰안_xls][입찰안_xls][입찰안_xls]1322"/>
      <sheetName val="[입찰안_xls][입찰안_xls][입찰안_xls]1323"/>
      <sheetName val="[입찰안_xls][입찰안_xls][입찰안_xls]1324"/>
      <sheetName val="[입찰안_xls][입찰안_xls][입찰안_xls]1325"/>
      <sheetName val="[입찰안_xls][입찰안_xls][입찰안_xls]1326"/>
      <sheetName val="[입찰안_xls][입찰안_xls][입찰안_xls]1327"/>
      <sheetName val="[입찰안_xls][입찰안_xls][입찰안_xls]1328"/>
      <sheetName val="[입찰안_xls][입찰안_xls][입찰안_xls]1329"/>
      <sheetName val="[입찰안_xls][입찰안_xls][입찰안_xls]1330"/>
      <sheetName val="[입찰안_xls][입찰안_xls][입찰안_xls]1331"/>
      <sheetName val="[입찰안_xls][입찰안_xls][입찰안_xls]1332"/>
      <sheetName val="[입찰안_xls][입찰안_xls][입찰안_xls]1333"/>
      <sheetName val="[입찰안_xls][입찰안_xls][입찰안_xls]1334"/>
      <sheetName val="[입찰안_xls][입찰안_xls][입찰안_xls]1335"/>
      <sheetName val="[입찰안_xls][입찰안_xls][입찰안_xls]1336"/>
      <sheetName val="[입찰안_xls][입찰안_xls][입찰안_xls]1337"/>
      <sheetName val="[입찰안_xls][입찰안_xls][입찰안_xls]1338"/>
      <sheetName val="[입찰안_xls][입찰안_xls][입찰안_xls]1339"/>
      <sheetName val="[입찰안_xls][입찰안_xls][입찰안_xls]1340"/>
      <sheetName val="[입찰안_xls][입찰안_xls][입찰안_xls]1341"/>
      <sheetName val="Code_022"/>
      <sheetName val="Code_032"/>
      <sheetName val="Code_042"/>
      <sheetName val="Code_052"/>
      <sheetName val="Code_062"/>
      <sheetName val="Code_072"/>
      <sheetName val="Code_092"/>
      <sheetName val="[입찰안_xls][입찰안_xls][입찰안_xls]1342"/>
      <sheetName val="[입찰안_xls][입찰안_xls][입찰안_xls]1343"/>
      <sheetName val="[입찰안_xls][입찰안_xls][입찰안_xls]1344"/>
      <sheetName val="[입찰안_xls][입찰안_xls][입찰안_xls]1345"/>
      <sheetName val="[입찰안_xls][입찰안_xls][입찰안_xls]1346"/>
      <sheetName val="[입찰안_xls][입찰안_xls][입찰안_xls]1347"/>
      <sheetName val="[입찰안_xls][입찰안_xls][입찰안_xls]1348"/>
      <sheetName val="[입찰안_xls][입찰안_xls][입찰안_xls]1349"/>
      <sheetName val="[입찰안_xls][입찰안_xls][입찰안_xls]1350"/>
      <sheetName val="[입찰안_xls][입찰안_xls][입찰안_xls]1351"/>
      <sheetName val="[입찰안_xls][입찰안_xls][입찰안_xls]1352"/>
      <sheetName val="[입찰안_xls][입찰안_xls][입찰안_xls]1353"/>
      <sheetName val="[입찰안_xls][입찰안_xls][입찰안_xls]1354"/>
      <sheetName val="[입찰안_xls][입찰안_xls][입찰안_xls]1355"/>
      <sheetName val="[입찰안_xls][입찰안_xls][입찰안_xls]1356"/>
      <sheetName val="[입찰안_xls][입찰안_xls][입찰안_xls]1357"/>
      <sheetName val="[입찰안_xls][입찰안_xls][입찰안_xls]1358"/>
      <sheetName val="[입찰안_xls][입찰안_xls][입찰안_xls]1359"/>
      <sheetName val="[입찰안_xls][입찰안_xls][입찰안_xls]1360"/>
      <sheetName val="[입찰안_xls][입찰안_xls][입찰안_xls]1361"/>
      <sheetName val="[입찰안_xls][입찰안_xls][입찰안_xls]1362"/>
      <sheetName val="[입찰안_xls][입찰안_xls][입찰안_xls]1363"/>
      <sheetName val="[입찰안_xls][입찰안_xls][입찰안_xls]1364"/>
      <sheetName val="[입찰안_xls][입찰안_xls][입찰안_xls]1365"/>
      <sheetName val="[입찰안_xls][입찰안_xls][입찰안_xls]1366"/>
      <sheetName val="[입찰안_xls][입찰안_xls][입찰안_xls]1367"/>
      <sheetName val="[입찰안_xls][입찰안_xls][입찰안_xls]1368"/>
      <sheetName val="[입찰안_xls][입찰안_xls][입찰안_xls]1369"/>
      <sheetName val="[입찰안_xls][입찰안_xls][입찰안_xls]1370"/>
      <sheetName val="[입찰안_xls][입찰안_xls][입찰안_xls]1371"/>
      <sheetName val="[입찰안_xls][입찰안_xls][입찰안_xls]1372"/>
      <sheetName val="[입찰안_xls][입찰안_xls][입찰안_xls]1373"/>
      <sheetName val="[입찰안_xls][입찰안_xls][입찰안_xls]1374"/>
      <sheetName val="[입찰안_xls][입찰안_xls][입찰안_xls]1375"/>
      <sheetName val="[입찰안_xls][입찰안_xls][입찰안_xls]1376"/>
      <sheetName val="[입찰안_xls][입찰안_xls][입찰안_xls]1377"/>
      <sheetName val="co-no_22"/>
      <sheetName val="(1)2002년_매출목표_산출2"/>
      <sheetName val="[입찰안_xls][입찰안_xls][입찰안_xls]1378"/>
      <sheetName val="[입찰안_xls][입찰안_xls][입찰안_xls]1379"/>
      <sheetName val="[입찰안_xls][입찰안_xls][입찰안_xls]1380"/>
      <sheetName val="[입찰안_xls][입찰안_xls][입찰안_xls]1381"/>
      <sheetName val="[입찰안_xls][입찰안_xls][입찰안_xls]1382"/>
      <sheetName val="[입찰안_xls][입찰안_xls][입찰안_xls]1383"/>
      <sheetName val="[입찰안_xls][입찰안_xls][입찰안_xls]1384"/>
      <sheetName val="[입찰안_xls][입찰안_xls][입찰안_xls]1385"/>
      <sheetName val="[입찰안_xls][입찰안_xls][입찰안_xls]1386"/>
      <sheetName val="[입찰안_xls][입찰안_xls][입찰안_xls]1387"/>
      <sheetName val="[입찰안_xls][입찰안_xls][입찰안_xls]1388"/>
      <sheetName val="[입찰안_xls][입찰안_xls][입찰안_xls]1389"/>
      <sheetName val="[입찰안_xls][입찰안_xls][입찰안_xls]1390"/>
      <sheetName val="[입찰안_xls][입찰안_xls][입찰안_xls]1391"/>
      <sheetName val="[입찰안_xls][입찰안_xls][입찰안_xls]1392"/>
      <sheetName val="[입찰안_xls][입찰안_xls][입찰안_xls]1393"/>
      <sheetName val="[입찰안_xls][입찰안_xls][입찰안_xls]1394"/>
      <sheetName val="[입찰안_xls][입찰안_xls][입찰안_xls]1395"/>
      <sheetName val="[입찰안_xls][입찰안_xls][입찰안_xls]1396"/>
      <sheetName val="[입찰안_xls][입찰안_xls][입찰안_xls]1397"/>
      <sheetName val="[입찰안_xls][입찰안_xls][입찰안_xls]1398"/>
      <sheetName val="[입찰안_xls][입찰안_xls][입찰안_xls]1399"/>
      <sheetName val="[입찰안_xls][입찰안_xls][입찰안_xls]1400"/>
      <sheetName val="[입찰안_xls][입찰안_xls][입찰안_xls]1401"/>
      <sheetName val="[입찰안_xls][입찰안_xls][입찰안_xls]1402"/>
      <sheetName val="[입찰안_xls][입찰안_xls][입찰안_xls]1403"/>
      <sheetName val="[입찰안_xls][입찰안_xls][입찰안_xls]1404"/>
      <sheetName val="[입찰안_xls][입찰안_xls][입찰안_xls]1405"/>
      <sheetName val="[입찰안_xls][입찰안_xls][입찰안_xls]1406"/>
      <sheetName val="[입찰안_xls][입찰안_xls][입찰안_xls]1407"/>
      <sheetName val="[입찰안_xls][입찰안_xls][입찰안_xls]1408"/>
      <sheetName val="[입찰안_xls][입찰안_xls][입찰안_xls]1409"/>
      <sheetName val="[입찰안_xls][입찰안_xls][입찰안_xls]1410"/>
      <sheetName val="[입찰안_xls][입찰안_xls][입찰안_xls]1411"/>
      <sheetName val="[입찰안_xls][입찰안_xls][입찰안_xls]1412"/>
      <sheetName val="[입찰안_xls][입찰안_xls][입찰안_xls]1413"/>
      <sheetName val="[입찰안_xls][입찰안_xls][입찰안_xls]1414"/>
      <sheetName val="5호광장_(만점)10"/>
      <sheetName val="인천국제_(만점)_(2)10"/>
      <sheetName val="Total_단위경유량집계10"/>
      <sheetName val="BH-1_(2)10"/>
      <sheetName val="표__지10"/>
      <sheetName val="준검_내역서10"/>
      <sheetName val="토공유동표(전체_당초)10"/>
      <sheetName val="1_수인터널10"/>
      <sheetName val="앉음벽_(2)10"/>
      <sheetName val="_HIT__HMC_견적_3900_10"/>
      <sheetName val="I_설계조건10"/>
      <sheetName val="4_전기10"/>
      <sheetName val="7__현장관리비_10"/>
      <sheetName val="6__안전관리비10"/>
      <sheetName val="1_설계조건10"/>
      <sheetName val="소포내역_(2)10"/>
      <sheetName val="노원열병합__건축공사기성내역서10"/>
      <sheetName val="조도계산서_(도서)10"/>
      <sheetName val="3련_BOX10"/>
      <sheetName val="11_산출(전열)10"/>
      <sheetName val="6_산출(동력)10"/>
      <sheetName val="7_산출(TRAY)10"/>
      <sheetName val="5_산출(전력)9"/>
      <sheetName val="수량산출서(전력간선_지하D_C)9"/>
      <sheetName val="MSS_210"/>
      <sheetName val="우수관매설및_우수받이10"/>
      <sheetName val="11_우각부_보강10"/>
      <sheetName val="제출내역_(2)10"/>
      <sheetName val="플랜트_설치9"/>
      <sheetName val="보고서_기기리스트9"/>
      <sheetName val="2_1__노무비_평균단가산출9"/>
      <sheetName val="내역_ver1_010"/>
      <sheetName val="내___역9"/>
      <sheetName val="plan&amp;section_of_foundation10"/>
      <sheetName val="pile_bearing_capa_&amp;_arrenge10"/>
      <sheetName val="working_load_at_the_btm_ft_10"/>
      <sheetName val="stability_check10"/>
      <sheetName val="design_criteria10"/>
      <sheetName val="배수내역_(2)9"/>
      <sheetName val="배수공_시멘트_및_골재량_산출9"/>
      <sheetName val="A_견적9"/>
      <sheetName val="Customer_Databas9"/>
      <sheetName val="목차_9"/>
      <sheetName val="6PILE__(돌출)9"/>
      <sheetName val="_HIT-&gt;HMC_견적(3900)9"/>
      <sheetName val="전_기9"/>
      <sheetName val="spc_배관견적9"/>
      <sheetName val="SHEET_PILE단가9"/>
      <sheetName val="unit_49"/>
      <sheetName val="BH_1__2_9"/>
      <sheetName val="도담구내_개소별_명세9"/>
      <sheetName val="화재_탐지_설비9"/>
      <sheetName val="귀래_설계_공내역서9"/>
      <sheetName val="2차전체변경예정_(2)9"/>
      <sheetName val="3_1공사현황_공정표9"/>
      <sheetName val="개인별_순위표9"/>
      <sheetName val="세골재__T2_변경_현황9"/>
      <sheetName val="8_현장관리비9"/>
      <sheetName val="7_안전관리비9"/>
      <sheetName val="1_설계기준9"/>
      <sheetName val="1_취수장9"/>
      <sheetName val="설_계9"/>
      <sheetName val="Cash_Flow-19"/>
      <sheetName val="노임_단가9"/>
      <sheetName val="投标材料清单_9"/>
      <sheetName val="별표_9"/>
      <sheetName val="3_공통공사대비9"/>
      <sheetName val="단가_및_재료비9"/>
      <sheetName val="내역서_9"/>
      <sheetName val="집_계_표9"/>
      <sheetName val="RETAIL_(ABOVE)9"/>
      <sheetName val="5__현장관리비(new)_9"/>
      <sheetName val="노임단가_(2)9"/>
      <sheetName val="7_공정표9"/>
      <sheetName val="단면_(2)9"/>
      <sheetName val="장비비_명세서19"/>
      <sheetName val="단___산8"/>
      <sheetName val="실____단8"/>
      <sheetName val="6__수량산출서8"/>
      <sheetName val="노무비_근거8"/>
      <sheetName val="참조_(2)8"/>
      <sheetName val="2_대외공문9"/>
      <sheetName val="Eq__Mobilization9"/>
      <sheetName val="_갑지8"/>
      <sheetName val="제수변_수량집계표(보통)8"/>
      <sheetName val="장비_(2)8"/>
      <sheetName val="3BL공동구_수량8"/>
      <sheetName val="전선_및_전선관8"/>
      <sheetName val="CM_18"/>
      <sheetName val="5_동별횡주관경8"/>
      <sheetName val="암거_제원표8"/>
      <sheetName val="내역서1999_8최종8"/>
      <sheetName val="Sheet1_(2)8"/>
      <sheetName val="수량산출서_(2)7"/>
      <sheetName val="토공_total7"/>
      <sheetName val="기성(1차)_7"/>
      <sheetName val="전사_(2)7"/>
      <sheetName val="BA_(2)7"/>
      <sheetName val="CP_(2)7"/>
      <sheetName val="일위대가56-1_7"/>
      <sheetName val="일위대가71-1_7"/>
      <sheetName val="일위대가74-1_7"/>
      <sheetName val="일위대가76-1_7"/>
      <sheetName val="일위대가77-1_7"/>
      <sheetName val="일위대가78-1_7"/>
      <sheetName val="_소방공사_산출근거7"/>
      <sheetName val="습식및_셀프레벨링8"/>
      <sheetName val="1차_내역서8"/>
      <sheetName val="BSD_(2)7"/>
      <sheetName val="바_한일양산7"/>
      <sheetName val="Project_Brief7"/>
      <sheetName val="영업_일17"/>
      <sheetName val="기기_내역서7"/>
      <sheetName val="일위대가_8"/>
      <sheetName val="4_LINE8"/>
      <sheetName val="7_th8"/>
      <sheetName val="1_CB7"/>
      <sheetName val="유효폭의_계산6"/>
      <sheetName val="아파트_6"/>
      <sheetName val="변경명신물량_(2)7"/>
      <sheetName val="토공_토적표7"/>
      <sheetName val="갑지_을지6"/>
      <sheetName val="2-2_매출분석6"/>
      <sheetName val="미납품_현황6"/>
      <sheetName val="STEEL_BOX_단면설계(SEC_8)6"/>
      <sheetName val="도담구내_개소별_명柖8"/>
      <sheetName val="danh_muc_vat_tu8"/>
      <sheetName val="Register-BG_NCC8"/>
      <sheetName val="Data_28"/>
      <sheetName val="TB_chính8"/>
      <sheetName val="Steel_pipe8"/>
      <sheetName val="Ref_pipe+Ins8"/>
      <sheetName val="Plastic_pipe8"/>
      <sheetName val="Air_Grilles8"/>
      <sheetName val="Cost_bd-&quot;A&quot;8"/>
      <sheetName val="갑지_설계_내역서6"/>
      <sheetName val="기존단가_(2)7"/>
      <sheetName val="설명서_6"/>
      <sheetName val="_FURNACE현설5"/>
      <sheetName val="97_사업추정(WEKI)5"/>
      <sheetName val="8_설치품셈5"/>
      <sheetName val="ITB_COST6"/>
      <sheetName val="자격_땡겨오기6"/>
      <sheetName val="05년_상6"/>
      <sheetName val="영흥TL(UP,DOWN)_6"/>
      <sheetName val="단양_00_아파트-세부내역6"/>
      <sheetName val="2_단면가정_(양곡1교)6"/>
      <sheetName val="8_PILE__(돌출)6"/>
      <sheetName val="1_내역(청_하역장전등)6"/>
      <sheetName val="2000_055"/>
      <sheetName val="표지_(2)6"/>
      <sheetName val="Xunit_(단위환산)6"/>
      <sheetName val="4__VOs_summary7"/>
      <sheetName val="수량산출서_갑지6"/>
      <sheetName val="장비코드표_0506016"/>
      <sheetName val="2007년_생산1부장비6"/>
      <sheetName val="2008년_생산부전장비코드6"/>
      <sheetName val="DDB부_장비_관리현황6"/>
      <sheetName val="Chiet_tinh_dz357"/>
      <sheetName val="Bảng_mã_VT7"/>
      <sheetName val="DATA_LISTS5"/>
      <sheetName val="4_2_1_마루높이_검토6"/>
      <sheetName val="_견적서6"/>
      <sheetName val="품셈_5"/>
      <sheetName val="M-EMS_GP-570(BIT)5"/>
      <sheetName val="내역서_제출6"/>
      <sheetName val="19_07월_세_계5"/>
      <sheetName val="19_07항목별(시트복사금지100번쓰기)5"/>
      <sheetName val="19_05월5"/>
      <sheetName val="TABLE_DB5"/>
      <sheetName val="쌍용_data_base5"/>
      <sheetName val="내역(인테리어_실내)(도급)5"/>
      <sheetName val="내역(인테리어_실외)(도급)5"/>
      <sheetName val="Elec_LG5"/>
      <sheetName val="ESTI_5"/>
      <sheetName val="D_&amp;_W_sizes5"/>
      <sheetName val="Gia_vat_tu5"/>
      <sheetName val="dtct_cong5"/>
      <sheetName val="DGCT_(01)5"/>
      <sheetName val="SCOPE_OF_WORK5"/>
      <sheetName val="Chi_tiet5"/>
      <sheetName val="nhôm_1,2mm5"/>
      <sheetName val="nhôm_1,4mm5"/>
      <sheetName val="01__DATA5"/>
      <sheetName val="중기조종사_단위단가5"/>
      <sheetName val="자재기성_신청서_xlsx5"/>
      <sheetName val="0_목록15"/>
      <sheetName val="So_sanh4"/>
      <sheetName val="[입찰안_xls][입찰안_xls][입찰안_xls]B201"/>
      <sheetName val="[입찰안_xls][입찰안_xls][입찰안_xls]B202"/>
      <sheetName val="[입찰안_xls][입찰안_xls][입찰안_xls]B203"/>
      <sheetName val="[입찰안_xls][입찰안_xls][입찰안_xls]B204"/>
      <sheetName val="[입찰안_xls][입찰안_xls][입찰안_xls]B205"/>
      <sheetName val="[입찰안_xls][입찰안_xls][입찰안_xls]B206"/>
      <sheetName val="[입찰안_xls][입찰안_xls][입찰안_xls]B207"/>
      <sheetName val="[입찰안_xls][입찰안_xls][입찰안_xls]B208"/>
      <sheetName val="PROJ__DATA4"/>
      <sheetName val="_Beams_Sched_4"/>
      <sheetName val="[입찰안_xls][입찰안_xls][입찰안_xls]B209"/>
      <sheetName val="[입찰안_xls][입찰안_xls][입찰안_xls]B210"/>
      <sheetName val="[입찰안_xls][입찰안_xls][입찰안_xls]B211"/>
      <sheetName val="[입찰안_xls][입찰안_xls][입찰안_xls]B212"/>
      <sheetName val="[입찰안_xls][입찰안_xls][입찰안_xls]B213"/>
      <sheetName val="[입찰안_xls][입찰안_xls][입찰안_xls]B214"/>
      <sheetName val="[입찰안_xls][입찰안_xls][입찰안_xls]B215"/>
      <sheetName val="[입찰안_xls][입찰안_xls][입찰안_xls]B216"/>
      <sheetName val="[입찰안_xls][입찰안_xls][입찰안_xls]B217"/>
      <sheetName val="[입찰안_xls][입찰안_xls][입찰안_xls]B218"/>
      <sheetName val="[입찰안_xls][입찰안_xls][입찰안_xls]B219"/>
      <sheetName val="[입찰안_xls][입찰안_xls][입찰안_xls]B220"/>
      <sheetName val="[입찰안_xls][입찰안_xls][입찰안_xls]B221"/>
      <sheetName val="[입찰안_xls][입찰안_xls][입찰안_xls]B222"/>
      <sheetName val="[입찰안_xls][입찰안_xls][입찰안_xls]B223"/>
      <sheetName val="[입찰안_xls][입찰안_xls][입찰안_xls]B224"/>
      <sheetName val="[입찰안_xls][입찰안_xls][입찰안_xls]B225"/>
      <sheetName val="[입찰안_xls][입찰안_xls][입찰안_xls]B226"/>
      <sheetName val="[입찰안_xls][입찰안_xls][입찰안_xls]B227"/>
      <sheetName val="[입찰안_xls][입찰안_xls][입찰안_xls]B228"/>
      <sheetName val="[입찰안_xls][입찰안_xls][입찰안_xls]B229"/>
      <sheetName val="[입찰안_xls][입찰안_xls][입찰안_xls]B230"/>
      <sheetName val="Cọc_nhồi4"/>
      <sheetName val="Phan_tich_ca_may4"/>
      <sheetName val="Chenh_lech_ca_may4"/>
      <sheetName val="TLg_CN&amp;Laixe4"/>
      <sheetName val="TLg_CN&amp;Laixe_(2)4"/>
      <sheetName val="TLg_Laitau4"/>
      <sheetName val="TLg_Laitau_(2)4"/>
      <sheetName val="Dầm_14"/>
      <sheetName val="Gia_VLNCMTC4"/>
      <sheetName val="Sàn_T14"/>
      <sheetName val="Lỗ_thông_gió4"/>
      <sheetName val="Sàn_tầng_01_(_old_)4"/>
      <sheetName val="Chiet_tinh_don_gia_CM4"/>
      <sheetName val="Measure_13064"/>
      <sheetName val="EE_(3)4"/>
      <sheetName val="RAB_AR&amp;STR3"/>
      <sheetName val="Isolasi_Luar_Dalam3"/>
      <sheetName val="Isolasi_Luar3"/>
      <sheetName val="Div26_-_Elect3"/>
      <sheetName val="U_P_Breakdown3"/>
      <sheetName val="1_R18_BF3"/>
      <sheetName val="6_External_works-R183"/>
      <sheetName val="[입찰안_xls][입찰안_xls][입찰안_xls]B231"/>
      <sheetName val="[입찰안_xls][입찰안_xls][입찰안_xls]B232"/>
      <sheetName val="[입찰안_xls][입찰안_xls][입찰안_xls]B233"/>
      <sheetName val="[입찰안_xls][입찰안_xls][입찰안_xls]B234"/>
      <sheetName val="[입찰안_xls][입찰안_xls][입찰안_xls]B235"/>
      <sheetName val="[입찰안_xls][입찰안_xls][입찰안_xls]B236"/>
      <sheetName val="[입찰안_xls][입찰안_xls][입찰안_xls]B237"/>
      <sheetName val="[입찰안_xls][입찰안_xls][입찰안_xls]B238"/>
      <sheetName val="[입찰안_xls][입찰안_xls][입찰안_xls]B239"/>
      <sheetName val="[입찰안_xls][입찰안_xls][입찰안_xls]B240"/>
      <sheetName val="[입찰안_xls][입찰안_xls][입찰안_xls]B241"/>
      <sheetName val="[입찰안_xls][입찰안_xls][입찰안_xls]B242"/>
      <sheetName val="[입찰안_xls][입찰안_xls][입찰안_xls]B243"/>
      <sheetName val="[입찰안_xls][입찰안_xls][입찰안_xls]B244"/>
      <sheetName val="견적비교표_(2)2"/>
      <sheetName val="결재방(지우지_마세요)2"/>
      <sheetName val="EXCHANGE_RATE2"/>
      <sheetName val="[입찰안_xls][입찰안_xls][입찰안_xls]B245"/>
      <sheetName val="[입찰안_xls][입찰안_xls][입찰안_xls]B246"/>
      <sheetName val="TOWER_12TON2"/>
      <sheetName val="공사투입계획(변경결의)19_92"/>
      <sheetName val="노무비_월별지급현황19_92"/>
      <sheetName val="갑지(외주기성)19_92"/>
      <sheetName val="[입찰안_xls][입찰안_xls][입찰안_xls]B247"/>
      <sheetName val="노임단가_및_기계경비2"/>
      <sheetName val="실행내역서_2"/>
      <sheetName val="[입찰안_xls][입찰안_xls][입찰안_xls]B248"/>
      <sheetName val="[입찰안_xls][입찰안_xls][입찰안_xls]B249"/>
      <sheetName val="[입찰안_xls][입찰안_xls][입찰안_xls]B250"/>
      <sheetName val="[입찰안_xls][입찰안_xls][입찰안_xls]B251"/>
      <sheetName val="[입찰안_xls][입찰안_xls][입찰안_xls]B252"/>
      <sheetName val="[입찰안_xls][입찰안_xls][입찰안_xls]B253"/>
      <sheetName val="중강당_내역2"/>
      <sheetName val="[입찰안_xls][입찰안_xls][입찰안_xls]B254"/>
      <sheetName val="[입찰안_xls][입찰안_xls][입찰안_xls]B255"/>
      <sheetName val="[입찰안_xls][입찰안_xls][입찰안_xls]B256"/>
      <sheetName val="[입찰안_xls][입찰안_xls][입찰안_xls]B257"/>
      <sheetName val="[입찰안_xls][입찰안_xls][입찰안_xls]B258"/>
      <sheetName val="[입찰안_xls][입찰안_xls][입찰안_xls]B259"/>
      <sheetName val="[입찰안_xls][입찰안_xls][입찰안_xls]B260"/>
      <sheetName val="[입찰안_xls][입찰안_xls][입찰안_xls]B261"/>
      <sheetName val="[입찰안_xls][입찰안_xls][입찰안_xls]B262"/>
      <sheetName val="[입찰안_xls][입찰안_xls][입찰안_xls]B263"/>
      <sheetName val="[입찰안_xls][입찰안_xls][입찰안_xls]B264"/>
      <sheetName val="[입찰안_xls][입찰안_xls][입찰안_xls]B265"/>
      <sheetName val="[입찰안_xls][입찰안_xls][입찰안_xls]B266"/>
      <sheetName val="[입찰안_xls][입찰안_xls][입찰안_xls]B267"/>
      <sheetName val="6-1_보오링(1)2"/>
      <sheetName val="할증_3"/>
      <sheetName val="간접비_총괄표3"/>
      <sheetName val="[입찰안_xls][입찰안_xls][입찰안_xls]B268"/>
      <sheetName val="[입찰안_xls][입찰안_xls][입찰안_xls]B269"/>
      <sheetName val="[입찰안_xls][입찰안_xls][입찰안_xls]B270"/>
      <sheetName val="[입찰안_xls][입찰안_xls][입찰안_xls]B271"/>
      <sheetName val="[입찰안_xls][입찰안_xls][입찰안_xls]B272"/>
      <sheetName val="[입찰안_xls][입찰안_xls][입찰안_xls]B273"/>
      <sheetName val="[입찰안_xls][입찰안_xls][입찰안_xls]B274"/>
      <sheetName val="[입찰안_xls][입찰안_xls][입찰안_xls]B275"/>
      <sheetName val="[입찰안_xls][입찰안_xls][입찰안_xls]B276"/>
      <sheetName val="[입찰안_xls][입찰안_xls][입찰안_xls]B277"/>
      <sheetName val="[입찰안_xls][입찰안_xls][입찰안_xls]B278"/>
      <sheetName val="[입찰안_xls][입찰안_xls][입찰안_xls]B279"/>
      <sheetName val="[입찰안_xls][입찰안_xls][입찰안_xls]B280"/>
      <sheetName val="[입찰안_xls][입찰안_xls][입찰안_xls]B281"/>
      <sheetName val="[입찰안_xls][입찰안_xls][입찰안_xls]B282"/>
      <sheetName val="[입찰안_xls][입찰안_xls][입찰안_xls]B283"/>
      <sheetName val="[입찰안_xls][입찰안_xls][입찰안_xls]B284"/>
      <sheetName val="[입찰안_xls][입찰안_xls][입찰안_xls]B285"/>
      <sheetName val="[입찰안_xls][입찰안_xls][입찰안_xls]B286"/>
      <sheetName val="[입찰안_xls][입찰안_xls][입찰안_xls]B287"/>
      <sheetName val="[입찰안_xls][입찰안_xls][입찰안_xls]B288"/>
      <sheetName val="[입찰안_xls][입찰안_xls][입찰안_xls]B289"/>
      <sheetName val="[입찰안_xls][입찰안_xls][입찰안_xls]B290"/>
      <sheetName val="[입찰안_xls][입찰안_xls][입찰안_xls]B291"/>
      <sheetName val="[입찰안_xls][입찰안_xls][입찰안_xls]B292"/>
      <sheetName val="[입찰안_xls][입찰안_xls][입찰안_xls]B293"/>
      <sheetName val="[입찰안_xls][입찰안_xls][입찰안_xls]B294"/>
      <sheetName val="[입찰안_xls][입찰안_xls][입찰안_xls]B295"/>
      <sheetName val="[입찰안_xls][입찰안_xls][입찰안_xls]B296"/>
      <sheetName val="[입찰안_xls][입찰안_xls][입찰안_xls]B297"/>
      <sheetName val="[입찰안_xls][입찰안_xls][입찰안_xls]B298"/>
      <sheetName val="Bill_01_-_CTN3"/>
      <sheetName val="020_235_23633"/>
      <sheetName val="CHITIET_VL-NC-TT1p3"/>
      <sheetName val="Project_Infor3"/>
      <sheetName val="Data_input3"/>
      <sheetName val="_입찰안_xls_직접뀀鞖_3"/>
      <sheetName val="_입찰안_xls__입찰안_xls_직접뀀鞖_3"/>
      <sheetName val="bang_TH3"/>
      <sheetName val="Phan_tho3"/>
      <sheetName val="Tien_Thuong3"/>
      <sheetName val="NC_XL_6T_cuoi_01_CTy3"/>
      <sheetName val="Data_-6T_dau3"/>
      <sheetName val="Cong_6T3"/>
      <sheetName val="[입찰안_xls][입찰안_xls][입찰안_xls]__18"/>
      <sheetName val="[입찰안_xls][입찰안_xls][입찰안_xls]__19"/>
      <sheetName val="[입찰안_xls][입찰안_xls]직접뀀鞖/4"/>
      <sheetName val="[입찰안_xls][입찰안_xls][입찰안_xls]__20"/>
      <sheetName val="Khoi_luong1"/>
      <sheetName val="_입찰안_xls__입찰안_xls__입찰안_xls____4"/>
      <sheetName val="새로이_설치할_정비기반시설_조서_나번_(2)1"/>
      <sheetName val="[입찰안_xls][입찰안_xls][입찰안_xls]__21"/>
      <sheetName val="[입찰안_xls][입찰안_xls][입찰안_xls]__22"/>
      <sheetName val="[입찰안_xls][입찰안_xls][입찰안_xls]__23"/>
      <sheetName val="DTICH_(Full)1"/>
      <sheetName val="COST_SUMMARY1"/>
      <sheetName val="Xuly_Data1"/>
      <sheetName val="TL_rieng1"/>
      <sheetName val="Thuc_thanh1"/>
      <sheetName val="Cost_factor1"/>
      <sheetName val="Item_list1"/>
      <sheetName val="Sheet_Template_Empty1"/>
      <sheetName val="F_D_SEC__PROP1"/>
      <sheetName val="[입찰안_xls][입찰안_xls][입찰안_xls]_886"/>
      <sheetName val="[입찰안_xls][입찰안_xls][입찰안_xls]_887"/>
      <sheetName val="[입찰안_xls][입찰안_xls][입찰안_xls]_888"/>
      <sheetName val="[입찰안_xls][입찰안_xls][입찰안_xls]_889"/>
      <sheetName val="[입찰안_xls][입찰안_xls][입찰안_xls]_890"/>
      <sheetName val="[입찰안_xls][입찰안_xls][입찰안_xls]_891"/>
      <sheetName val="[입찰안_xls][입찰안_xls][입찰안_xls]_892"/>
      <sheetName val="[입찰안_xls][입찰안_xls][입찰안_xls]_893"/>
      <sheetName val="[입찰안_xls][입찰안_xls][입찰안_xls]_894"/>
      <sheetName val="[입찰안_xls][입찰안_xls][입찰안_xls]_895"/>
      <sheetName val="[입찰안_xls][입찰안_xls][입찰안_xls]_896"/>
      <sheetName val="[입찰안_xls][입찰안_xls][입찰안_xls]_897"/>
      <sheetName val="[입찰안_xls][입찰안_xls][입찰안_xls]_898"/>
      <sheetName val="[입찰안_xls][입찰안_xls][입찰안_xls]_899"/>
      <sheetName val="[입찰안_xls][입찰안_xls][입찰안_xls]_900"/>
      <sheetName val="[입찰안_xls][입찰안_xls][입찰안_xls]_901"/>
      <sheetName val="[입찰안_xls][입찰안_xls][입찰안_xls]_902"/>
      <sheetName val="[입찰안_xls][입찰안_xls][입찰안_xls]_903"/>
      <sheetName val="[입찰안_xls][입찰안_xls][입찰안_xls]_904"/>
      <sheetName val="Code_021"/>
      <sheetName val="Code_031"/>
      <sheetName val="Code_041"/>
      <sheetName val="Code_051"/>
      <sheetName val="Code_061"/>
      <sheetName val="Code_071"/>
      <sheetName val="Code_091"/>
      <sheetName val="[입찰안_xls][입찰안_xls][입찰안_xls]_905"/>
      <sheetName val="[입찰안_xls][입찰안_xls][입찰안_xls]_906"/>
      <sheetName val="[입찰안_xls][입찰안_xls][입찰안_xls]_907"/>
      <sheetName val="[입찰안_xls][입찰안_xls][입찰안_xls]_908"/>
      <sheetName val="[입찰안_xls][입찰안_xls][입찰안_xls]_909"/>
      <sheetName val="[입찰안_xls][입찰안_xls][입찰안_xls]_910"/>
      <sheetName val="[입찰안_xls][입찰안_xls][입찰안_xls]_911"/>
      <sheetName val="[입찰안_xls][입찰안_xls][입찰안_xls]_912"/>
      <sheetName val="[입찰안_xls][입찰안_xls][입찰안_xls]_913"/>
      <sheetName val="[입찰안_xls][입찰안_xls][입찰안_xls]_914"/>
      <sheetName val="[입찰안_xls][입찰안_xls][입찰안_xls]_915"/>
      <sheetName val="[입찰안_xls][입찰안_xls][입찰안_xls]_916"/>
      <sheetName val="[입찰안_xls][입찰안_xls][입찰안_xls]_917"/>
      <sheetName val="[입찰안_xls][입찰안_xls][입찰안_xls]_918"/>
      <sheetName val="[입찰안_xls][입찰안_xls][입찰안_xls]_919"/>
      <sheetName val="[입찰안_xls][입찰안_xls][입찰안_xls]_920"/>
      <sheetName val="[입찰안_xls][입찰안_xls][입찰안_xls]_921"/>
      <sheetName val="[입찰안_xls][입찰안_xls][입찰안_xls]_922"/>
      <sheetName val="[입찰안_xls][입찰안_xls][입찰안_xls]_923"/>
      <sheetName val="[입찰안_xls][입찰안_xls][입찰안_xls]_924"/>
      <sheetName val="[입찰안_xls][입찰안_xls][입찰안_xls]_925"/>
      <sheetName val="[입찰안_xls][입찰안_xls][입찰안_xls]_926"/>
      <sheetName val="[입찰안_xls][입찰안_xls][입찰안_xls]_927"/>
      <sheetName val="[입찰안_xls][입찰안_xls][입찰안_xls]_928"/>
      <sheetName val="[입찰안_xls][입찰안_xls][입찰안_xls]_929"/>
      <sheetName val="[입찰안_xls][입찰안_xls][입찰안_xls]_930"/>
      <sheetName val="[입찰안_xls][입찰안_xls][입찰안_xls]_931"/>
      <sheetName val="[입찰안_xls][입찰안_xls][입찰안_xls]_932"/>
      <sheetName val="[입찰안_xls][입찰안_xls][입찰안_xls]_933"/>
      <sheetName val="[입찰안_xls][입찰안_xls][입찰안_xls]_934"/>
      <sheetName val="[입찰안_xls][입찰안_xls][입찰안_xls]_935"/>
      <sheetName val="[입찰안_xls][입찰안_xls][입찰안_xls]_936"/>
      <sheetName val="[입찰안_xls][입찰안_xls][입찰안_xls]_937"/>
      <sheetName val="[입찰안_xls][입찰안_xls][입찰안_xls]_938"/>
      <sheetName val="[입찰안_xls][입찰안_xls][입찰안_xls]_939"/>
      <sheetName val="[입찰안_xls][입찰안_xls][입찰안_xls]_940"/>
      <sheetName val="co-no_21"/>
      <sheetName val="(1)2002년_매출목표_산출1"/>
      <sheetName val="[입찰안_xls][입찰안_xls][입찰안_xls]_941"/>
      <sheetName val="[입찰안_xls][입찰안_xls][입찰안_xls]_942"/>
      <sheetName val="[입찰안_xls][입찰안_xls][입찰안_xls]_943"/>
      <sheetName val="[입찰안_xls][입찰안_xls][입찰안_xls]_944"/>
      <sheetName val="[입찰안_xls][입찰안_xls][입찰안_xls]_945"/>
      <sheetName val="[입찰안_xls][입찰안_xls][입찰안_xls]_946"/>
      <sheetName val="[입찰안_xls][입찰안_xls][입찰안_xls]_947"/>
      <sheetName val="[입찰안_xls][입찰안_xls][입찰안_xls]_948"/>
      <sheetName val="[입찰안_xls][입찰안_xls][입찰안_xls]_949"/>
      <sheetName val="[입찰안_xls][입찰안_xls][입찰안_xls]_950"/>
      <sheetName val="[입찰안_xls][입찰안_xls][입찰안_xls]_951"/>
      <sheetName val="[입찰안_xls][입찰안_xls][입찰안_xls]_952"/>
      <sheetName val="[입찰안_xls][입찰안_xls][입찰안_xls]_953"/>
      <sheetName val="[입찰안_xls][입찰안_xls][입찰안_xls]_954"/>
      <sheetName val="[입찰안_xls][입찰안_xls][입찰안_xls]_955"/>
      <sheetName val="[입찰안_xls][입찰안_xls][입찰안_xls]_956"/>
      <sheetName val="[입찰안_xls][입찰안_xls][입찰안_xls]_957"/>
      <sheetName val="[입찰안_xls][입찰안_xls][입찰안_xls]_958"/>
      <sheetName val="[입찰안_xls][입찰안_xls][입찰안_xls]_959"/>
      <sheetName val="[입찰안_xls][입찰안_xls][입찰안_xls]_960"/>
      <sheetName val="[입찰안_xls][입찰안_xls][입찰안_xls]_961"/>
      <sheetName val="[입찰안_xls][입찰안_xls][입찰안_xls]_962"/>
      <sheetName val="[입찰안_xls][입찰안_xls][입찰안_xls]_963"/>
      <sheetName val="[입찰안_xls][입찰안_xls][입찰안_xls]_964"/>
      <sheetName val="[입찰안_xls][입찰안_xls][입찰안_xls]_965"/>
      <sheetName val="[입찰안_xls][입찰안_xls][입찰안_xls]_966"/>
      <sheetName val="[입찰안_xls][입찰안_xls][입찰안_xls]_967"/>
      <sheetName val="[입찰안_xls][입찰안_xls][입찰안_xls]_968"/>
      <sheetName val="[입찰안_xls][입찰안_xls][입찰안_xls]_969"/>
      <sheetName val="[입찰안_xls][입찰안_xls][입찰안_xls]_970"/>
      <sheetName val="[입찰안_xls][입찰안_xls][입찰안_xls]_971"/>
      <sheetName val="[입찰안_xls][입찰안_xls][입찰안_xls]_972"/>
      <sheetName val="[입찰안_xls][입찰안_xls][입찰안_xls]_973"/>
      <sheetName val="[입찰안_xls][입찰안_xls][입찰안_xls]_974"/>
      <sheetName val="[입찰안_xls][입찰안_xls][입찰안_xls]_975"/>
      <sheetName val="[입찰안_xls][입찰안_xls][입찰안_xls]_976"/>
      <sheetName val="[입찰안_xls][입찰안_xls][입찰안_xls]_977"/>
      <sheetName val="[입찰안.xls][입찰안.xls]_____xls_2417"/>
      <sheetName val="[입찰안.xls][입찰안.xls]_____xls_2433"/>
      <sheetName val="[입찰안.xls][입찰안.xls]_____xls_2412"/>
      <sheetName val="[입찰안.xls][입찰안.xls]_____xls_2416"/>
      <sheetName val="[입찰안.xls][입찰안.xls]_____xls_2414"/>
      <sheetName val="[입찰안.xls][입찰안.xls]_____xls_2413"/>
      <sheetName val="[입찰안.xls][입찰안.xls]_____xls_2415"/>
      <sheetName val="덕"/>
      <sheetName val="수량산출서집²"/>
      <sheetName val="[입찰안.xls][입찰안.xls]_____xls_2429"/>
      <sheetName val="[입찰안.xls][입찰안.xls]_____xls_2419"/>
      <sheetName val="[입찰안.xls][입찰안.xls]_____xls_2427"/>
      <sheetName val="[입찰안.xls][입찰안.xls]_____xls_2428"/>
      <sheetName val="[입찰안.xls][입찰안.xls]_____xls_2422"/>
      <sheetName val="[입찰안.xls][입찰안.xls]_____xls_2421"/>
      <sheetName val="[입찰안.xls][입찰안.xls]_____xls_2420"/>
      <sheetName val="[입찰안.xls][입찰안.xls]_____xls_2423"/>
      <sheetName val="[입찰안.xls][입찰안.xls]_____xls_2424"/>
      <sheetName val="[입찰안.xls][입찰안.xls]_____xls_2426"/>
      <sheetName val="[입찰안.xls][입찰안.xls]_____xls_2425"/>
      <sheetName val="[입찰안.xls][입찰안.xls]_____xls_2432"/>
      <sheetName val="[입찰안.xls][입찰안.xls]_____xls_2430"/>
      <sheetName val="[입찰안.xls][입찰안.xls]_____xls_2431"/>
      <sheetName val="[입찰안.xls][입찰안.xls]_____xls_2437"/>
      <sheetName val="기초입력 DATA"/>
      <sheetName val="준공정_x0000_"/>
      <sheetName val="Regenerator  Concrete Structure"/>
      <sheetName val="Ts&amp;Cs"/>
      <sheetName val="Variables"/>
      <sheetName val="대운산출"/>
      <sheetName val="공사비"/>
      <sheetName val="산출서양식01"/>
      <sheetName val="[입찰안.xls][입찰안.xls]_____xls_2440"/>
      <sheetName val="[입찰안.xls][입찰안.xls]_____xls_2438"/>
      <sheetName val="[입찰안.xls][입찰안.xls]_____xls_2439"/>
      <sheetName val="[입찰안.xls][입찰안.xls]_____xls_2442"/>
      <sheetName val="[입찰안.xls][입찰안.xls]_____xls_2450"/>
      <sheetName val="[입찰안.xls][입찰안.xls]_____xls_2449"/>
      <sheetName val="증감조서"/>
      <sheetName val="11_산출_x0000__x0000__x0005__x0000_"/>
      <sheetName val="[입찰안.xls][입찰안.xls]_____xls_2471"/>
      <sheetName val="[입찰안.xls][입찰안.xls]_____xls_2455"/>
      <sheetName val="[입찰안.xls][입찰안.xls]_____xls_2454"/>
      <sheetName val="_HIT__HMC__x0000__x0000__x0005__x0000_瑐믇Ⱥ_x0000_"/>
      <sheetName val="[입찰안.xls][입찰안.xls]_____xls_2452"/>
      <sheetName val="[입찰안.xls][입찰안.xls]_____xls_2453"/>
      <sheetName val="[입찰안.xls][입찰안.xls]_____xls_2468"/>
      <sheetName val="[입찰안.xls][입찰안.xls]_____xls_2464"/>
      <sheetName val="[입찰안.xls][입찰안.xls]_____xls_2461"/>
      <sheetName val="[입찰안.xls][입찰안.xls]_____xls_2460"/>
      <sheetName val="[입찰안.xls][입찰안.xls]_____xls_2456"/>
      <sheetName val="[입찰안.xls][입찰안.xls]_____xls_2458"/>
      <sheetName val="[입찰안.xls][입찰안.xls]_____xls_2459"/>
      <sheetName val="[입찰안.xls][입찰안.xls]_____xls_2457"/>
      <sheetName val="[입찰안.xls][입찰안.xls]_____xls_2462"/>
      <sheetName val="[입찰안.xls][입찰안.xls]_____xls_2463"/>
      <sheetName val="[입찰안.xls][입찰안.xls]_____xls_2466"/>
      <sheetName val="[입찰안.xls][입찰안.xls]_____xls_2465"/>
      <sheetName val="[입찰안.xls][입찰안.xls]_____xls_2467"/>
      <sheetName val="[입찰안.xls][입찰안.xls]_____xls_2472"/>
      <sheetName val="B__입찰안.xls"/>
      <sheetName val="_입찰안.xls_B__입찰안.xls"/>
      <sheetName val="_입찰안.xls__입찰안.xls_B__입찰안.xls"/>
      <sheetName val="_입찰안.xls__입찰안.xls__입찰안.xls__267"/>
      <sheetName val="_입찰안.xls__입찰안.xls__입찰안.xls__269"/>
      <sheetName val="_입찰안.xls__입찰안.xls__입찰안.xls__268"/>
      <sheetName val="_입찰안.xls__입찰안.xls__입찰안.xls__115"/>
      <sheetName val="_입찰안.xls__입찰안.xls__입찰안.xls__113"/>
      <sheetName val="_입찰안.xls__입찰안.xls__입찰안.xls__114"/>
      <sheetName val="_입찰안.xls__입찰안.xls__입찰안.xls__117"/>
      <sheetName val="_입찰안.xls__입찰안.xls__입찰안.xls__116"/>
      <sheetName val="_입찰안.xls__입찰안.xls__입찰안.xls__122"/>
      <sheetName val="_입찰안.xls__입찰안.xls__입찰안.xls__120"/>
      <sheetName val="_입찰안.xls__입찰안.xls__입찰안.xls__118"/>
      <sheetName val="_입찰안.xls__입찰안.xls__입찰안.xls__119"/>
      <sheetName val="_입찰안.xls__입찰안.xls__입찰안.xls__121"/>
      <sheetName val="_입찰안.xls__입찰안.xls__입찰안.xls__124"/>
      <sheetName val="_입찰안.xls__입찰안.xls__입찰안.xls__123"/>
      <sheetName val="_입찰안.xls__입찰안.xls__입찰안.xls__131"/>
      <sheetName val="_입찰안.xls__입찰안.xls__입찰안.xls__128"/>
      <sheetName val="_입찰안.xls__입찰안.xls__입찰안.xls__125"/>
      <sheetName val="_입찰안.xls__입찰안.xls__입찰안.xls__126"/>
      <sheetName val="_입찰안.xls__입찰안.xls__입찰안.xls__127"/>
      <sheetName val="_입찰안.xls__입찰안.xls__입찰안.xls__129"/>
      <sheetName val="_입찰안.xls__입찰안.xls__입찰안.xls__130"/>
      <sheetName val="_입찰안.xls__입찰안.xls__입찰안.xls__132"/>
      <sheetName val="_입찰안.xls__입찰안.xls__입찰안.xls__140"/>
      <sheetName val="_입찰안.xls__입찰안.xls__입찰안.xls__135"/>
      <sheetName val="_입찰안.xls__입찰안.xls__입찰안.xls__134"/>
      <sheetName val="_입찰안.xls__입찰안.xls__입찰안.xls__133"/>
      <sheetName val="_입찰안.xls__입찰안.xls__입찰안.xls__139"/>
      <sheetName val="_입찰안.xls__입찰안.xls__입찰안.xls__136"/>
      <sheetName val="_입찰안.xls__입찰안.xls__입찰안.xls__137"/>
      <sheetName val="_입찰안.xls__입찰안.xls__입찰안.xls__138"/>
      <sheetName val="_입찰안.xls__입찰안.xls__입찰안.xls__142"/>
      <sheetName val="_입찰안.xls__입찰안.xls__입찰안.xls__141"/>
      <sheetName val="_입찰안.xls__입찰안.xls__입찰안.xls__143"/>
      <sheetName val="_입찰안.xls__입찰안.xls__입찰안.xls__145"/>
      <sheetName val="_입찰안.xls__입찰안.xls__입찰안.xls__144"/>
      <sheetName val="_입찰안.xls__입찰안.xls__입찰안.xls__146"/>
      <sheetName val="_입찰안.xls__입찰안.xls__입찰안.xls__147"/>
      <sheetName val="_입찰안.xls__입찰안.xls__입찰안.xls__149"/>
      <sheetName val="_입찰안.xls__입찰안.xls__입찰안.xls__148"/>
      <sheetName val="_입찰안.xls__입찰안.xls__입찰안.xls__152"/>
      <sheetName val="_입찰안.xls__입찰안.xls__입찰안.xls__153"/>
      <sheetName val="_입찰안.xls__입찰안.xls__입찰안.xls__150"/>
      <sheetName val="_입찰안.xls__입찰안.xls__입찰안.xls__151"/>
      <sheetName val="_입찰안.xls__입찰안.xls__입찰안.xls__155"/>
      <sheetName val="_입찰안.xls__입찰안.xls__입찰안.xls__154"/>
      <sheetName val="_입찰안.xls__입찰안.xls__입찰안.xls__156"/>
      <sheetName val="_입찰안.xls__입찰안.xls__입찰안.xls__158"/>
      <sheetName val="_입찰안.xls__입찰안.xls__입찰안.xls__157"/>
      <sheetName val="_입찰안.xls__입찰안.xls__입찰안.xls__159"/>
      <sheetName val="_입찰안.xls__입찰안.xls__입찰안.xls__160"/>
      <sheetName val="_입찰안.xls__입찰안.xls__입찰안.xls__164"/>
      <sheetName val="_입찰안.xls__입찰안.xls__입찰안.xls__163"/>
      <sheetName val="_입찰안.xls__입찰안.xls__입찰안.xls__162"/>
      <sheetName val="_입찰안.xls__입찰안.xls__입찰안.xls__161"/>
      <sheetName val="_입찰안.xls__입찰안.xls__입찰안.xls____4"/>
      <sheetName val="_입찰안.xls__입찰안.xls__입찰안.xls__166"/>
      <sheetName val="_입찰안.xls__입찰안.xls__입찰안.xls__165"/>
      <sheetName val="_입찰안.xls__입찰안.xls__입찰안.xls__170"/>
      <sheetName val="_입찰안.xls__입찰안.xls__입찰안.xls__171"/>
      <sheetName val="_입찰안.xls__입찰안.xls__입찰안.xls__167"/>
      <sheetName val="_입찰안.xls__입찰안.xls__입찰안.xls__169"/>
      <sheetName val="_입찰안.xls__입찰안.xls__입찰안.xls__168"/>
      <sheetName val="_입찰안.xls__입찰안.xls__입찰안.xls__175"/>
      <sheetName val="_입찰안.xls__입찰안.xls__입찰안.xls__172"/>
      <sheetName val="_입찰안.xls__입찰안.xls__입찰안.xls__174"/>
      <sheetName val="_입찰안.xls__입찰안.xls__입찰안.xls__173"/>
      <sheetName val="_입찰안.xls__입찰안.xls__입찰안.xls__176"/>
      <sheetName val="_입찰안.xls__입찰안.xls__입찰안.xls__177"/>
      <sheetName val="_입찰안.xls__입찰안.xls__입찰안.xls__178"/>
      <sheetName val="_입찰안.xls__입찰안.xls__입찰안.xls__179"/>
      <sheetName val="_입찰안.xls__입찰안.xls__입찰안.xls__181"/>
      <sheetName val="_입찰안.xls__입찰안.xls__입찰안.xls__180"/>
      <sheetName val="_입찰안.xls__입찰안.xls__입찰안.xls__182"/>
      <sheetName val="_입찰안.xls__입찰안.xls__입찰안.xls__184"/>
      <sheetName val="_입찰안.xls__입찰안.xls__입찰안.xls__183"/>
      <sheetName val="_입찰안.xls__입찰안.xls__입찰안.xls__185"/>
      <sheetName val="_입찰안.xls__입찰안.xls__입찰안.xls__186"/>
      <sheetName val="_입찰안.xls__입찰안.xls__입찰안.xls__187"/>
      <sheetName val="_입찰안.xls__입찰안.xls__입찰안.xls__188"/>
      <sheetName val="_입찰안.xls__입찰안.xls__입찰안.xls__190"/>
      <sheetName val="_입찰안.xls__입찰안.xls__입찰안.xls__189"/>
      <sheetName val="_입찰안.xls__입찰안.xls__입찰안.xls__253"/>
      <sheetName val="_입찰안.xls__입찰안.xls__입찰안.xls__255"/>
      <sheetName val="_입찰안.xls__입찰안.xls__입찰안.xls__258"/>
      <sheetName val="_입찰안.xls__입찰안.xls__입찰안.xls__222"/>
      <sheetName val="_입찰안.xls__입찰안.xls__입찰안.xls__200"/>
      <sheetName val="_입찰안.xls__입찰안.xls__입찰안.xls__199"/>
      <sheetName val="_입찰안.xls__입찰안.xls__입찰안.xls__202"/>
      <sheetName val="_입찰안.xls__입찰안.xls__입찰안.xls__193"/>
      <sheetName val="_입찰안.xls__입찰안.xls__입찰안.xls__191"/>
      <sheetName val="_입찰안.xls__입찰안.xls__입찰안.xls__196"/>
      <sheetName val="_입찰안.xls__입찰안.xls__입찰안.xls__192"/>
      <sheetName val="_입찰안.xls__입찰안.xls__입찰안.xls__194"/>
      <sheetName val="_입찰안.xls__입찰안.xls__입찰안.xls__195"/>
      <sheetName val="_입찰안.xls__입찰안.xls__입찰안.xls__197"/>
      <sheetName val="_입찰안.xls__입찰안.xls__입찰안.xls__198"/>
      <sheetName val="_입찰안.xls__입찰안.xls__입찰안.xls__201"/>
      <sheetName val="_입찰안.xls__입찰안.xls__입찰안.xls__203"/>
      <sheetName val="_입찰안.xls__입찰안.xls__입찰안.xls__205"/>
      <sheetName val="_입찰안.xls__입찰안.xls__입찰안.xls__206"/>
      <sheetName val="_입찰안.xls__입찰안.xls__입찰안.xls__204"/>
      <sheetName val="_입찰안.xls__입찰안.xls__입찰안.xls__207"/>
      <sheetName val="_입찰안.xls__입찰안.xls__입찰안.xls__208"/>
      <sheetName val="_입찰안.xls__입찰안.xls__입찰안.xls__209"/>
      <sheetName val="_입찰안.xls__입찰안.xls__입찰안.xls__211"/>
      <sheetName val="_입찰안.xls__입찰안.xls__입찰안.xls__210"/>
      <sheetName val="_입찰안.xls__입찰안.xls__입찰안.xls__212"/>
      <sheetName val="_입찰안.xls__입찰안.xls__입찰안.xls__213"/>
      <sheetName val="_입찰안.xls__입찰안.xls__입찰안.xls__214"/>
      <sheetName val="_입찰안.xls__입찰안.xls__입찰안.xls__216"/>
      <sheetName val="_입찰안.xls__입찰안.xls__입찰안.xls__217"/>
      <sheetName val="_입찰안.xls__입찰안.xls__입찰안.xls__215"/>
      <sheetName val="_입찰안.xls__입찰안.xls__입찰안.xls__218"/>
      <sheetName val="_입찰안.xls__입찰안.xls__입찰안.xls__220"/>
      <sheetName val="_입찰안.xls__입찰안.xls__입찰안.xls__221"/>
      <sheetName val="_입찰안.xls__입찰안.xls__입찰안.xls__219"/>
      <sheetName val="_입찰안.xls__입찰안.xls__입찰안.xls__226"/>
      <sheetName val="_입찰안.xls__입찰안.xls__입찰안.xls__225"/>
      <sheetName val="_입찰안.xls__입찰안.xls__입찰안.xls__223"/>
      <sheetName val="_입찰안.xls__입찰안.xls__입찰안.xls__224"/>
      <sheetName val="_입찰안.xls__입찰안.xls__입찰안.xls__228"/>
      <sheetName val="_입찰안.xls__입찰안.xls__입찰안.xls__227"/>
      <sheetName val="_입찰안.xls__입찰안.xls__입찰안.xls__230"/>
      <sheetName val="_입찰안.xls__입찰안.xls__입찰안.xls__229"/>
      <sheetName val="_입찰안.xls__입찰안.xls__입찰안.xls__231"/>
      <sheetName val="_입찰안.xls__입찰안.xls__입찰안.xls__235"/>
      <sheetName val="_입찰안.xls__입찰안.xls__입찰안.xls__238"/>
      <sheetName val="_입찰안.xls__입찰안.xls__입찰안.xls__237"/>
      <sheetName val="_입찰안.xls__입찰안.xls__입찰안.xls__232"/>
      <sheetName val="_입찰안.xls__입찰안.xls__입찰안.xls__233"/>
      <sheetName val="_입찰안.xls__입찰안.xls__입찰안.xls__234"/>
      <sheetName val="_입찰안.xls__입찰안.xls__입찰안.xls__236"/>
      <sheetName val="_입찰안.xls__입찰안.xls__입찰안.xls__240"/>
      <sheetName val="_입찰안.xls__입찰안.xls__입찰안.xls__239"/>
      <sheetName val="_입찰안.xls__입찰안.xls__입찰안.xls__246"/>
      <sheetName val="_입찰안.xls__입찰안.xls__입찰안.xls__241"/>
      <sheetName val="_입찰안.xls__입찰안.xls__입찰안.xls__242"/>
      <sheetName val="_입찰안.xls__입찰안.xls__입찰안.xls__243"/>
      <sheetName val="_입찰안.xls__입찰안.xls__입찰안.xls__244"/>
      <sheetName val="_입찰안.xls__입찰안.xls__입찰안.xls__245"/>
      <sheetName val="_입찰안.xls__입찰안.xls__입찰안.xls__248"/>
      <sheetName val="_입찰안.xls__입찰안.xls__입찰안.xls__247"/>
      <sheetName val="_입찰안.xls__입찰안.xls__입찰안.xls__249"/>
      <sheetName val="_입찰안.xls__입찰안.xls__입찰안.xls__250"/>
      <sheetName val="_입찰안.xls__입찰안.xls__입찰안.xls__251"/>
      <sheetName val="_입찰안.xls__입찰안.xls__입찰안.xls__252"/>
      <sheetName val="_입찰안.xls__입찰안.xls__입찰안.xls__254"/>
      <sheetName val="_입찰안.xls__입찰안.xls__입찰안.xls__259"/>
      <sheetName val="_입찰안.xls__입찰안.xls__입찰안.xls__256"/>
      <sheetName val="_입찰안.xls__입찰안.xls__입찰안.xls__257"/>
      <sheetName val="_입찰안.xls__입찰안.xls__입찰안.xls__260"/>
      <sheetName val="_입찰안.xls__입찰안.xls__입찰안.xls__261"/>
      <sheetName val="_입찰안.xls__입찰안.xls__입찰안.xls__264"/>
      <sheetName val="_입찰안.xls__입찰안.xls__입찰안.xls__263"/>
      <sheetName val="_입찰안.xls__입찰안.xls__입찰안.xls__262"/>
      <sheetName val="_입찰안.xls__입찰안.xls__입찰안.xls__265"/>
      <sheetName val="_입찰안.xls__입찰안.xls__입찰안.xls__266"/>
      <sheetName val="_입찰안.xls__입찰안.xls__입찰안.xls__270"/>
      <sheetName val="_입찰안.xls__입찰안.xls__입찰안.xls__272"/>
      <sheetName val="_입찰안.xls__입찰안.xls__입찰안.xls__271"/>
      <sheetName val="_입찰안.xls__입찰안.xls__입찰안.xls__283"/>
      <sheetName val="_입찰안.xls__입찰안.xls__입찰안.xls__285"/>
      <sheetName val="_입찰안.xls__입찰안.xls__입찰안.xls__284"/>
      <sheetName val="_입찰안.xls__입찰안.xls__입찰안.xls__282"/>
      <sheetName val="_입찰안.xls__입찰안.xls__입찰안.xls__273"/>
      <sheetName val="_입찰안.xls__입찰안.xls__입찰안.xls__274"/>
      <sheetName val="_입찰안.xls__입찰안.xls__입찰안.xls__275"/>
      <sheetName val="_입찰안.xls__입찰안.xls__입찰안.xls__276"/>
      <sheetName val="_입찰안.xls__입찰안.xls__입찰안.xls__278"/>
      <sheetName val="_입찰안.xls__입찰안.xls__입찰안.xls____5"/>
      <sheetName val="_입찰안.xls__입찰안.xls__입찰안.xls__277"/>
      <sheetName val="_입찰안.xls__입찰안.xls__입찰안.xls__280"/>
      <sheetName val="_입찰안.xls__입찰안.xls__입찰안.xls__279"/>
      <sheetName val="_입찰안.xls__입찰안.xls__입찰안.xls__281"/>
      <sheetName val="_입찰안.xls__입찰안.xls__입찰안.xls__286"/>
      <sheetName val="_입찰안.xls__입찰안.xls__입찰안.xls__287"/>
      <sheetName val="_입찰안.xls__입찰안.xls__입찰안.xls__289"/>
      <sheetName val="_입찰안.xls__입찰안.xls__입찰안.xls__288"/>
      <sheetName val="_입찰안.xls__입찰안.xls__입찰안.xls__290"/>
      <sheetName val="_입찰안.xls__입찰안.xls__입찰안.xls____6"/>
      <sheetName val="_입찰안.xls__입찰안_xls_직접뀀鞖_"/>
      <sheetName val="_입찰안.xls__입찰안_xls__입찰안_xls____2"/>
      <sheetName val="_입찰안.xls__입찰안.xls__입찰안.xls__291"/>
      <sheetName val="_입찰안.xls__입찰안.xls__입찰안.xls__298"/>
      <sheetName val="_입찰안.xls__입찰안.xls__입찰안.xls__292"/>
      <sheetName val="_입찰안.xls__입찰안.xls__입찰안.xls__294"/>
      <sheetName val="_입찰안.xls__입찰안.xls__입찰안.xls__293"/>
      <sheetName val="_입찰안.xls__입찰안.xls__입찰안.xls__295"/>
      <sheetName val="_입찰안.xls__입찰안.xls__입찰안.xls__297"/>
      <sheetName val="_입찰안.xls__입찰안.xls__입찰안.xls__296"/>
      <sheetName val="_입찰안.xls__입찰안.xls__입찰안.xls__299"/>
      <sheetName val="_입찰안.xls____2"/>
      <sheetName val="_입찰안.xls____3"/>
      <sheetName val="_입찰안.xls_B__2"/>
      <sheetName val="_입찰안.xls_B__3"/>
      <sheetName val="_입찰안.xls__입찰안.xls__입찰안.xls__316"/>
      <sheetName val="_입찰안.xls__입찰안.xls__입찰안.xls__302"/>
      <sheetName val="_입찰안.xls__입찰안.xls__입찰안.xls__300"/>
      <sheetName val="_입찰안.xls__입찰안.xls__입찰안.xls__301"/>
      <sheetName val="_입찰안.xls__입찰안.xls__입찰안.xls__313"/>
      <sheetName val="_입찰안.xls__입찰안.xls__입찰안.xls__304"/>
      <sheetName val="_입찰안.xls__입찰안.xls__입찰안.xls__303"/>
      <sheetName val="_입찰안.xls__입찰안.xls__입찰안.xls__306"/>
      <sheetName val="_입찰안.xls__입찰안.xls__입찰안.xls__305"/>
      <sheetName val="_입찰안.xls__입찰안.xls__입찰안.xls__308"/>
      <sheetName val="_입찰안.xls__입찰안.xls__입찰안.xls__307"/>
      <sheetName val="_입찰안.xls__입찰안.xls__입찰안.xls__309"/>
      <sheetName val="_입찰안.xls__입찰안.xls__입찰안.xls__310"/>
      <sheetName val="_입찰안.xls__입찰안.xls__입찰안.xls__311"/>
      <sheetName val="_입찰안.xls__입찰안.xls__입찰안.xls__312"/>
      <sheetName val="_입찰안.xls__입찰안.xls__입찰안.xls__314"/>
      <sheetName val="_입찰안.xls__입찰안.xls__입찰안.xls__315"/>
      <sheetName val="_입찰안.xls__입찰안.xls__입찰안.xls__319"/>
      <sheetName val="_입찰안.xls__입찰안.xls__입찰안.xls__318"/>
      <sheetName val="_입찰안.xls__입찰안.xls__입찰안.xls__317"/>
      <sheetName val="_입찰안.xls__입찰안.xls__입찰안.xls__321"/>
      <sheetName val="_입찰안.xls__입찰안.xls__입찰안.xls__320"/>
      <sheetName val="_입찰안.xls__입찰안.xls__입찰안.xls__322"/>
      <sheetName val="_입찰안.xls__입찰안.xls__입찰안.xls__323"/>
      <sheetName val="_입찰안.xls__입찰안.xls__입찰안.xls__324"/>
      <sheetName val="_입찰안.xls__입찰안.xls__입찰안.xls__339"/>
      <sheetName val="_입찰안.xls__입찰안.xls__입찰안.xls__338"/>
      <sheetName val="_입찰안.xls__입찰안.xls__입찰안.xls__337"/>
      <sheetName val="_입찰안.xls__입찰안.xls__입찰안.xls__335"/>
      <sheetName val="_입찰안.xls__입찰안.xls__입찰안.xls__328"/>
      <sheetName val="_입찰안.xls__입찰안.xls__입찰안.xls__326"/>
      <sheetName val="_입찰안.xls__입찰안.xls__입찰안.xls__330"/>
      <sheetName val="_입찰안.xls__입찰안.xls__입찰안.xls__325"/>
      <sheetName val="_입찰안.xls__입찰안.xls__입찰안.xls__327"/>
      <sheetName val="_입찰안.xls__입찰안.xls__입찰안.xls__332"/>
      <sheetName val="_입찰안.xls__입찰안.xls__입찰안.xls__331"/>
      <sheetName val="_입찰안.xls__입찰안.xls__입찰안.xls__329"/>
      <sheetName val="_입찰안.xls__입찰안.xls__입찰안.xls__334"/>
      <sheetName val="_입찰안.xls__입찰안.xls__입찰안.xls__336"/>
      <sheetName val="_입찰안.xls__입찰안.xls__입찰안.xls__333"/>
      <sheetName val="_입찰안.xls__입찰안.xls__입찰안.xls__341"/>
      <sheetName val="_입찰안.xls__입찰안.xls__입찰안.xls__340"/>
      <sheetName val="_입찰안.xls__입찰안.xls__입찰안.xls__744"/>
      <sheetName val="_입찰안.xls__입찰안.xls__입찰안.xls__343"/>
      <sheetName val="_입찰안.xls__입찰안.xls__입찰안.xls__347"/>
      <sheetName val="_입찰안.xls__입찰안.xls__입찰안.xls__342"/>
      <sheetName val="_입찰안.xls__입찰안.xls__입찰안.xls__355"/>
      <sheetName val="_입찰안.xls__입찰안.xls__입찰안.xls__346"/>
      <sheetName val="_입찰안.xls__입찰안.xls__입찰안.xls__344"/>
      <sheetName val="_입찰안.xls__입찰안.xls__입찰안.xls__345"/>
      <sheetName val="_입찰안.xls__입찰안.xls__입찰안.xls__375"/>
      <sheetName val="_입찰안.xls__입찰안.xls__입찰안.xls__348"/>
      <sheetName val="_입찰안.xls__입찰안.xls__입찰안.xls__349"/>
      <sheetName val="_입찰안.xls__입찰안.xls__입찰안.xls__351"/>
      <sheetName val="_입찰안.xls__입찰안.xls__입찰안.xls__350"/>
      <sheetName val="_입찰안.xls__입찰안.xls__입찰안.xls__352"/>
      <sheetName val="_입찰안.xls__입찰안.xls__입찰안.xls__353"/>
      <sheetName val="_입찰안.xls__입찰안.xls__입찰안.xls__354"/>
      <sheetName val="_입찰안.xls__입찰안.xls__입찰안.xls__357"/>
      <sheetName val="_입찰안.xls__입찰안.xls__입찰안.xls__356"/>
      <sheetName val="_입찰안.xls__입찰안.xls__입찰안.xls__389"/>
      <sheetName val="_입찰안.xls__입찰안.xls__입찰안.xls__358"/>
      <sheetName val="_입찰안.xls__입찰안.xls__입찰안.xls__359"/>
      <sheetName val="_입찰안.xls__입찰안.xls__입찰안.xls__360"/>
      <sheetName val="_입찰안.xls__입찰안.xls__입찰안.xls__361"/>
      <sheetName val="_입찰안.xls__입찰안.xls__입찰안.xls__362"/>
      <sheetName val="_입찰안.xls__입찰안.xls__입찰안.xls__363"/>
      <sheetName val="_입찰안.xls__입찰안.xls__입찰안.xls__364"/>
      <sheetName val="_입찰안.xls__입찰안.xls__입찰안.xls__365"/>
      <sheetName val="_입찰안.xls__입찰안.xls__입찰안.xls__366"/>
      <sheetName val="_입찰안.xls__입찰안.xls__입찰안.xls__367"/>
      <sheetName val="_입찰안.xls__입찰안.xls__입찰안.xls__368"/>
      <sheetName val="_입찰안.xls__입찰안.xls__입찰안.xls__370"/>
      <sheetName val="_입찰안.xls__입찰안.xls__입찰안.xls__369"/>
      <sheetName val="_입찰안.xls__입찰안.xls__입찰안.xls__373"/>
      <sheetName val="_입찰안.xls__입찰안.xls__입찰안.xls__371"/>
      <sheetName val="_입찰안.xls__입찰안.xls__입찰안.xls__372"/>
      <sheetName val="_입찰안.xls__입찰안.xls__입찰안.xls__374"/>
      <sheetName val="_입찰안.xls__입찰안.xls__입찰안.xls__390"/>
      <sheetName val="_입찰안.xls__입찰안.xls__입찰안.xls__388"/>
      <sheetName val="_입찰안.xls__입찰안.xls__입찰안.xls__376"/>
      <sheetName val="_입찰안.xls__입찰안.xls__입찰안.xls__377"/>
      <sheetName val="_입찰안.xls__입찰안.xls__입찰안.xls__378"/>
      <sheetName val="_입찰안.xls__입찰안.xls__입찰안.xls__379"/>
      <sheetName val="_입찰안.xls__입찰안.xls__입찰안.xls__380"/>
      <sheetName val="_입찰안.xls__입찰안.xls__입찰안.xls__381"/>
      <sheetName val="_입찰안.xls__입찰안.xls__입찰안.xls__382"/>
      <sheetName val="_입찰안.xls__입찰안.xls__입찰안.xls__384"/>
      <sheetName val="_입찰안.xls__입찰안.xls__입찰안.xls__383"/>
      <sheetName val="_입찰안.xls__입찰안.xls__입찰안.xls__387"/>
      <sheetName val="_입찰안.xls__입찰안.xls__입찰안.xls__385"/>
      <sheetName val="_입찰안.xls__입찰안.xls__입찰안.xls__386"/>
      <sheetName val="_입찰안.xls__입찰안.xls__입찰안.xls__412"/>
      <sheetName val="_입찰안.xls__입찰안.xls__입찰안.xls__419"/>
      <sheetName val="_입찰안.xls__입찰안.xls__입찰안.xls__391"/>
      <sheetName val="_입찰안.xls__입찰안.xls__입찰안.xls__392"/>
      <sheetName val="_입찰안.xls__입찰안.xls__입찰안.xls__394"/>
      <sheetName val="_입찰안.xls__입찰안.xls__입찰안.xls__393"/>
      <sheetName val="_입찰안.xls__입찰안.xls__입찰안.xls__395"/>
      <sheetName val="_입찰안.xls__입찰안.xls__입찰안.xls__396"/>
      <sheetName val="_입찰안.xls__입찰안.xls__입찰안.xls__397"/>
      <sheetName val="_입찰안.xls__입찰안.xls__입찰안.xls__398"/>
      <sheetName val="_입찰안.xls__입찰안.xls__입찰안.xls__399"/>
      <sheetName val="_입찰안.xls__입찰안.xls__입찰안.xls__400"/>
      <sheetName val="_입찰안.xls__입찰안.xls__입찰안.xls__401"/>
      <sheetName val="_입찰안.xls__입찰안.xls__입찰안.xls__402"/>
      <sheetName val="_입찰안.xls__입찰안.xls__입찰안.xls__403"/>
      <sheetName val="_입찰안.xls__입찰안.xls__입찰안.xls__405"/>
      <sheetName val="_입찰안.xls__입찰안.xls__입찰안.xls__404"/>
      <sheetName val="_입찰안.xls__입찰안.xls__입찰안.xls__406"/>
      <sheetName val="_입찰안.xls__입찰안.xls__입찰안.xls__407"/>
      <sheetName val="_입찰안.xls__입찰안.xls__입찰안.xls__409"/>
      <sheetName val="_입찰안.xls__입찰안.xls__입찰안.xls__408"/>
      <sheetName val="_입찰안.xls__입찰안.xls__입찰안.xls__410"/>
      <sheetName val="_입찰안.xls__입찰안.xls__입찰안.xls__411"/>
      <sheetName val="_입찰안.xls__입찰안.xls__입찰안.xls__418"/>
      <sheetName val="_입찰안.xls__입찰안.xls__입찰안.xls__416"/>
      <sheetName val="_입찰안.xls__입찰안.xls__입찰안.xls__413"/>
      <sheetName val="_입찰안.xls__입찰안.xls__입찰안.xls__414"/>
      <sheetName val="_입찰안.xls__입찰안.xls__입찰안.xls__415"/>
      <sheetName val="_입찰안.xls__입찰안.xls__입찰안.xls__417"/>
      <sheetName val="_입찰안.xls__입찰안.xls__입찰안.xls__421"/>
      <sheetName val="_입찰안.xls__입찰안.xls__입찰안.xls__420"/>
      <sheetName val="_입찰안.xls__입찰안.xls__입찰안.xls__483"/>
      <sheetName val="_입찰안.xls__입찰안.xls__입찰안.xls__424"/>
      <sheetName val="_입찰안.xls__입찰안.xls__입찰안.xls__422"/>
      <sheetName val="_입찰안.xls__입찰안.xls__입찰안.xls__423"/>
      <sheetName val="_입찰안.xls__입찰안.xls__입찰안.xls__426"/>
      <sheetName val="_입찰안.xls__입찰안.xls__입찰안.xls__425"/>
      <sheetName val="_입찰안.xls__입찰안.xls__입찰안.xls__427"/>
      <sheetName val="_입찰안.xls__입찰안.xls__입찰안.xls__485"/>
      <sheetName val="_입찰안.xls__입찰안.xls__입찰안.xls__428"/>
      <sheetName val="_입찰안.xls__입찰안.xls__입찰안.xls__429"/>
      <sheetName val="_입찰안.xls__입찰안.xls__입찰안.xls__432"/>
      <sheetName val="_입찰안.xls__입찰안.xls__입찰안.xls__430"/>
      <sheetName val="_입찰안.xls__입찰안.xls__입찰안.xls__431"/>
      <sheetName val="_입찰안.xls__입찰안.xls__입찰안.xls__433"/>
      <sheetName val="_입찰안.xls__입찰안.xls__입찰안.xls__435"/>
      <sheetName val="_입찰안.xls__입찰안.xls__입찰안.xls__434"/>
      <sheetName val="_입찰안.xls__입찰안.xls__입찰안.xls__436"/>
      <sheetName val="_입찰안.xls__입찰안.xls__입찰안.xls__437"/>
      <sheetName val="_입찰안.xls__입찰안.xls__입찰안.xls__438"/>
      <sheetName val="_입찰안.xls__입찰안.xls__입찰안.xls__439"/>
      <sheetName val="_입찰안.xls__입찰안.xls__입찰안.xls__441"/>
      <sheetName val="_입찰안.xls__입찰안.xls__입찰안.xls__440"/>
      <sheetName val="_입찰안.xls__입찰안.xls__입찰안.xls__442"/>
      <sheetName val="_입찰안.xls__입찰안.xls__입찰안.xls__443"/>
      <sheetName val="_입찰안.xls__입찰안.xls__입찰안.xls__444"/>
      <sheetName val="_입찰안.xls__입찰안.xls__입찰안.xls__446"/>
      <sheetName val="_입찰안.xls__입찰안.xls__입찰안.xls__445"/>
      <sheetName val="_입찰안.xls__입찰안.xls__입찰안.xls__450"/>
      <sheetName val="_입찰안.xls__입찰안.xls__입찰안.xls__447"/>
      <sheetName val="_입찰안.xls__입찰안.xls__입찰안.xls__448"/>
      <sheetName val="_입찰안.xls__입찰안.xls__입찰안.xls__449"/>
      <sheetName val="_입찰안.xls__입찰안.xls__입찰안.xls__452"/>
      <sheetName val="_입찰안.xls__입찰안.xls__입찰안.xls__451"/>
      <sheetName val="_입찰안.xls__입찰안.xls__입찰안.xls__453"/>
      <sheetName val="_입찰안.xls__입찰안.xls__입찰안.xls__454"/>
      <sheetName val="_입찰안.xls__입찰안.xls__입찰안.xls__455"/>
      <sheetName val="_입찰안.xls__입찰안.xls__입찰안.xls__456"/>
      <sheetName val="_입찰안.xls__입찰안.xls__입찰안.xls__457"/>
      <sheetName val="_입찰안.xls__입찰안.xls__입찰안.xls__458"/>
      <sheetName val="_입찰안.xls__입찰안.xls__입찰안.xls__459"/>
      <sheetName val="_입찰안.xls__입찰안.xls__입찰안.xls__460"/>
      <sheetName val="_입찰안.xls__입찰안.xls__입찰안.xls__462"/>
      <sheetName val="_입찰안.xls__입찰안.xls__입찰안.xls__461"/>
      <sheetName val="_입찰안.xls__입찰안.xls__입찰안.xls__463"/>
      <sheetName val="_입찰안.xls__입찰안.xls__입찰안.xls__464"/>
      <sheetName val="_입찰안.xls__입찰안.xls__입찰안.xls__465"/>
      <sheetName val="_입찰안.xls__입찰안.xls__입찰안.xls__466"/>
      <sheetName val="_입찰안.xls__입찰안.xls__입찰안.xls__467"/>
      <sheetName val="_입찰안.xls__입찰안.xls__입찰안.xls__468"/>
      <sheetName val="_입찰안.xls__입찰안.xls__입찰안.xls__470"/>
      <sheetName val="_입찰안.xls__입찰안.xls__입찰안.xls__469"/>
      <sheetName val="_입찰안.xls__입찰안.xls__입찰안.xls__472"/>
      <sheetName val="_입찰안.xls__입찰안.xls__입찰안.xls__471"/>
      <sheetName val="_입찰안.xls__입찰안.xls__입찰안.xls__476"/>
      <sheetName val="_입찰안.xls__입찰안.xls__입찰안.xls__474"/>
      <sheetName val="_입찰안.xls__입찰안.xls__입찰안.xls__473"/>
      <sheetName val="_입찰안.xls__입찰안.xls__입찰안.xls__475"/>
      <sheetName val="_입찰안.xls__입찰안.xls__입찰안.xls__478"/>
      <sheetName val="_입찰안.xls__입찰안.xls__입찰안.xls__477"/>
      <sheetName val="_입찰안.xls__입찰안.xls__입찰안.xls__480"/>
      <sheetName val="_입찰안.xls__입찰안.xls__입찰안.xls__479"/>
      <sheetName val="_입찰안.xls__입찰안.xls__입찰안.xls__482"/>
      <sheetName val="_입찰안.xls__입찰안.xls__입찰안.xls__481"/>
      <sheetName val="_입찰안.xls__입찰안.xls__입찰안.xls__486"/>
      <sheetName val="_입찰안.xls__입찰안.xls__입찰안.xls__484"/>
      <sheetName val="_입찰안.xls__입찰안.xls__입찰안.xls__496"/>
      <sheetName val="_입찰안.xls__입찰안.xls__입찰안.xls__487"/>
      <sheetName val="_입찰안.xls__입찰안.xls__입찰안.xls__488"/>
      <sheetName val="_입찰안.xls__입찰안.xls__입찰안.xls__527"/>
      <sheetName val="_입찰안.xls__입찰안.xls__입찰안.xls__521"/>
      <sheetName val="_입찰안.xls__입찰안.xls__입찰안.xls__489"/>
      <sheetName val="_입찰안.xls__입찰안.xls__입찰안.xls__490"/>
      <sheetName val="_입찰안.xls__입찰안.xls__입찰안.xls__492"/>
      <sheetName val="_입찰안.xls__입찰안.xls__입찰안.xls__491"/>
      <sheetName val="_입찰안.xls__입찰안.xls__입찰안.xls__495"/>
      <sheetName val="_입찰안.xls__입찰안.xls__입찰안.xls__494"/>
      <sheetName val="_입찰안.xls__입찰안.xls__입찰안.xls__493"/>
      <sheetName val="_입찰안.xls__입찰안.xls__입찰안.xls__512"/>
      <sheetName val="_입찰안.xls__입찰안.xls__입찰안.xls__502"/>
      <sheetName val="_입찰안.xls__입찰안.xls__입찰안.xls__499"/>
      <sheetName val="_입찰안.xls__입찰안.xls__입찰안.xls__497"/>
      <sheetName val="_입찰안.xls__입찰안.xls__입찰안.xls__498"/>
      <sheetName val="_입찰안.xls__입찰안.xls__입찰안.xls__500"/>
      <sheetName val="_입찰안.xls__입찰안.xls__입찰안.xls__501"/>
      <sheetName val="_입찰안.xls__입찰안.xls__입찰안.xls__504"/>
      <sheetName val="_입찰안.xls__입찰안.xls__입찰안.xls__503"/>
      <sheetName val="_입찰안.xls__입찰안.xls__입찰안.xls__505"/>
      <sheetName val="_입찰안.xls__입찰안.xls__입찰안.xls__508"/>
      <sheetName val="_입찰안.xls__입찰안.xls__입찰안.xls__506"/>
      <sheetName val="_입찰안.xls__입찰안.xls__입찰안.xls__507"/>
      <sheetName val="_입찰안.xls__입찰안.xls__입찰안.xls__509"/>
      <sheetName val="_입찰안.xls__입찰안.xls__입찰안.xls__511"/>
      <sheetName val="_입찰안.xls__입찰안.xls__입찰안.xls__510"/>
      <sheetName val="_입찰안.xls__입찰안.xls__입찰안.xls__514"/>
      <sheetName val="_입찰안.xls__입찰안.xls__입찰안.xls__513"/>
      <sheetName val="_입찰안.xls__입찰안.xls__입찰안.xls__515"/>
      <sheetName val="_입찰안.xls__입찰안.xls__입찰안.xls__517"/>
      <sheetName val="_입찰안.xls__입찰안.xls__입찰안.xls__516"/>
      <sheetName val="_입찰안.xls__입찰안.xls__입찰안.xls__518"/>
      <sheetName val="_입찰안.xls__입찰안.xls__입찰안.xls__520"/>
      <sheetName val="_입찰안.xls__입찰안.xls__입찰안.xls__519"/>
      <sheetName val="_입찰안.xls__입찰안.xls__입찰안.xls__526"/>
      <sheetName val="_입찰안.xls__입찰안.xls__입찰안.xls__523"/>
      <sheetName val="_입찰안.xls__입찰안.xls__입찰안.xls__522"/>
      <sheetName val="_입찰안.xls__입찰안.xls__입찰안.xls__524"/>
      <sheetName val="_입찰안.xls__입찰안.xls__입찰안.xls__525"/>
      <sheetName val="_입찰안.xls__입찰안.xls__입찰안.xls__533"/>
      <sheetName val="_입찰안.xls__입찰안.xls__입찰안.xls__529"/>
      <sheetName val="_입찰안.xls__입찰안.xls__입찰안.xls__528"/>
      <sheetName val="_입찰안.xls__입찰안.xls__입찰안.xls__530"/>
      <sheetName val="_입찰안.xls__입찰안.xls__입찰안.xls__531"/>
      <sheetName val="_입찰안.xls__입찰안.xls__입찰안.xls__562"/>
      <sheetName val="_입찰안.xls__입찰안.xls__입찰안.xls__532"/>
      <sheetName val="_입찰안.xls__입찰안.xls__입찰안.xls__574"/>
      <sheetName val="_입찰안.xls__입찰안.xls__입찰안.xls__535"/>
      <sheetName val="_입찰안.xls__입찰안.xls__입찰안.xls__534"/>
      <sheetName val="_입찰안.xls__입찰안.xls__입찰안.xls__536"/>
      <sheetName val="_입찰안.xls__입찰안.xls__입찰안.xls__537"/>
      <sheetName val="_입찰안.xls__입찰안.xls__입찰안.xls__538"/>
      <sheetName val="_입찰안.xls__입찰안.xls__입찰안.xls__539"/>
      <sheetName val="_입찰안.xls__입찰안.xls__입찰안.xls__541"/>
      <sheetName val="_입찰안.xls__입찰안.xls__입찰안.xls__540"/>
      <sheetName val="_입찰안.xls__입찰안.xls__입찰안.xls__542"/>
      <sheetName val="_입찰안.xls__입찰안.xls__입찰안.xls__543"/>
      <sheetName val="_입찰안.xls__입찰안.xls__입찰안.xls__544"/>
      <sheetName val="_입찰안.xls__입찰안.xls__입찰안.xls__546"/>
      <sheetName val="_입찰안.xls__입찰안.xls__입찰안.xls__545"/>
      <sheetName val="_입찰안.xls__입찰안.xls__입찰안.xls__547"/>
      <sheetName val="_입찰안.xls__입찰안.xls__입찰안.xls__548"/>
      <sheetName val="_입찰안.xls__입찰안.xls__입찰안.xls__549"/>
      <sheetName val="_입찰안.xls__입찰안.xls__입찰안.xls__551"/>
      <sheetName val="_입찰안.xls__입찰안.xls__입찰안.xls__550"/>
      <sheetName val="_입찰안.xls__입찰안.xls__입찰안.xls__554"/>
      <sheetName val="_입찰안.xls__입찰안.xls__입찰안.xls__552"/>
      <sheetName val="_입찰안.xls__입찰안.xls__입찰안.xls__553"/>
      <sheetName val="_입찰안.xls__입찰안.xls__입찰안.xls__556"/>
      <sheetName val="_입찰안.xls__입찰안.xls__입찰안.xls__555"/>
      <sheetName val="_입찰안.xls__입찰안.xls__입찰안.xls__559"/>
      <sheetName val="_입찰안.xls__입찰안.xls__입찰안.xls__557"/>
      <sheetName val="_입찰안.xls__입찰안.xls__입찰안.xls__558"/>
      <sheetName val="_입찰안.xls__입찰안.xls__입찰안.xls__561"/>
      <sheetName val="_입찰안.xls__입찰안.xls__입찰안.xls__560"/>
      <sheetName val="_입찰안.xls__입찰안.xls__입찰안.xls__563"/>
      <sheetName val="_입찰안.xls__입찰안.xls__입찰안.xls__564"/>
      <sheetName val="_입찰안.xls__입찰안.xls__입찰안.xls__575"/>
      <sheetName val="_입찰안.xls__입찰안.xls__입찰안.xls__566"/>
      <sheetName val="_입찰안.xls__입찰안.xls__입찰안.xls__565"/>
      <sheetName val="_입찰안.xls__입찰안.xls__입찰안.xls__567"/>
      <sheetName val="_입찰안.xls__입찰안.xls__입찰안.xls__568"/>
      <sheetName val="_입찰안.xls__입찰안.xls__입찰안.xls__569"/>
      <sheetName val="_입찰안.xls__입찰안.xls__입찰안.xls__570"/>
      <sheetName val="_입찰안.xls__입찰안.xls__입찰안.xls__571"/>
      <sheetName val="_입찰안.xls__입찰안.xls__입찰안.xls__572"/>
      <sheetName val="_입찰안.xls__입찰안.xls__입찰안.xls__573"/>
      <sheetName val="_입찰안.xls__입찰안.xls__입찰안.xls__576"/>
      <sheetName val="_입찰안.xls__입찰안.xls__입찰안.xls__585"/>
      <sheetName val="_입찰안.xls__입찰안.xls__입찰안.xls__577"/>
      <sheetName val="_입찰안.xls__입찰안.xls__입찰안.xls__578"/>
      <sheetName val="_입찰안.xls__입찰안.xls__입찰안.xls__579"/>
      <sheetName val="_입찰안.xls__입찰안.xls__입찰안.xls__580"/>
      <sheetName val="_입찰안.xls__입찰안.xls__입찰안.xls__581"/>
      <sheetName val="_입찰안.xls__입찰안.xls__입찰안.xls__582"/>
      <sheetName val="_입찰안.xls__입찰안.xls__입찰안.xls__583"/>
      <sheetName val="_입찰안.xls__입찰안.xls__입찰안.xls__584"/>
      <sheetName val="_입찰안.xls__입찰안.xls__입찰안.xls__589"/>
      <sheetName val="_입찰안.xls__입찰안.xls__입찰안.xls__590"/>
      <sheetName val="_입찰안.xls__입찰안.xls__입찰안.xls__586"/>
      <sheetName val="_입찰안.xls__입찰안.xls__입찰안.xls__587"/>
      <sheetName val="_입찰안.xls__입찰안.xls__입찰안.xls__588"/>
      <sheetName val="_입찰안.xls__입찰안.xls__입찰안.xls__591"/>
      <sheetName val="_입찰안.xls__입찰안.xls__입찰안.xls__597"/>
      <sheetName val="_입찰안.xls__입찰안.xls__입찰안.xls__596"/>
      <sheetName val="_입찰안.xls__입찰안.xls__입찰안.xls__593"/>
      <sheetName val="_입찰안.xls__입찰안.xls__입찰안.xls__592"/>
      <sheetName val="_입찰안.xls__입찰안.xls__입찰안.xls__594"/>
      <sheetName val="_입찰안.xls__입찰안.xls__입찰안.xls__595"/>
      <sheetName val="_입찰안.xls__입찰안.xls__입찰안.xls__614"/>
      <sheetName val="_입찰안.xls__입찰안.xls__입찰안.xls__598"/>
      <sheetName val="_입찰안.xls__입찰안.xls__입찰안.xls__599"/>
      <sheetName val="_입찰안.xls__입찰안.xls__입찰안.xls__600"/>
      <sheetName val="_입찰안.xls__입찰안.xls__입찰안.xls__628"/>
      <sheetName val="_입찰안.xls__입찰안.xls__입찰안.xls__601"/>
      <sheetName val="_입찰안.xls__입찰안.xls__입찰안.xls__602"/>
      <sheetName val="_입찰안.xls__입찰안.xls__입찰안.xls__606"/>
      <sheetName val="_입찰안.xls__입찰안.xls__입찰안.xls__603"/>
      <sheetName val="_입찰안.xls__입찰안.xls__입찰안.xls__604"/>
      <sheetName val="_입찰안.xls__입찰안.xls__입찰안.xls__605"/>
      <sheetName val="_입찰안.xls__입찰안.xls__입찰안.xls__607"/>
      <sheetName val="_입찰안.xls__입찰안.xls__입찰안.xls__608"/>
      <sheetName val="_입찰안.xls__입찰안.xls__입찰안.xls__609"/>
      <sheetName val="_입찰안.xls__입찰안.xls__입찰안.xls__610"/>
      <sheetName val="_입찰안.xls__입찰안.xls__입찰안.xls__613"/>
      <sheetName val="_입찰안.xls__입찰안.xls__입찰안.xls__611"/>
      <sheetName val="_입찰안.xls__입찰안.xls__입찰안.xls__612"/>
      <sheetName val="_입찰안.xls__입찰안.xls__입찰안.xls__615"/>
      <sheetName val="_입찰안.xls__입찰안.xls__입찰안.xls__616"/>
      <sheetName val="_입찰안.xls__입찰안.xls__입찰안.xls__617"/>
      <sheetName val="_입찰안.xls__입찰안.xls__입찰안.xls__618"/>
      <sheetName val="_입찰안.xls__입찰안.xls__입찰안.xls__619"/>
      <sheetName val="_입찰안.xls__입찰안.xls__입찰안.xls__620"/>
      <sheetName val="_입찰안.xls__입찰안.xls__입찰안.xls__621"/>
      <sheetName val="_입찰안.xls__입찰안.xls__입찰안.xls__622"/>
      <sheetName val="_입찰안.xls__입찰안.xls__입찰안.xls__623"/>
      <sheetName val="_입찰안.xls__입찰안.xls__입찰안.xls__624"/>
      <sheetName val="_입찰안.xls__입찰안.xls__입찰안.xls__625"/>
      <sheetName val="_입찰안.xls__입찰안.xls__입찰안.xls__626"/>
      <sheetName val="_입찰안.xls__입찰안.xls__입찰안.xls__627"/>
      <sheetName val="_입찰안.xls__입찰안.xls__입찰안.xls__635"/>
      <sheetName val="_입찰안.xls__입찰안.xls__입찰안.xls__629"/>
      <sheetName val="_입찰안.xls__입찰안.xls__입찰안.xls__630"/>
      <sheetName val="_입찰안.xls__입찰안.xls__입찰안.xls__631"/>
      <sheetName val="_입찰안.xls__입찰안.xls__입찰안.xls__632"/>
      <sheetName val="_입찰안.xls__입찰안.xls__입찰안.xls__633"/>
      <sheetName val="_입찰안.xls__입찰안.xls__입찰안.xls__634"/>
      <sheetName val="_입찰안.xls__입찰안.xls__입찰안.xls__639"/>
      <sheetName val="_입찰안.xls__입찰안.xls__입찰안.xls__636"/>
      <sheetName val="_입찰안.xls__입찰안.xls__입찰안.xls__638"/>
      <sheetName val="_입찰안.xls__입찰안.xls__입찰안.xls__637"/>
      <sheetName val="_입찰안.xls__입찰안.xls__입찰안.xls__640"/>
      <sheetName val="_입찰안.xls__입찰안.xls__입찰안.xls__641"/>
      <sheetName val="_입찰안.xls__입찰안.xls__입찰안.xls__644"/>
      <sheetName val="_입찰안.xls__입찰안.xls__입찰안.xls__642"/>
      <sheetName val="_입찰안.xls__입찰안.xls__입찰안.xls__643"/>
      <sheetName val="_입찰안.xls__입찰안.xls__입찰안.xls__647"/>
      <sheetName val="_입찰안.xls__입찰안.xls__입찰안.xls__645"/>
      <sheetName val="_입찰안.xls__입찰안.xls__입찰안.xls__646"/>
      <sheetName val="_입찰안.xls__입찰안.xls__입찰안.xls__667"/>
      <sheetName val="_입찰안.xls__입찰안.xls__입찰안.xls__651"/>
      <sheetName val="_입찰안.xls__입찰안.xls__입찰안.xls__649"/>
      <sheetName val="_입찰안.xls__입찰안.xls__입찰안.xls__648"/>
      <sheetName val="_입찰안.xls__입찰안.xls__입찰안.xls__650"/>
      <sheetName val="_입찰안.xls__입찰안.xls__입찰안.xls__652"/>
      <sheetName val="_입찰안.xls__입찰안.xls__입찰안.xls__654"/>
      <sheetName val="_입찰안.xls__입찰안.xls__입찰안.xls__653"/>
      <sheetName val="_입찰안.xls__입찰안.xls__입찰안.xls__672"/>
      <sheetName val="_입찰안.xls__입찰안.xls__입찰안.xls__655"/>
      <sheetName val="_입찰안.xls__입찰안.xls__입찰안.xls__656"/>
      <sheetName val="_입찰안.xls__입찰안.xls__입찰안.xls__657"/>
      <sheetName val="_입찰안.xls__입찰안.xls__입찰안.xls__658"/>
      <sheetName val="_입찰안.xls__입찰안.xls__입찰안.xls__660"/>
      <sheetName val="_입찰안.xls__입찰안.xls__입찰안.xls__659"/>
      <sheetName val="_입찰안.xls__입찰안.xls__입찰안.xls__661"/>
      <sheetName val="_입찰안.xls__입찰안.xls__입찰안.xls__662"/>
      <sheetName val="_입찰안.xls__입찰안.xls__입찰안.xls__663"/>
      <sheetName val="_입찰안.xls__입찰안.xls__입찰안.xls__664"/>
      <sheetName val="_입찰안.xls__입찰안.xls__입찰안.xls__666"/>
      <sheetName val="_입찰안.xls__입찰안.xls__입찰안.xls__665"/>
      <sheetName val="_입찰안.xls__입찰안.xls__입찰안.xls__684"/>
      <sheetName val="_입찰안.xls__입찰안.xls__입찰안.xls__668"/>
      <sheetName val="_입찰안.xls__입찰안.xls__입찰안.xls__669"/>
      <sheetName val="_입찰안.xls__입찰안.xls__입찰안.xls__670"/>
      <sheetName val="_입찰안.xls__입찰안.xls__입찰안.xls__671"/>
      <sheetName val="_입찰안.xls__입찰안.xls__입찰안.xls__674"/>
      <sheetName val="_입찰안.xls__입찰안.xls__입찰안.xls__673"/>
      <sheetName val="_입찰안.xls__입찰안.xls__입찰안.xls__675"/>
      <sheetName val="_입찰안.xls__입찰안.xls__입찰안.xls__693"/>
      <sheetName val="_입찰안.xls__입찰안.xls__입찰안.xls__676"/>
      <sheetName val="_입찰안.xls__입찰안.xls__입찰안.xls__678"/>
      <sheetName val="_입찰안.xls__입찰안.xls__입찰안.xls__677"/>
      <sheetName val="_입찰안.xls__입찰안.xls__입찰안.xls__679"/>
      <sheetName val="_입찰안.xls__입찰안.xls__입찰안.xls__680"/>
      <sheetName val="_입찰안.xls__입찰안.xls__입찰안.xls__681"/>
      <sheetName val="_입찰안.xls__입찰안.xls__입찰안.xls__682"/>
      <sheetName val="_입찰안.xls__입찰안.xls__입찰안.xls__683"/>
      <sheetName val="_입찰안.xls__입찰안.xls__입찰안.xls__685"/>
      <sheetName val="_입찰안.xls__입찰안.xls__입찰안.xls__686"/>
      <sheetName val="_입찰안.xls__입찰안.xls__입찰안.xls__687"/>
      <sheetName val="_입찰안.xls__입찰안.xls__입찰안.xls__688"/>
      <sheetName val="_입찰안.xls__입찰안.xls__입찰안.xls__692"/>
      <sheetName val="_입찰안.xls__입찰안.xls__입찰안.xls__689"/>
      <sheetName val="_입찰안.xls__입찰안.xls__입찰안.xls__690"/>
      <sheetName val="_입찰안.xls__입찰안.xls__입찰안.xls__691"/>
      <sheetName val="_입찰안.xls__입찰안.xls__입찰안.xls__699"/>
      <sheetName val="_입찰안.xls__입찰안.xls__입찰안.xls__694"/>
      <sheetName val="_입찰안.xls__입찰안.xls__입찰안.xls__695"/>
      <sheetName val="_입찰안.xls__입찰안.xls__입찰안.xls__698"/>
      <sheetName val="_입찰안.xls__입찰안.xls__입찰안.xls__696"/>
      <sheetName val="_입찰안.xls__입찰안.xls__입찰안.xls__697"/>
      <sheetName val="_입찰안.xls__입찰안.xls__입찰안.xls__718"/>
      <sheetName val="_입찰안.xls__입찰안.xls__입찰안.xls__704"/>
      <sheetName val="_입찰안.xls__입찰안.xls__입찰안.xls__700"/>
      <sheetName val="_입찰안.xls__입찰안.xls__입찰안.xls__701"/>
      <sheetName val="_입찰안.xls__입찰안.xls__입찰안.xls__702"/>
      <sheetName val="_입찰안.xls__입찰안.xls__입찰안.xls__703"/>
      <sheetName val="_입찰안.xls__입찰안.xls__입찰안.xls__705"/>
      <sheetName val="_입찰안.xls__입찰안.xls__입찰안.xls__706"/>
      <sheetName val="_입찰안.xls__입찰안.xls__입찰안.xls__707"/>
      <sheetName val="_입찰안.xls__입찰안.xls__입찰안.xls__708"/>
      <sheetName val="_입찰안.xls__입찰안.xls__입찰안.xls__728"/>
      <sheetName val="_입찰안.xls__입찰안.xls__입찰안.xls__710"/>
      <sheetName val="_입찰안.xls__입찰안.xls__입찰안.xls__709"/>
      <sheetName val="_입찰안.xls__입찰안.xls__입찰안.xls__711"/>
      <sheetName val="_입찰안.xls__입찰안.xls__입찰안.xls__712"/>
      <sheetName val="_입찰안.xls__입찰안.xls__입찰안.xls__713"/>
      <sheetName val="_입찰안.xls__입찰안.xls__입찰안.xls__715"/>
      <sheetName val="_입찰안.xls__입찰안.xls__입찰안.xls__714"/>
      <sheetName val="_입찰안.xls__입찰안.xls__입찰안.xls__716"/>
      <sheetName val="_입찰안.xls__입찰안.xls__입찰안.xls__717"/>
      <sheetName val="_입찰안.xls__입찰안.xls__입찰안.xls__720"/>
      <sheetName val="_입찰안.xls__입찰안.xls__입찰안.xls__719"/>
      <sheetName val="_입찰안.xls__입찰안.xls__입찰안.xls__721"/>
      <sheetName val="_입찰안.xls__입찰안.xls__입찰안.xls__722"/>
      <sheetName val="_입찰안.xls__입찰안.xls__입찰안.xls__723"/>
      <sheetName val="_입찰안.xls__입찰안.xls__입찰안.xls__724"/>
      <sheetName val="_입찰안.xls__입찰안.xls__입찰안.xls__725"/>
      <sheetName val="_입찰안.xls__입찰안.xls__입찰안.xls__726"/>
      <sheetName val="_입찰안.xls__입찰안.xls__입찰안.xls__727"/>
      <sheetName val="_입찰안.xls__입찰안.xls__입찰안.xls__729"/>
      <sheetName val="_입찰안.xls__입찰안.xls__입찰안.xls__730"/>
      <sheetName val="_입찰안.xls__입찰안.xls__입찰안.xls__732"/>
      <sheetName val="_입찰안.xls__입찰안.xls__입찰안.xls__731"/>
      <sheetName val="_입찰안.xls__입찰안.xls__입찰안.xls__739"/>
      <sheetName val="_입찰안.xls__입찰안.xls__입찰안.xls__733"/>
      <sheetName val="_입찰안.xls__입찰안.xls__입찰안.xls__734"/>
      <sheetName val="_입찰안.xls__입찰안.xls__입찰안.xls__735"/>
      <sheetName val="_입찰안.xls__입찰안.xls__입찰안.xls__736"/>
      <sheetName val="_입찰안.xls__입찰안.xls__입찰안.xls__737"/>
      <sheetName val="_입찰안.xls__입찰안.xls__입찰안.xls__738"/>
      <sheetName val="_입찰안.xls__입찰안.xls__입찰안.xls__743"/>
      <sheetName val="_입찰안.xls__입찰안.xls__입찰안.xls__740"/>
      <sheetName val="_입찰안.xls__입찰안.xls__입찰안.xls__741"/>
      <sheetName val="_입찰안.xls__입찰안.xls__입찰안.xls__742"/>
      <sheetName val="_입찰안.xls__입찰안.xls__입찰안.xls____7"/>
      <sheetName val="_입찰안.xls__입찰안_xls__입찰안_xls____3"/>
      <sheetName val="_입찰안.xls__입찰안.xls__입찰안_xls____2"/>
      <sheetName val="_입찰안.xls__입찰안.xls__입찰안.xls____8"/>
      <sheetName val="_입찰안.xls__입찰안_xls__입찰안_xls____4"/>
      <sheetName val="_입찰안.xls__입찰안.xls__입찰안_xls____3"/>
      <sheetName val="_입찰안.xls__입찰안.xls__입찰안.xls__752"/>
      <sheetName val="_입찰안.xls__입찰안.xls__입찰안.xls__749"/>
      <sheetName val="_입찰안.xls__입찰안.xls__입찰안.xls__745"/>
      <sheetName val="_입찰안.xls__입찰안.xls__입찰안.xls__746"/>
      <sheetName val="_입찰안.xls__입찰안.xls__입찰안.xls__747"/>
      <sheetName val="_입찰안.xls__입찰안.xls__입찰안.xls__748"/>
      <sheetName val="_입찰안.xls__입찰안.xls__입찰안.xls__750"/>
      <sheetName val="_입찰안.xls__입찰안.xls__입찰안.xls__751"/>
      <sheetName val="_입찰안.xls__입찰안.xls__입찰안.xls__754"/>
      <sheetName val="_입찰안.xls__입찰안.xls__입찰안.xls__753"/>
      <sheetName val="_입찰안.xls__입찰안.xls__입찰안.xls__755"/>
      <sheetName val="_입찰안.xls__입찰안.xls__입찰안.xls__759"/>
      <sheetName val="_입찰안.xls__입찰안.xls__입찰안.xls__756"/>
      <sheetName val="_입찰안.xls__입찰안.xls__입찰안.xls__762"/>
      <sheetName val="_입찰안.xls__입찰안.xls__입찰안.xls__757"/>
      <sheetName val="_입찰안.xls__입찰안.xls__입찰안.xls__758"/>
      <sheetName val="_입찰안.xls__입찰안.xls__입찰안.xls__760"/>
      <sheetName val="_입찰안.xls__입찰안.xls__입찰안.xls__761"/>
      <sheetName val="_입찰안.xls__입찰안.xls__입찰안.xls__763"/>
      <sheetName val="_입찰안.xls__입찰안.xls__입찰안.xls__765"/>
      <sheetName val="_입찰안.xls__입찰안.xls__입찰안.xls__764"/>
      <sheetName val="_입찰안_xls__입찰안_xls__입찰안_xls_B_30"/>
      <sheetName val="_입찰안_xls__입찰안_xls__입찰안_xls_B_46"/>
      <sheetName val="_입찰안_xls__입찰안_xls__입찰안_xls_B_45"/>
      <sheetName val="_입찰안_xls__입찰안_xls__입찰안_xls_B_44"/>
      <sheetName val="_입찰안_xls__입찰안_xls__입찰안_xls_B_33"/>
      <sheetName val="_입찰안_xls__입찰안_xls__입찰안_xls_B_31"/>
      <sheetName val="_입찰안_xls__입찰안_xls__입찰안_xls_B_32"/>
      <sheetName val="_입찰안_xls__입찰안_xls__입찰안_xls_B_34"/>
      <sheetName val="_입찰안_xls__입찰안_xls__입찰안_xls_B_35"/>
      <sheetName val="_입찰안_xls__입찰안_xls__입찰안_xls_B_36"/>
      <sheetName val="_입찰안_xls__입찰안_xls__입찰안_xls_B_37"/>
      <sheetName val="_입찰안_xls__입찰안_xls__입찰안_xls_B_40"/>
      <sheetName val="_입찰안_xls__입찰안_xls__입찰안_xls_B_38"/>
      <sheetName val="_입찰안_xls__입찰안_xls__입찰안_xls_B_41"/>
      <sheetName val="_입찰안_xls__입찰안_xls__입찰안_xls_B_39"/>
      <sheetName val="_입찰안_xls__입찰안_xls__입찰안_xls_B_42"/>
      <sheetName val="_입찰안_xls__입찰안_xls__입찰안_xls_B_43"/>
      <sheetName val="_입찰안_xls__입찰안_xls__입찰안_xls_B_47"/>
      <sheetName val="_입찰안_xls__입찰안_xls__입찰안_xls_B_48"/>
      <sheetName val="_입찰안_xls__입찰안_xls__입찰안_xls_B_49"/>
      <sheetName val="_입찰안_xls__입찰안_xls__입찰안_xls_B_54"/>
      <sheetName val="_입찰안_xls__입찰안_xls__입찰안_xls_B_53"/>
      <sheetName val="_입찰안_xls__입찰안_xls__입찰안_xls_B_50"/>
      <sheetName val="_입찰안_xls__입찰안_xls__입찰안_xls_B_51"/>
      <sheetName val="_입찰안_xls__입찰안_xls__입찰안_xls_B_52"/>
      <sheetName val="_입찰안_xls__입찰안_xls__입찰안_xls_B_55"/>
      <sheetName val="_입찰안_xls__입찰안_xls__입찰안_xls_B_56"/>
      <sheetName val="_입찰안_xls__입찰안_xls__입찰안_xls_B_57"/>
      <sheetName val="_입찰안_xls__입찰안_xls__입찰안_xls_B_58"/>
      <sheetName val="_입찰안_xls__입찰안_xls__입찰안_xls_B_59"/>
      <sheetName val="_입찰안_xls__입찰안_xls__입찰안_xls_B_60"/>
      <sheetName val="_입찰안_xls__입찰안_xls__입찰안_xls_B_61"/>
      <sheetName val="_입찰안_xls__입찰안_xls__입찰안_xls_B_62"/>
      <sheetName val="_입찰안_xls__입찰안_xls__입찰안_xls_B_63"/>
      <sheetName val="_입찰안_xls__입찰안_xls__입찰안_xls_B_64"/>
      <sheetName val="_입찰안_xls__입찰안_xls__입찰안_xls__103"/>
      <sheetName val="_입찰안_xls__입찰안_xls__입찰안_xls_B_68"/>
      <sheetName val="_입찰안_xls__입찰안_xls__입찰안_xls_B_79"/>
      <sheetName val="_입찰안_xls__입찰안_xls__입찰안_xls_B_80"/>
      <sheetName val="_입찰안_xls__입찰안_xls__입찰안_xls_B_66"/>
      <sheetName val="_입찰안_xls__입찰안_xls__입찰안_xls_B_67"/>
      <sheetName val="_입찰안_xls__입찰안_xls__입찰안_xls_B_65"/>
      <sheetName val="_입찰안_xls__입찰안_xls__입찰안_xls_B_69"/>
      <sheetName val="_입찰안_xls__입찰안_xls__입찰안_xls_B_70"/>
      <sheetName val="_입찰안_xls__입찰안_xls__입찰안_xls_B_71"/>
      <sheetName val="_입찰안_xls__입찰안_xls__입찰안_xls_B_73"/>
      <sheetName val="_입찰안_xls__입찰안_xls__입찰안_xls_B_74"/>
      <sheetName val="_입찰안_xls__입찰안_xls__입찰안_xls_B_72"/>
      <sheetName val="_입찰안_xls__입찰안_xls__입찰안_xls_B_75"/>
      <sheetName val="_입찰안_xls__입찰안_xls__입찰안_xls_B_76"/>
      <sheetName val="_입찰안_xls__입찰안_xls__입찰안_xls_B_77"/>
      <sheetName val="_입찰안_xls__입찰안_xls__입찰안_xls_B_78"/>
      <sheetName val="_입찰안_xls__입찰안_xls__입찰안_xls_B_81"/>
      <sheetName val="_입찰안_xls__입찰안_xls__입찰안_xls_B_82"/>
      <sheetName val="_입찰안_xls__입찰안_xls__입찰안_xls_B_83"/>
      <sheetName val="_입찰안_xls__입찰안_xls__입찰안_xls_B_93"/>
      <sheetName val="_입찰안_xls__입찰안_xls__입찰안_xls_B_96"/>
      <sheetName val="_입찰안_xls__입찰안_xls__입찰안_xls_B_86"/>
      <sheetName val="_입찰안_xls__입찰안_xls__입찰안_xls_B_87"/>
      <sheetName val="_입찰안_xls__입찰안_xls__입찰안_xls_B_84"/>
      <sheetName val="_입찰안_xls__입찰안_xls__입찰안_xls_B_85"/>
      <sheetName val="_입찰안_xls__입찰안_xls__입찰안_xls_B_88"/>
      <sheetName val="_입찰안_xls__입찰안_xls__입찰안_xls_B_89"/>
      <sheetName val="_입찰안_xls__입찰안_xls__입찰안_xls_B_90"/>
      <sheetName val="_입찰안_xls__입찰안_xls__입찰안_xls_B_91"/>
      <sheetName val="_입찰안_xls__입찰안_xls__입찰안_xls_B_92"/>
      <sheetName val="_입찰안_xls__입찰안_xls__입찰안_xls_B_94"/>
      <sheetName val="_입찰안_xls__입찰안_xls__입찰안_xls_B_95"/>
      <sheetName val="_입찰안_xls__입찰안_xls__입찰안_xls_B_97"/>
      <sheetName val="_입찰안_xls__입찰안_xls__입찰안_xls_B_98"/>
      <sheetName val="_입찰안_xls__입찰안_xls__입찰안_xls_B_99"/>
      <sheetName val="_입찰안_xls__입찰안_xls__입찰안_xls_B100"/>
      <sheetName val="_입찰안_xls__입찰안_xls__입찰안_xls_B101"/>
      <sheetName val="_입찰안_xls__입찰안_xls__입찰안_xls__100"/>
      <sheetName val="_입찰안_xls__입찰안_xls__입찰안_xls_B102"/>
      <sheetName val="_입찰안_xls__입찰안_xls__입찰안_xls__101"/>
      <sheetName val="_입찰안_xls__입찰안_xls__입찰안_xls__102"/>
      <sheetName val="_입찰안.xls__입찰안.xls__입찰안.xls__778"/>
      <sheetName val="_입찰안.xls__입찰안.xls__입찰안.xls__770"/>
      <sheetName val="_입찰안.xls__입찰안.xls__입찰안.xls__773"/>
      <sheetName val="_입찰안.xls__입찰안.xls__입찰안.xls__772"/>
      <sheetName val="_입찰안.xls__입찰안.xls__입찰안.xls__766"/>
      <sheetName val="_입찰안.xls__입찰안.xls__입찰안.xls__767"/>
      <sheetName val="_입찰안.xls__입찰안.xls__입찰안.xls__768"/>
      <sheetName val="_입찰안.xls__입찰안.xls__입찰안.xls__769"/>
      <sheetName val="_입찰안.xls__입찰안.xls__입찰안.xls__771"/>
      <sheetName val="_입찰안.xls__입찰안.xls__입찰안.xls__774"/>
      <sheetName val="_입찰안.xls__입찰안.xls__입찰안.xls__777"/>
      <sheetName val="_입찰안.xls__입찰안.xls__입찰안.xls__775"/>
      <sheetName val="_입찰안.xls__입찰안.xls__입찰안.xls__776"/>
      <sheetName val="_입찰안.xls__입찰안.xls__입찰안.xls__779"/>
      <sheetName val="_입찰안.xls__입찰안.xls__입찰안.xls__797"/>
      <sheetName val="_입찰안.xls__입찰안.xls__입찰안.xls__781"/>
      <sheetName val="_입찰안.xls__입찰안.xls__입찰안.xls__785"/>
      <sheetName val="_입찰안.xls__입찰안.xls__입찰안.xls__784"/>
      <sheetName val="_입찰안.xls__입찰안.xls__입찰안.xls__780"/>
      <sheetName val="_입찰안.xls__입찰안.xls__입찰안.xls__783"/>
      <sheetName val="_입찰안.xls__입찰안.xls__입찰안.xls__782"/>
      <sheetName val="_입찰안.xls__입찰안.xls__입찰안.xls__790"/>
      <sheetName val="_입찰안.xls__입찰안.xls__입찰안.xls__791"/>
      <sheetName val="_입찰안.xls__입찰안.xls__입찰안.xls__787"/>
      <sheetName val="_입찰안.xls__입찰안.xls__입찰안.xls__789"/>
      <sheetName val="_입찰안.xls__입찰안.xls__입찰안.xls__786"/>
      <sheetName val="_입찰안.xls__입찰안.xls__입찰안.xls__788"/>
      <sheetName val="_입찰안.xls__입찰안.xls__입찰안.xls__793"/>
      <sheetName val="_입찰안.xls__입찰안.xls__입찰안.xls__792"/>
      <sheetName val="_입찰안.xls__입찰안.xls__입찰안.xls__794"/>
      <sheetName val="_입찰안.xls__입찰안.xls__입찰안.xls__796"/>
      <sheetName val="_입찰안.xls__입찰안.xls__입찰안.xls__795"/>
      <sheetName val="_입찰안.xls__입찰안.xls__입찰안.xls__798"/>
      <sheetName val="_입찰안.xls__입찰안.xls__입찰안.xls__799"/>
      <sheetName val="[입찰안.xls][입찰안.xls]_____xls_2470"/>
      <sheetName val="[입찰안.xls][입찰안.xls]_____xls_2469"/>
      <sheetName val="[입찰안.xls][입찰안.xls]_____xls_2477"/>
      <sheetName val="[입찰안.xls][입찰안.xls]_____xls_2474"/>
      <sheetName val="[입찰안.xls][입찰안.xls]_____xls_2473"/>
      <sheetName val="[입찰안.xls][입찰안.xls]_____xls_2479"/>
      <sheetName val="[입찰안.xls][입찰안.xls]_____xls_2475"/>
      <sheetName val="조도계산서_(도서"/>
      <sheetName val="[입찰안.xls][입찰안.xls]_____xls_2485"/>
      <sheetName val="[입찰안.xls][입찰안.xls]_____xls_2476"/>
      <sheetName val="[입찰안.xls][입찰안.xls]_____xls_2486"/>
      <sheetName val="[입찰안.xls][입찰안.xls]_____xls_2478"/>
      <sheetName val="[입찰안.xls][입찰안.xls]_____xls_2487"/>
      <sheetName val="[입찰안.xls][입찰안.xls]_____xls_2482"/>
      <sheetName val="[입찰안.xls][입찰안.xls]_____xls_2483"/>
      <sheetName val="[입찰안.xls][입찰안.xls]_____xls_2484"/>
      <sheetName val="[입찰안.xls][입찰안.xls]_____xls_2480"/>
      <sheetName val="[입찰안.xls][입찰안.xls]_____xls_2481"/>
      <sheetName val="가격산출"/>
      <sheetName val="[입찰안.xls][입찰안.xls]_____xls_2488"/>
      <sheetName val="[입찰안.xls][입찰안.xls]_____xls_2489"/>
      <sheetName val="[입찰안.xls][입찰안.xls]_입___xls_1004"/>
      <sheetName val="[입찰안.xls][입찰안.xls]_입___xls_1003"/>
      <sheetName val="Main"/>
      <sheetName val="ENG_prog"/>
      <sheetName val="수리계산"/>
      <sheetName val="[입찰안.xls][입찰안.xls]_____xls_2508"/>
      <sheetName val="[입찰안.xls][입찰안.xls]_____xls_2504"/>
      <sheetName val="[입찰안.xls][입찰안.xls]_____xls_2494"/>
      <sheetName val="[입찰안.xls][입찰안.xls]_____xls_2497"/>
      <sheetName val="[입찰안.xls][입찰안.xls]_____xls_2490"/>
      <sheetName val="[입찰안.xls][입찰안.xls]_____xls_2491"/>
      <sheetName val="[입찰안.xls][입찰안.xls]_____xls_2492"/>
      <sheetName val="[입찰안.xls][입찰안.xls]_____xls_2493"/>
      <sheetName val="[입찰안.xls][입찰안.xls]_____xls_2498"/>
      <sheetName val="[입찰안.xls][입찰안.xls]_____xls_2495"/>
      <sheetName val="[입찰안.xls][입찰안.xls]_____xls_2503"/>
      <sheetName val="[입찰안.xls][입찰안.xls]_____xls_2496"/>
      <sheetName val="[입찰안.xls][입찰안.xls]_____xls_2499"/>
      <sheetName val="[입찰안.xls][입찰안.xls]_____xls_2500"/>
      <sheetName val="[입찰안.xls][입찰안.xls]_____xls_2501"/>
      <sheetName val="[입찰안.xls][입찰안.xls]_____xls_2502"/>
      <sheetName val="[입찰안.xls][입찰안.xls]_____xls_2514"/>
      <sheetName val="[입찰안.xls][입찰안.xls]_____xls_2511"/>
      <sheetName val="[입찰안.xls][입찰안.xls]_____xls_2505"/>
      <sheetName val="[입찰안.xls][입찰안.xls]_____xls_2506"/>
      <sheetName val="[입찰안.xls][입찰안.xls]_____xls_2507"/>
      <sheetName val="[입찰안.xls][입찰안.xls]_____xls_2516"/>
      <sheetName val="[입찰안.xls][입찰안.xls]_____xls_2509"/>
      <sheetName val="[입찰안.xls][입찰안.xls]_____xls_2510"/>
      <sheetName val="[입찰안.xls][입찰안.xls]_____xls_2512"/>
      <sheetName val="[입찰안.xls][입찰안.xls]_____xls_2513"/>
      <sheetName val="[입찰안.xls][입찰안.xls]_____xls_2517"/>
      <sheetName val="[입찰안.xls][입찰안.xls]_____xls_2515"/>
      <sheetName val="[입찰안.xls][입찰안.xls]_____xls_2523"/>
      <sheetName val="[입찰안.xls][입찰안.xls]_____xls_2525"/>
      <sheetName val="[입찰안.xls][입찰안.xls]_____xls_2524"/>
      <sheetName val="[입찰안.xls][입찰안.xls]_____xls_2518"/>
      <sheetName val="[입찰안.xls][입찰안.xls]_____xls_2519"/>
      <sheetName val="[입찰안.xls][입찰안.xls]_____xls_2520"/>
      <sheetName val="[입찰안.xls][입찰안.xls]_____xls_2521"/>
      <sheetName val="[입찰안.xls][입찰안.xls]_____xls_2522"/>
      <sheetName val="[입찰안.xls][입찰안.xls]_____xls_2526"/>
      <sheetName val="[입찰안.xls][입찰안.xls]_____xls_2545"/>
      <sheetName val="[입찰안.xls][입찰안.xls]_____xls_2542"/>
      <sheetName val="[입찰안.xls][입찰안.xls]_____xls_2543"/>
      <sheetName val="환율c­"/>
      <sheetName val="D_xd800_ᵆ騃"/>
      <sheetName val="공기압舓⿫ "/>
      <sheetName val="주bea "/>
      <sheetName val="1,2,3,4 _x0000__x0000__x0000__x0000_"/>
      <sheetName val="6_산출닑⾱ _x0000_"/>
      <sheetName val="design_crit_x0000__x0000_ _x0000_"/>
      <sheetName val="소포내역_x0000__x0000_ _x0000_"/>
      <sheetName val="단 _x0000_"/>
      <sheetName val="plan&amp;section_of__x0000__x0000_ _x0000_冰﹢Ƚ_x0000__x0000__x0000_"/>
      <sheetName val="pile_bearing_capa_&amp;_¬웰ﾕ쀀 "/>
      <sheetName val="pile_bearing_capa_&amp;_¬웰ﾕ_x0000_ﳪ "/>
      <sheetName val="수량산출서집계(_x0000__x0000_ _x0000_"/>
      <sheetName val="수량산출서집계(_x0000__x0000_ _x0000_瞀"/>
      <sheetName val="1,2,3,4 "/>
      <sheetName val="ጵ_x0000__x0000_Ոጶ_x0000__x0000_sጷ_x0000__x0000_״ጸ_x0000__x0000_"/>
      <sheetName val="ጲ_x0000__x0000_Ոፍ_x0000__x0000_sጳ_x0000__x0000_1ጳ_x0000__x0000_"/>
      <sheetName val="ጳ_x0000__x0000_Ոጴ_x0000__x0000_sጳ_x0000__x0000_aጳ_x0000__x0000_"/>
      <sheetName val="ጳ_x0000__x0000_Ոጳ_x0000__x0000_sጴ_x0000__x0000_sጳ_x0000__x0000_"/>
      <sheetName val="ጳ_x0000__x0000_Ոጳ_x0000__x0000_sጴ_x0000__x0000_~ጳ_x0000__x0000_"/>
      <sheetName val="ፋ_x0000__x0000_Ոፌ_x0000__x0000_sጿ_x0000__x0000_೵ጿ_x0000__x0000_"/>
      <sheetName val="ጴ_x0000__x0000_Ոጳ_x0000__x0000_sጳ_x0000__x0000_°ጴ_x0000__x0000_"/>
      <sheetName val="ጿ_x0000__x0000_Ոጊ_x0000__x0000_sጱ_x0000__x0000_°ጲ_x0000__x0000_"/>
      <sheetName val="ጱ_x0000__x0000_Ոጼ_x0000__x0000_sፍ_x0000__x0000_°ጳ_x0000__x0000_"/>
      <sheetName val="ጷ_x0000__x0000_Ոጸ_x0000__x0000_sጿ_x0000__x0000_°ጿ_x0000__x0000_"/>
      <sheetName val="ጿ_x0000__x0000_Ոጿ_x0000__x0000_sጊ_x0000__x0000_״ጱ_x0000__x0000_"/>
      <sheetName val="ጵ_x0000__x0000_Ոጶ_x0000__x0000_sጷ_x0000__x0000_aጸ_x0000__x0000_"/>
      <sheetName val="ጿ_x0000__x0000_Ոጊ_x0000__x0000_sጊ_x0000__x0000_sጱ_x0000__x0000_"/>
      <sheetName val="ጳ_x0000__x0000_Ոጳ_x0000__x0000_sጴ_x0000__x0000_nጵ_x0000__x0000_"/>
      <sheetName val="ጳ_x0000__x0000_Ոጳ_x0000__x0000_sጴ_x0000__x0000_gጴ_x0000__x0000_"/>
      <sheetName val="ጳ_x0000__x0000_Ոጴ_x0000__x0000_sጳ_x0000__x0000_Tጳ_x0000__x0000_"/>
      <sheetName val="ጵ_x0000__x0000_Ոፋ_x0000__x0000_sፌ_x0000__x0000_ ጿ_x0000__x0000_"/>
      <sheetName val="ጻ_x0000__x0000_Ոጻ_x0000__x0000_sጱ_x0000__x0000_൭ጲ_x0000__x0000_"/>
      <sheetName val="ጿ_x0000__x0000_Ոጿ_x0000__x0000_sጊ_x0000__x0000_tጊ_x0000__x0000_"/>
      <sheetName val="ጴ_x0000__x0000_Ոጾ_x0000__x0000_sጶ_x0000__x0000_״ጷ_x0000__x0000_"/>
      <sheetName val="ጶ_x0000__x0000_Ոጷ_x0000__x0000_sጸ_x0000__x0000_aጿ_x0000__x0000_"/>
      <sheetName val="ጊ_x0000__x0000_Ոጊ_x0000__x0000_sጊ_x0000__x0000_1ጱ_x0000__x0000_"/>
      <sheetName val="ጸ_x0000__x0000_Ոጿ_x0000__x0000_sጿ_x0000__x0000_೵ጊ_x0000__x0000_"/>
      <sheetName val="ጳ_x0000__x0000_Ոጳ_x0000__x0000_sጴ_x0000__x0000_sጵ_x0000__x0000_"/>
      <sheetName val="ጴ_x0000__x0000_Ոጵ_x0000__x0000_sጶ_x0000__x0000_.ጷ_x0000__x0000_"/>
      <sheetName val="ፍ_x0000__x0000_Ոጳ_x0000__x0000_sጳ_x0000__x0000__ጴ_x0000__x0000_"/>
      <sheetName val="ጊ_x0000__x0000_Ոጱ_x0000__x0000_sጼ_x0000__x0000__ፐ_x0000__x0000_"/>
      <sheetName val="ጳ_x0000__x0000_Ոጴ_x0000__x0000_sጵ_x0000__x0000_Tጶ_x0000__x0000_"/>
      <sheetName val="ጊ_x0000__x0000_Ոጊ_x0000__x0000_sጱ_x0000__x0000_Sጲ_x0000__x0000_"/>
      <sheetName val="ጊ_x0000__x0000_Ոጊ_x0000__x0000_sጊ_x0000__x0000_ ጊ_x0000__x0000_"/>
      <sheetName val="ጿ_x0000__x0000_Ոጊ_x0000__x0000_sጱ_x0000__x0000_᯸ጲ_x0000__x0000_"/>
      <sheetName val="ጳ_x0000__x0000_Ոጴ_x0000__x0000_sጵ_x0000__x0000_൭ጶ_x0000__x0000_"/>
      <sheetName val="ጊ_x0000__x0000_Ոጱ_x0000__x0000_sጲ_x0000__x0000_״ፍ_x0000__x0000_"/>
      <sheetName val="ጴ_x0000__x0000_Ոጵ_x0000__x0000_sጶ_x0000__x0000_aጷ_x0000__x0000_"/>
      <sheetName val="ጱ_x0000__x0000_Ոጲ_x0000__x0000_sፍ_x0000__x0000_sጳ_x0000__x0000_"/>
      <sheetName val="ጵ_x0000__x0000_Ոጶ_x0000__x0000_sጷ_x0000__x0000_1ጸ_x0000__x0000_"/>
      <sheetName val="ጊ_x0000__x0000_Ոጱ_x0000__x0000_sጲ_x0000__x0000_೵ፍ_x0000__x0000_"/>
      <sheetName val="ጲ_x0000__x0000_Ոፍ_x0000__x0000_sጳ_x0000__x0000_ެጳ_x0000__x0000_"/>
      <sheetName val="ጴ_x0000__x0000_Ոጳ_x0000__x0000_sጳ_x0000__x0000_Tጴ_x0000__x0000_"/>
      <sheetName val="ጵ_x0000__x0000_Ոፋ_x0000__x0000_sፌ_x0000__x0000__ጿ_x0000__x0000_"/>
      <sheetName val="ጴ_x0000__x0000_Ոፊ_x0000__x0000_sጵ_x0000__x0000__ፋ_x0000__x0000_"/>
      <sheetName val="ጊ_x0000__x0000_Ոጱ_x0000__x0000_sጲ_x0000__x0000_nድ_x0000__x0000_"/>
      <sheetName val="ድ_x0000__x0000_Ոጳ_x0000__x0000_sጳ_x0000__x0000_gጴ_x0000__x0000_"/>
      <sheetName val="ጳ_x0000__x0000_Ոጳ_x0000__x0000_sጴ_x0000__x0000_iጳ_x0000__x0000_"/>
      <sheetName val="ፊ_x0000__x0000_Ոጵ_x0000__x0000_sፋ_x0000__x0000_൭ፌ_x0000__x0000_"/>
      <sheetName val="ጳ_x0000__x0000_Ոጳ_x0000__x0000_sጴ_x0000__x0000_tጴ_x0000__x0000_"/>
      <sheetName val="ጳ_x0000__x0000_Ոጴ_x0000__x0000_sጳ_x0000__x0000_״ጳ_x0000__x0000_"/>
      <sheetName val="ጳ_x0000__x0000_Ոጳ_x0000__x0000_sጴ_x0000__x0000_1ጳ_x0000__x0000_"/>
      <sheetName val="ፌ_x0000__x0000_Ոጿ_x0000__x0000_sጿ_x0000__x0000_aጊ_x0000__x0000_"/>
      <sheetName val="ፌ_x0000__x0000_Ոጿ_x0000__x0000_sጿ_x0000__x0000_sጊ_x0000__x0000_"/>
      <sheetName val="ጴ_x0000__x0000_Ոጴ_x0000__x0000_sፊ_x0000__x0000_೵ጵ_x0000__x0000_"/>
      <sheetName val="ጸ_x0000__x0000_Ոጿ_x0000__x0000_sጿ_x0000__x0000_sጊ_x0000__x0000_"/>
      <sheetName val="ጿ_x0000__x0000_Ոጿ_x0000__x0000_sጊ_x0000__x0000_ެጊ_x0000__x0000_"/>
      <sheetName val="ጊ_x0000__x0000_Ոጊ_x0000__x0000_sጊ_x0000__x0000_Tጱ_x0000__x0000_"/>
      <sheetName val="ጿ_x0000__x0000_Ոጊ_x0000__x0000_sጊ_x0000__x0000__ጊ_x0000__x0000_"/>
      <sheetName val="ጳ_x0000__x0000_Ոጴ_x0000__x0000_sጳ_x0000__x0000_nጳ_x0000__x0000_"/>
      <sheetName val="ጴ_x0000__x0000_Ոጳ_x0000__x0000_sጳ_x0000__x0000_gጴ_x0000__x0000_"/>
      <sheetName val="ጿ_x0000__x0000_Ոጿ_x0000__x0000_sጊ_x0000__x0000__ጊ_x0000__x0000_"/>
      <sheetName val="ድ_x0000__x0000_Ոጳ_x0000__x0000_sጳ_x0000__x0000__ጴ_x0000__x0000_"/>
      <sheetName val="ጵ_x0000__x0000_Ոፋ_x0000__x0000_sፌ_x0000__x0000_iጿ_x0000__x0000_"/>
      <sheetName val="ጿ_x0000__x0000_Ոጊ_x0000__x0000_sጊ_x0000__x0000_൭ጊ_x0000__x0000_"/>
      <sheetName val="ጊ_x0000__x0000_Ոጊ_x0000__x0000_sጱ_x0000__x0000_tጲ_x0000__x0000_"/>
      <sheetName val="ጲ_x0000__x0000_Ոድ_x0000__x0000_sጳ_x0000__x0000_״ጳ_x0000__x0000_"/>
      <sheetName val="ጱ_x0000__x0000_Ոጲ_x0000__x0000_sድ_x0000__x0000_1ጳ_x0000__x0000_"/>
      <sheetName val="ጳ_x0000__x0000_Ոጴ_x0000__x0000_sጴ_x0000__x0000_aፊ_x0000__x0000_"/>
      <sheetName val="ጴ_x0000__x0000_Ոጳ_x0000__x0000_sጳ_x0000__x0000_sጴ_x0000__x0000_"/>
      <sheetName val="ጳ_x0000__x0000_Ոጴ_x0000__x0000_sጳ_x0000__x0000_೵ጳ_x0000__x0000_"/>
      <sheetName val="ፋ_x0000__x0000_Ոፌ_x0000__x0000_sጿ_x0000__x0000_ެጿ_x0000__x0000_"/>
      <sheetName val="ጊ_x0000__x0000_Ոጊ_x0000__x0000_sጱ_x0000__x0000__ጲ_x0000__x0000_"/>
      <sheetName val="ጵ_x0000__x0000_Ոጶ_x0000__x0000_sጷ_x0000__x0000_nጸ_x0000__x0000_"/>
      <sheetName val="ጷ_x0000__x0000_Ոጸ_x0000__x0000_sጿ_x0000__x0000_gጿ_x0000__x0000_"/>
      <sheetName val="ጊ_x0000__x0000_Ոጱ_x0000__x0000_sጲ_x0000__x0000__ድ_x0000__x0000_"/>
      <sheetName val="ጴ_x0000__x0000_Ոጵ_x0000__x0000_sጶ_x0000__x0000_᳀ጷ_x0000__x0000_"/>
      <sheetName val="ጿ_x0000__x0000_Ոጊ_x0000__x0000_sጊ_x0000__x0000_oጱ_x0000__x0000_"/>
      <sheetName val="ጶ_x0000__x0000_Ոጷ_x0000__x0000_sጸ_x0000__x0000__ጿ_x0000__x0000_"/>
      <sheetName val="ድ_x0000__x0000_Ոጳ_x0000__x0000_sጳ_x0000__x0000_iጴ_x0000__x0000_"/>
      <sheetName val="ጳ_x0000__x0000_Ոጴ_x0000__x0000_sጵ_x0000__x0000_0ጶ_x0000__x0000_"/>
      <sheetName val="ጳ_x0000__x0000_Ոጳ_x0000__x0000_sጴ_x0000__x0000_0ጵ_x0000__x0000_"/>
      <sheetName val="[입찰안.xls][입찰안.xls]_____xls_2527"/>
      <sheetName val="[입찰안.xls][입찰안.xls]_____xls_2528"/>
      <sheetName val="[입찰안.xls][입찰안.xls]_____xls_2532"/>
      <sheetName val="[입찰안.xls][입찰안.xls]_____xls_2537"/>
      <sheetName val="[입찰안.xls][입찰안.xls]_____xls_2529"/>
      <sheetName val="[입찰안.xls][입찰안.xls]_____xls_2541"/>
      <sheetName val="[입찰안.xls][입찰안.xls]_____xls_2530"/>
      <sheetName val="[입찰안.xls][입찰안.xls]_____xls_2531"/>
      <sheetName val="[입찰안.xls][입찰안.xls]_____xls_2534"/>
      <sheetName val="[입찰안.xls][입찰안.xls]_____xls_2535"/>
      <sheetName val="[입찰안.xls][입찰안.xls]_____xls_2533"/>
      <sheetName val="[입찰안.xls][입찰안.xls]_____xls_2536"/>
      <sheetName val="[입찰안.xls][입찰안.xls]_____xls_2538"/>
      <sheetName val="[입찰안.xls][입찰안.xls]_____xls_2539"/>
      <sheetName val="[입찰안.xls][입찰안.xls]_____xls_2540"/>
      <sheetName val="[입찰안.xls][입찰안.xls]_____xls_2544"/>
      <sheetName val="[입찰안.xls][입찰안.xls]_____xls_2547"/>
      <sheetName val="[입찰안.xls][입찰안.xls]_____xls_2548"/>
      <sheetName val="[입찰안.xls][입찰안.xls]_____xls_2549"/>
      <sheetName val="[입찰안.xls][입찰안.xls]_____xls_2546"/>
      <sheetName val="[입찰안.xls][입찰안.xls]_____xls_2648"/>
      <sheetName val="[입찰안.xls][입찰안.xls]_____xls_2550"/>
      <sheetName val="[입찰안.xls][입찰안.xls]_____xls_2551"/>
      <sheetName val="[입찰안.xls][입찰안.xls]_입찰__xls_1001"/>
      <sheetName val="18.공내수압탄성자연"/>
      <sheetName val="장외on2"/>
      <sheetName val="unitpric"/>
      <sheetName val="04.01"/>
      <sheetName val="[입찰안.xls][입찰안.xls]__찰__xls_1000"/>
      <sheetName val="[입찰안.xls][입찰안.xls]_____xls_2555"/>
      <sheetName val="[입찰안.xls][입찰안.xls]_____xls_2554"/>
      <sheetName val="[입찰안.xls][입찰안.xls]_____xls_2553"/>
      <sheetName val="[입찰안.xls][입찰안.xls]_____xls_2552"/>
      <sheetName val="(C)원내역"/>
      <sheetName val="조인트"/>
      <sheetName val="[입찰안.xls][입찰안.xls]_____xls_2560"/>
      <sheetName val="[입찰안.xls][입찰안.xls]_____xls_2568"/>
      <sheetName val="[입찰안.xls][입찰안.xls]_____xls_2570"/>
      <sheetName val="pile_bearing_capa_&amp;__x0000__x0000_Ԁ_x0000_훴阬"/>
      <sheetName val="MTL$-INTER"/>
      <sheetName val="Cash2"/>
      <sheetName val="Z"/>
      <sheetName val="TB NẶNG"/>
      <sheetName val="mong"/>
      <sheetName val="ph2B cnstrction sched."/>
      <sheetName val="tra-vat-lieu"/>
      <sheetName val="C10집계2"/>
      <sheetName val="DEVI."/>
      <sheetName val="U.C."/>
      <sheetName val="HESO"/>
      <sheetName val="TOTAL SUMMARY"/>
      <sheetName val="NEW-PANEL"/>
      <sheetName val="DS-Thuong 6T dau"/>
      <sheetName val="Gia "/>
      <sheetName val="T-goc"/>
      <sheetName val="이자율"/>
      <sheetName val="[입찰안.xls][입찰안.xls]_____xls_2559"/>
      <sheetName val="[입찰안.xls][입찰안.xls]_____xls_2556"/>
      <sheetName val="[입찰안.xls][입찰안.xls]_____xls_2558"/>
      <sheetName val="[입찰안.xls][입찰안.xls]_____xls_2557"/>
      <sheetName val="[입찰안.xls][입찰안.xls]_____xls_2562"/>
      <sheetName val="[입찰안.xls][입찰안.xls]_____xls_2563"/>
      <sheetName val="[입찰안.xls][입찰안.xls]_____xls_2564"/>
      <sheetName val="[입찰안.xls][입찰안.xls]_____xls_2561"/>
      <sheetName val="[입찰안.xls][입찰안.xls]_____xls_2566"/>
      <sheetName val="[입찰안.xls][입찰안.xls]_____xls_2567"/>
      <sheetName val="[입찰안.xls][입찰안.xls]_____xls_2565"/>
      <sheetName val="[입찰안.xls][입찰안.xls]_____xls_2569"/>
      <sheetName val="[입찰안.xls][입찰안.xls]_____xls_2573"/>
      <sheetName val="[입찰안.xls][입찰안.xls]_____xls_2574"/>
      <sheetName val="[입찰안.xls][입찰안.xls]_____xls_2571"/>
      <sheetName val="[입찰안.xls][입찰안.xls]_____xls_2572"/>
      <sheetName val="[입찰안.xls][입찰안.xls]_____xls_2575"/>
      <sheetName val="[입찰안.xls][입찰안.xls]_____xls_2576"/>
      <sheetName val="[입찰안.xls][입찰안.xls]_____xls_2577"/>
      <sheetName val="BM"/>
      <sheetName val="[입찰안.xls][입찰안.xls]_입찰안_xls_1030"/>
      <sheetName val="[입찰안.xls][입찰안.xls]_입찰안_xls_1029"/>
      <sheetName val="[입찰안.xls][입찰안.xls]_____xls_2646"/>
      <sheetName val="FAB4생산"/>
      <sheetName val="[입찰안.xls][입찰안.xls]_____xls_2603"/>
      <sheetName val="[입찰안.xls][입찰안.xls]_____xls_2604"/>
      <sheetName val="[입찰안.xls][입찰안.xls]_입_안_xls_1048"/>
      <sheetName val="[입찰안.xls][입찰안.xls]_입_안_xls_1049"/>
      <sheetName val="[입찰안.xls][입찰안.xls]_입_안_xls_1041"/>
      <sheetName val="[입찰안.xls][입찰안.xls]_입_안_xls_1042"/>
      <sheetName val="[입찰안.xls][입찰안.xls]_입_안_xls_1043"/>
      <sheetName val="[입찰안.xls][입찰안.xls]_입찰안_xls_1026"/>
      <sheetName val="[입찰안.xls][입찰안.xls]_입_안_xls_1044"/>
      <sheetName val="[입찰안.xls][입찰안.xls]_입_안_xls_1045"/>
      <sheetName val="[입찰안.xls][입찰안.xls]_입_안_xls_1046"/>
      <sheetName val="[입찰안.xls][입찰안.xls]_입_안_xls_1047"/>
      <sheetName val="[입찰안.xls][입찰안.xls]_입_안_xls_1052"/>
      <sheetName val="[입찰안.xls][입찰안.xls]_입찰안_xls_1028"/>
      <sheetName val="[입찰안.xls][입찰안.xls]_입찰안_xls_1027"/>
      <sheetName val="[입찰안.xls][입찰안.xls]_입_안_xls_1050"/>
      <sheetName val="[입찰안.xls][입찰안.xls]_입_안_xls_1051"/>
      <sheetName val="가시설수량"/>
      <sheetName val="영외수지"/>
      <sheetName val="[입찰안.xls][입찰안.xls]_____xls_2598"/>
      <sheetName val="[입찰안.xls][입찰안.xls]_____xls_2599"/>
      <sheetName val="[입찰안.xls][입찰안.xls]_____xls_2600"/>
      <sheetName val="제수변 수량집계Ȍ_x0000_嫰͇ｙ"/>
      <sheetName val="[입찰안.xls][입찰안.xls]_____xls_2588"/>
      <sheetName val="[입찰안.xls][입찰안.xls]_____xls_2589"/>
      <sheetName val="[입찰안.xls][입찰안.xls]_____xls_2590"/>
      <sheetName val="3CHBDC"/>
      <sheetName val="우수공"/>
      <sheetName val="7_산출(_x0000__x0000__x0000__x0001_Ԁ"/>
      <sheetName val="1,2,3,4_x0005__x0000__x0000__x"/>
      <sheetName val="plan&amp;section_of__x0000__x0000__"/>
      <sheetName val="design_crit_x0000__x0000__x0005"/>
      <sheetName val="소포내역_x0000__x0000__x0005__x0000"/>
      <sheetName val="working_load_at０ʵŚÃ堠ᴕ_x0000__x0"/>
      <sheetName val="pile_bearing_capa_&amp;_¬웰ﾕ쀀_x000"/>
      <sheetName val="수량산출서집계(_x0000__x0000__x0005__x"/>
      <sheetName val="design_c_x0000__x0000_Ȑꙭî_x000"/>
      <sheetName val="ጵ_x0000__x0000_Ոጶ_x0000__x0000_"/>
      <sheetName val="ጲ_x0000__x0000_Ոፍ_x0000__x0000_"/>
      <sheetName val="ጳ_x0000__x0000_Ոጴ_x0000__x0000_"/>
      <sheetName val="ጳ_x0000__x0000_Ոጳ_x0000__x0000_"/>
      <sheetName val="ፋ_x0000__x0000_Ոፌ_x0000__x0000_"/>
      <sheetName val="ጴ_x0000__x0000_Ոጳ_x0000__x0000_"/>
      <sheetName val="ጿ_x0000__x0000_Ոጊ_x0000__x0000_"/>
      <sheetName val="ጱ_x0000__x0000_Ոጼ_x0000__x0000_"/>
      <sheetName val="ጷ_x0000__x0000_Ոጸ_x0000__x0000_"/>
      <sheetName val="ጿ_x0000__x0000_Ոጿ_x0000__x0000_"/>
      <sheetName val="ጵ_x0000__x0000_Ոፋ_x0000__x0000_"/>
      <sheetName val="ጻ_x0000__x0000_Ոጻ_x0000__x0000_"/>
      <sheetName val="ጴ_x0000__x0000_Ոጾ_x0000__x0000_"/>
      <sheetName val="ጶ_x0000__x0000_Ոጷ_x0000__x0000_"/>
      <sheetName val="ጊ_x0000__x0000_Ոጊ_x0000__x0000_"/>
      <sheetName val="ጸ_x0000__x0000_Ոጿ_x0000__x0000_"/>
      <sheetName val="ጴ_x0000__x0000_Ոጵ_x0000__x0000_"/>
      <sheetName val="ፍ_x0000__x0000_Ոጳ_x0000__x0000_"/>
      <sheetName val="ጊ_x0000__x0000_Ոጱ_x0000__x0000_"/>
      <sheetName val="ጱ_x0000__x0000_Ոጲ_x0000__x0000_"/>
      <sheetName val="ጴ_x0000__x0000_Ոፊ_x0000__x0000_"/>
      <sheetName val="ድ_x0000__x0000_Ոጳ_x0000__x0000_"/>
      <sheetName val="ፊ_x0000__x0000_Ոጵ_x0000__x0000_"/>
      <sheetName val="ፌ_x0000__x0000_Ոጿ_x0000__x0000_"/>
      <sheetName val="ጴ_x0000__x0000_Ոጴ_x0000__x0000_"/>
      <sheetName val="ጲ_x0000__x0000_Ոድ_x0000__x0000_"/>
      <sheetName val="pile_bearing_ca怀꿟세_x0000_䘀뤙_x"/>
      <sheetName val="[입찰안.xls][입찰안.xls]_____xls_2587"/>
      <sheetName val="pile_bearing_capa_&amp;_¬"/>
      <sheetName val="내역전기"/>
      <sheetName val="현금흐름Ⅰ"/>
      <sheetName val="[입찰안.xls][입찰안.xls]_____xls_2581"/>
      <sheetName val="공종별예산조서"/>
      <sheetName val="일위대가(여기까지)"/>
      <sheetName val="[입찰안.xls][입찰안.xls]_____xls_2578"/>
      <sheetName val="stability?䘢䠂檱䠛檳"/>
      <sheetName val="6__안전"/>
      <sheetName val="SALES"/>
      <sheetName val="[입찰안.xls][입찰안.xls]_____xls_2579"/>
      <sheetName val="[입찰안.xls][입찰안.xls]_____xls_2580"/>
      <sheetName val="[입찰안.xls][입찰안.xls]_____xls_2582"/>
      <sheetName val="[입찰안.xls][입찰안.xls]_____xls_2583"/>
      <sheetName val="[입찰안.xls][입찰안.xls]_____xls_2584"/>
      <sheetName val="[입찰안.xls][입찰안.xls]_____xls_2585"/>
      <sheetName val="[입찰안.xls][입찰안.xls]_____xls_2586"/>
      <sheetName val="[입찰안.xls][입찰안.xls]_____xls_2591"/>
      <sheetName val="[입찰안.xls][입찰안.xls]_____xls_2592"/>
      <sheetName val="[입찰안.xls][입찰안.xls]_____xls_2593"/>
      <sheetName val="[입찰안.xls][입찰안.xls]_____xls_2594"/>
      <sheetName val="[입찰안.xls][입찰안.xls]_____xls_2595"/>
      <sheetName val="[입찰안.xls][입찰안.xls]_____xls_2596"/>
      <sheetName val="[입찰안.xls][입찰안.xls]_____xls_2597"/>
      <sheetName val="[입찰안.xls][입찰안.xls]_____xls_2605"/>
      <sheetName val="[입찰안.xls][입찰안.xls]_____xls_2601"/>
      <sheetName val="[입찰안.xls][입찰안.xls]_____xls_2602"/>
      <sheetName val="[입찰안.xls][입찰안.xls]_____xls_2606"/>
      <sheetName val="[입찰안.xls][입찰안.xls]_____xls_2607"/>
      <sheetName val="[입찰안.xls][입찰안.xls]_____xls_2609"/>
      <sheetName val="[입찰안.xls][입찰안.xls]_____xls_2611"/>
      <sheetName val="[입찰안.xls][입찰안.xls]_____xls_2612"/>
      <sheetName val="[입찰안.xls][입찰안.xls]_____xls_2608"/>
      <sheetName val="[입찰안.xls][입찰안.xls]_____xls_2610"/>
      <sheetName val="[입찰안.xls][입찰안.xls]_____xls_2614"/>
      <sheetName val="[입찰안.xls][입찰안.xls]_____xls_2615"/>
      <sheetName val="sat"/>
      <sheetName val="Dầm -4.7m"/>
      <sheetName val="SORT"/>
      <sheetName val="Chiết tính tủ điện"/>
      <sheetName val="SUMARY SS"/>
      <sheetName val="CDSPS"/>
      <sheetName val="NH-KY"/>
      <sheetName val="TONGKE1P"/>
      <sheetName val="CHITIET VL-NCHT1 (2)"/>
      <sheetName val="[입찰안.xls][입찰안.xls]_____xls_2616"/>
      <sheetName val="[입찰안.xls][입찰안.xls]_____xls_2613"/>
      <sheetName val="[입찰안.xls][입찰안.xls]_____xls_2617"/>
      <sheetName val="[입찰안.xls][입찰안.xls]_____xls_2618"/>
      <sheetName val="[입찰안.xls][입찰안.xls]_____xls_2634"/>
      <sheetName val="[입찰안.xls][입찰안.xls]_____xls_2633"/>
      <sheetName val="[입찰안.xls][입찰안.xls]_____xls_2632"/>
      <sheetName val="하㴀"/>
      <sheetName val="T기성9605"/>
      <sheetName val="[입찰안.xls][입찰안.xls]_____xls_2631"/>
      <sheetName val="[입찰안.xls][입찰안.xls]_____xls_2629"/>
      <sheetName val="[입찰안.xls][입찰안.xls]_____xls_2630"/>
      <sheetName val="[입찰안.xls][입찰안.xls]_____xls_2623"/>
      <sheetName val="[입찰안.xls][입찰안.xls]_____xls_2628"/>
      <sheetName val="[입찰안.xls][입찰안.xls]_____xls_2621"/>
      <sheetName val="[입찰안.xls][입찰안.xls]_____xls_2619"/>
      <sheetName val="[입찰안.xls][입찰안.xls]_____xls_2620"/>
      <sheetName val="[입찰안.xls][입찰안.xls]_____xls_2622"/>
      <sheetName val="[입찰안.xls][입찰안.xls]_____xls_2624"/>
      <sheetName val="[입찰안.xls][입찰안.xls]_____xls_2625"/>
      <sheetName val="[입찰안.xls][입찰안.xls]_____xls_2626"/>
      <sheetName val="[입찰안.xls][입찰안.xls]_____xls_2627"/>
      <sheetName val="[입찰안.xls][입찰안.xls]_____xls_2635"/>
      <sheetName val="[입찰안.xls][입찰안.xls]_____xls_2647"/>
      <sheetName val="[입찰안.xls][입찰안.xls]_____xls_2636"/>
      <sheetName val="[입찰안.xls][입찰안.xls]_____xls_2638"/>
      <sheetName val="[입찰안.xls][입찰안.xls]_____xls_2637"/>
      <sheetName val="[입찰안.xls][입찰안.xls]_____xls_2642"/>
      <sheetName val="[입찰안.xls][입찰안.xls]_____xls_2643"/>
      <sheetName val="[입찰안.xls][입찰안.xls]_____xls_2639"/>
      <sheetName val="[입찰안.xls][입찰안.xls]_____xls_2640"/>
      <sheetName val="[입찰안.xls][입찰안.xls]_____xls_2641"/>
      <sheetName val="[입찰안.xls][입찰안.xls]_____xls_2644"/>
      <sheetName val="[입찰안.xls][입찰안.xls]_____xls_2645"/>
      <sheetName val="[입찰안.xls][입찰안.xls]_____xls_2649"/>
      <sheetName val="[입찰안.xls][입찰안.xls]__찰안_xls_1006"/>
      <sheetName val="내역_v濐Ȫ)⋘"/>
      <sheetName val="[입찰안.xls][입찰안.xls]_____xls_2650"/>
      <sheetName val="[입찰안.xls][입찰안.xls]_____xls_2651"/>
      <sheetName val="[입찰안.xls][입찰안.xls]_____xls_2653"/>
      <sheetName val="[입찰안.xls][입찰안.xls]_____xls_2654"/>
      <sheetName val="[입찰안.xls][입찰안.xls]_____xls_2652"/>
      <sheetName val="[입찰안.xls][입찰안.xls]_____xls_2656"/>
      <sheetName val="[입찰안.xls][입찰안.xls]_____xls_2655"/>
      <sheetName val="[입찰안.xls][입찰안.xls]_____xls_2660"/>
      <sheetName val="[입찰안.xls][입찰안.xls]_____xls_2658"/>
      <sheetName val="[입찰안.xls][입찰안.xls]_____xls_2659"/>
      <sheetName val="[입찰안.xls][입찰안.xls]_____xls_2657"/>
      <sheetName val="횡배수관설치현황"/>
      <sheetName val="전산"/>
      <sheetName val="일위대㐀븁_x005f_x0000__x005f_x0000_"/>
      <sheetName val="일위대_x005f_x0000__x005f_x0000_Ԁ_"/>
      <sheetName val="_HIT__HMC_견_x0000__x0000__x0005"/>
      <sheetName val="plan&amp;section_of勉_x0010__x0000__"/>
      <sheetName val="정리계_x0000__x0000__x0005__x0000_"/>
      <sheetName val="plan&amp;section_of__x0000__x0000_Ā"/>
      <sheetName val="노원열병합___x0000__x0000__x0005__x0"/>
      <sheetName val="공조기휀"/>
      <sheetName val="PAC(전자기기실)"/>
      <sheetName val="대가표(품셈)"/>
      <sheetName val="요약&amp;결과"/>
      <sheetName val="Macro(_x0000__x0000_즈"/>
      <sheetName val="Macro("/>
      <sheetName val="Macro(_x0000__x0000__x0005_"/>
      <sheetName val="Macro(ၒ_x0000__x0000_"/>
      <sheetName val="하_x0000__x0000_"/>
      <sheetName val="발주현황"/>
      <sheetName val="기성(1차)_9"/>
      <sheetName val="5호광장_(만점)12"/>
      <sheetName val="인천국제_(만점)_(2)12"/>
      <sheetName val="Total_단위경유량집계12"/>
      <sheetName val="앉음벽_(2)12"/>
      <sheetName val="BH-1_(2)12"/>
      <sheetName val="표__지12"/>
      <sheetName val="준검_내역서12"/>
      <sheetName val="토공유동표(전체_당초)12"/>
      <sheetName val="1_수인터널12"/>
      <sheetName val="4_전기12"/>
      <sheetName val="I_설계조건12"/>
      <sheetName val="노원열병합__건축공사기성내역서12"/>
      <sheetName val="1_설계조건12"/>
      <sheetName val="조도계산서_(도서)12"/>
      <sheetName val="_HIT__HMC_견적_3900_12"/>
      <sheetName val="7__현장관리비_12"/>
      <sheetName val="6__안전관리비12"/>
      <sheetName val="보고서_기기리스트11"/>
      <sheetName val="소포내역_(2)12"/>
      <sheetName val="unit_411"/>
      <sheetName val="plan&amp;section_of_foundation12"/>
      <sheetName val="pile_bearing_capa_&amp;_arrenge12"/>
      <sheetName val="working_load_at_the_btm_ft_12"/>
      <sheetName val="stability_check12"/>
      <sheetName val="design_criteria12"/>
      <sheetName val="내역_ver1_012"/>
      <sheetName val="11_산출(전열)12"/>
      <sheetName val="6_산출(동력)12"/>
      <sheetName val="7_산출(TRAY)12"/>
      <sheetName val="우수관매설및_우수받이12"/>
      <sheetName val="11_우각부_보강12"/>
      <sheetName val="제출내역_(2)12"/>
      <sheetName val="배수공_시멘트_및_골재량_산출11"/>
      <sheetName val="내___역11"/>
      <sheetName val="플랜트_설치11"/>
      <sheetName val="3련_BOX12"/>
      <sheetName val="2_1__노무비_평균단가산출11"/>
      <sheetName val="5_산출(전력)11"/>
      <sheetName val="A_견적11"/>
      <sheetName val="배수내역_(2)11"/>
      <sheetName val="수량산출서(전력간선_지하D_C)11"/>
      <sheetName val="Customer_Databas11"/>
      <sheetName val="개인별_순위표11"/>
      <sheetName val="投标材料清单_11"/>
      <sheetName val="spc_배관견적11"/>
      <sheetName val="_HIT-&gt;HMC_견적(3900)11"/>
      <sheetName val="1_취수장11"/>
      <sheetName val="Cash_Flow-111"/>
      <sheetName val="3_1공사현황_공정표11"/>
      <sheetName val="전_기11"/>
      <sheetName val="SHEET_PILE단가11"/>
      <sheetName val="화재_탐지_설비11"/>
      <sheetName val="2차전체변경예정_(2)11"/>
      <sheetName val="노임_단가11"/>
      <sheetName val="6PILE__(돌출)11"/>
      <sheetName val="내역서_11"/>
      <sheetName val="8_현장관리비11"/>
      <sheetName val="7_안전관리비11"/>
      <sheetName val="BH_1__2_11"/>
      <sheetName val="목차_11"/>
      <sheetName val="귀래_설계_공내역서11"/>
      <sheetName val="설_계11"/>
      <sheetName val="1_설계기준11"/>
      <sheetName val="집_계_표11"/>
      <sheetName val="세골재__T2_변경_현황11"/>
      <sheetName val="별표_11"/>
      <sheetName val="일위대가_10"/>
      <sheetName val="4_LINE10"/>
      <sheetName val="7_th10"/>
      <sheetName val="도담구내_개소별_명세11"/>
      <sheetName val="단___산10"/>
      <sheetName val="실____단10"/>
      <sheetName val="노무비_근거10"/>
      <sheetName val="암거_제원표10"/>
      <sheetName val="5_동별횡주관경10"/>
      <sheetName val="장비_(2)10"/>
      <sheetName val="참조_(2)10"/>
      <sheetName val="Sheet1_(2)10"/>
      <sheetName val="제수변_수량집계표(보통)10"/>
      <sheetName val="3BL공동구_수량10"/>
      <sheetName val="전선_및_전선관10"/>
      <sheetName val="내역서1999_8최종10"/>
      <sheetName val="기성(1차)_10"/>
      <sheetName val="_갑지10"/>
      <sheetName val="5F_계약단가"/>
      <sheetName val="5호광장_(만점)13"/>
      <sheetName val="인천국제_(만점)_(2)13"/>
      <sheetName val="Total_단위경유량집계13"/>
      <sheetName val="앉음벽_(2)13"/>
      <sheetName val="BH-1_(2)13"/>
      <sheetName val="표__지13"/>
      <sheetName val="준검_내역서13"/>
      <sheetName val="토공유동표(전체_당초)13"/>
      <sheetName val="1_수인터널13"/>
      <sheetName val="4_전기13"/>
      <sheetName val="I_설계조건13"/>
      <sheetName val="노원열병합__건축공사기성내역서13"/>
      <sheetName val="1_설계조건13"/>
      <sheetName val="조도계산서_(도서)13"/>
      <sheetName val="_HIT__HMC_견적_3900_13"/>
      <sheetName val="7__현장관리비_13"/>
      <sheetName val="6__안전관리비13"/>
      <sheetName val="보고서_기기리스트12"/>
      <sheetName val="소포내역_(2)13"/>
      <sheetName val="unit_412"/>
      <sheetName val="plan&amp;section_of_foundation13"/>
      <sheetName val="pile_bearing_capa_&amp;_arrenge13"/>
      <sheetName val="working_load_at_the_btm_ft_13"/>
      <sheetName val="stability_check13"/>
      <sheetName val="design_criteria13"/>
      <sheetName val="내역_ver1_013"/>
      <sheetName val="11_산출(전열)13"/>
      <sheetName val="6_산출(동력)13"/>
      <sheetName val="7_산출(TRAY)13"/>
      <sheetName val="우수관매설및_우수받이13"/>
      <sheetName val="11_우각부_보강13"/>
      <sheetName val="제출내역_(2)13"/>
      <sheetName val="배수공_시멘트_및_골재량_산출12"/>
      <sheetName val="내___역12"/>
      <sheetName val="플랜트_설치12"/>
      <sheetName val="3련_BOX13"/>
      <sheetName val="MSS_212"/>
      <sheetName val="2_1__노무비_평균단가산출12"/>
      <sheetName val="5_산출(전력)12"/>
      <sheetName val="A_견적12"/>
      <sheetName val="배수내역_(2)12"/>
      <sheetName val="수량산출서(전력간선_지하D_C)12"/>
      <sheetName val="Customer_Databas12"/>
      <sheetName val="개인별_순위표12"/>
      <sheetName val="投标材料清单_12"/>
      <sheetName val="spc_배관견적12"/>
      <sheetName val="_HIT-&gt;HMC_견적(3900)12"/>
      <sheetName val="1_취수장12"/>
      <sheetName val="Cash_Flow-112"/>
      <sheetName val="3_1공사현황_공정표12"/>
      <sheetName val="전_기12"/>
      <sheetName val="SHEET_PILE단가12"/>
      <sheetName val="화재_탐지_설비12"/>
      <sheetName val="2차전체변경예정_(2)12"/>
      <sheetName val="노임_단가12"/>
      <sheetName val="6PILE__(돌출)12"/>
      <sheetName val="내역서_12"/>
      <sheetName val="8_현장관리비12"/>
      <sheetName val="7_안전관리비12"/>
      <sheetName val="BH_1__2_12"/>
      <sheetName val="목차_12"/>
      <sheetName val="귀래_설계_공내역서12"/>
      <sheetName val="설_계12"/>
      <sheetName val="1_설계기준12"/>
      <sheetName val="집_계_표12"/>
      <sheetName val="세골재__T2_변경_현황12"/>
      <sheetName val="별표_12"/>
      <sheetName val="일위대가_11"/>
      <sheetName val="4_LINE11"/>
      <sheetName val="7_th11"/>
      <sheetName val="도담구내_개소별_명세12"/>
      <sheetName val="3_공통공사대비11"/>
      <sheetName val="단가_및_재료비11"/>
      <sheetName val="노임단가_(2)11"/>
      <sheetName val="단___산11"/>
      <sheetName val="실____단11"/>
      <sheetName val="7_공정표11"/>
      <sheetName val="단면_(2)11"/>
      <sheetName val="장비비_명세서111"/>
      <sheetName val="RETAIL_(ABOVE)11"/>
      <sheetName val="5__현장관리비(new)_11"/>
      <sheetName val="노무비_근거11"/>
      <sheetName val="암거_제원표11"/>
      <sheetName val="5_동별횡주관경11"/>
      <sheetName val="2_대외공문11"/>
      <sheetName val="장비_(2)11"/>
      <sheetName val="참조_(2)11"/>
      <sheetName val="Sheet1_(2)11"/>
      <sheetName val="제수변_수량집계표(보통)11"/>
      <sheetName val="Eq__Mobilization11"/>
      <sheetName val="3BL공동구_수량11"/>
      <sheetName val="전선_및_전선관11"/>
      <sheetName val="내역서1999_8최종11"/>
      <sheetName val="_갑지11"/>
      <sheetName val="기성(1차)_11"/>
      <sheetName val="[입찰안_xls]직접뀀鞖/3"/>
      <sheetName val="5F_계약단가1"/>
      <sheetName val="MAIN_GATE_HOUSE1"/>
      <sheetName val="PHU_LUC_011"/>
      <sheetName val="Đầu_vào1"/>
      <sheetName val="chiet_tinh1"/>
      <sheetName val="1__Dashboard1"/>
      <sheetName val="제조_경영"/>
      <sheetName val="Báo_cáo2"/>
      <sheetName val="Đơn_giá_theo_m2"/>
      <sheetName val="Bill_No_1_6"/>
      <sheetName val="Bill_No_1_10"/>
      <sheetName val="Bill_No_3_3"/>
      <sheetName val="Bill_No_1_4"/>
      <sheetName val="Bill_No_1_7"/>
      <sheetName val="Summary_Bill_No__3"/>
      <sheetName val="제목현황"/>
      <sheetName val="[입찰안.xls][입찰안.xls]_____xls_2661"/>
      <sheetName val="[입찰안.xls][입찰안.xls]_____xls_2662"/>
      <sheetName val="[입찰안.xls][입찰안.xls]_____xls_2663"/>
      <sheetName val="[입찰안.xls][입찰안.xls]B__2"/>
      <sheetName val="[입찰안.xls][입찰안.xls]B__3"/>
      <sheetName val="[입찰안.xls][입찰안.xls]B_17"/>
      <sheetName val="[입찰안.xls][입찰안.xls]B__5"/>
      <sheetName val="[입찰안.xls][입찰안.xls]B__4"/>
      <sheetName val="[입찰안.xls][입찰안.xls]B__8"/>
      <sheetName val="[입찰안.xls][입찰안.xls]B__6"/>
      <sheetName val="[입찰안.xls][입찰안.xls]B_25"/>
      <sheetName val="[입찰안.xls][입찰안.xls]B__7"/>
      <sheetName val="[입찰안.xls][입찰안.xls]B__9"/>
      <sheetName val="[입찰안.xls][입찰안.xls]B_10"/>
      <sheetName val="[입찰안.xls][입찰안.xls]B_11"/>
      <sheetName val="[입찰안.xls][입찰안.xls]B_12"/>
      <sheetName val="[입찰안.xls][입찰안.xls]B_13"/>
      <sheetName val="[입찰안.xls][입찰안.xls]B_14"/>
      <sheetName val="[입찰안.xls][입찰안.xls]B_15"/>
      <sheetName val="[입찰안.xls][입찰안.xls]B_16"/>
      <sheetName val="[입찰안.xls][입찰안.xls]B_18"/>
      <sheetName val="[입찰안.xls][입찰안.xls]B_19"/>
      <sheetName val="[입찰안.xls][입찰안.xls]B_20"/>
      <sheetName val="[입찰안.xls][입찰안.xls]B_21"/>
      <sheetName val="[입찰안.xls][입찰안.xls]B_22"/>
      <sheetName val="[입찰안.xls][입찰안.xls]B_23"/>
      <sheetName val="[입찰안.xls][입찰안.xls]B_24"/>
      <sheetName val="[입찰안.xls][입찰안.xls]B_26"/>
      <sheetName val="[입찰안.xls][입찰안.xls]B_27"/>
      <sheetName val="[입찰안.xls][입찰안.xls]B_31"/>
      <sheetName val="[입찰안.xls][입찰안.xls]B_28"/>
      <sheetName val="[입찰안.xls][입찰안.xls]B_30"/>
      <sheetName val="[입찰안.xls][입찰안.xls]B_29"/>
      <sheetName val="[입찰안.xls][입찰안.xls]___2"/>
      <sheetName val="[입찰안.xls][입찰안.xls]___3"/>
      <sheetName val="[입찰안.xls][입찰안.xls]B_69"/>
      <sheetName val="[입찰안.xls][입찰안.xls]B_68"/>
      <sheetName val="[입찰안.xls][입찰안.xls]B_67"/>
      <sheetName val="[입찰안.xls][입찰안.xls]B_33"/>
      <sheetName val="[입찰안.xls][입찰안.xls]B_35"/>
      <sheetName val="[입찰안.xls][입찰안.xls]B_32"/>
      <sheetName val="[입찰안.xls][입찰안.xls]B_40"/>
      <sheetName val="[입찰안.xls][입찰안.xls]B_34"/>
      <sheetName val="[입찰안.xls][입찰안.xls]B_41"/>
      <sheetName val="[입찰안.xls][입찰안.xls]B_36"/>
      <sheetName val="[입찰안.xls][입찰안.xls]B_37"/>
      <sheetName val="[입찰안.xls][입찰안.xls]B_42"/>
      <sheetName val="[입찰안.xls][입찰안.xls]B_38"/>
      <sheetName val="[입찰안.xls][입찰안.xls]B_39"/>
      <sheetName val="[입찰안.xls][입찰안.xls]B_43"/>
      <sheetName val="[입찰안.xls][입찰안.xls]B_44"/>
      <sheetName val="[입찰안.xls][입찰안.xls]B_47"/>
      <sheetName val="[입찰안.xls][입찰안.xls]B_46"/>
      <sheetName val="[입찰안.xls][입찰안.xls]B_45"/>
      <sheetName val="[입찰안.xls][입찰안.xls]B_48"/>
      <sheetName val="[입찰안.xls][입찰안.xls]B_55"/>
      <sheetName val="[입찰안.xls][입찰안.xls]B_53"/>
      <sheetName val="[입찰안.xls][입찰안.xls]B_50"/>
      <sheetName val="[입찰안.xls][입찰안.xls]B_49"/>
      <sheetName val="[입찰안.xls][입찰안.xls]B_52"/>
      <sheetName val="[입찰안.xls][입찰안.xls]B_51"/>
      <sheetName val="[입찰안.xls][입찰안.xls]B_56"/>
      <sheetName val="[입찰안.xls][입찰안.xls]B_59"/>
      <sheetName val="[입찰안.xls][입찰안.xls]B_54"/>
      <sheetName val="[입찰안.xls][입찰안.xls]B_61"/>
      <sheetName val="[입찰안.xls][입찰안.xls]B_62"/>
      <sheetName val="[입찰안.xls][입찰안.xls]B_57"/>
      <sheetName val="[입찰안.xls][입찰안.xls]B_58"/>
      <sheetName val="[입찰안.xls][입찰안.xls]B_63"/>
      <sheetName val="[입찰안.xls][입찰안.xls]B_60"/>
      <sheetName val="[입찰안.xls][입찰안.xls]B_64"/>
      <sheetName val="[입찰안.xls][입찰안.xls]B_65"/>
      <sheetName val="[입찰안.xls][입찰안.xls]B_66"/>
      <sheetName val="[입찰안.xls][입찰안.xls]B_70"/>
      <sheetName val="[입찰안.xls][입찰안.xls]B_75"/>
      <sheetName val="[입찰안.xls][입찰안.xls]B_74"/>
      <sheetName val="[입찰안.xls][입찰안.xls]B_72"/>
      <sheetName val="[입찰안.xls][입찰안.xls]B_71"/>
      <sheetName val="[입찰안.xls][입찰안.xls]B_73"/>
      <sheetName val="[입찰안_xls][입찰안_xls]___2"/>
      <sheetName val="[입찰안_xls][입찰안_xls]___1"/>
      <sheetName val="[입찰안_xls][입찰안_xls]B__2"/>
      <sheetName val="[입찰안_xls][입찰안_xls]B__3"/>
      <sheetName val="[입찰안_xls][입찰안_xls]___3"/>
      <sheetName val="[입찰안_xls][입찰안_xls]B__1"/>
      <sheetName val="[입찰안_xls][입찰안_xls]B__4"/>
      <sheetName val="[입찰안.xls][입찰안.xls]B_79"/>
      <sheetName val="[입찰안.xls][입찰안.xls]B_80"/>
      <sheetName val="[입찰안.xls][입찰안.xls]B_77"/>
      <sheetName val="[입찰안.xls][입찰안.xls]B_78"/>
      <sheetName val="[입찰안.xls][입찰안.xls]B_76"/>
      <sheetName val="[입찰안.xls][입찰안.xls]B_90"/>
      <sheetName val="[입찰안.xls][입찰안.xls]_138"/>
      <sheetName val="[입찰안.xls][입찰안.xls]B_81"/>
      <sheetName val="[입찰안.xls][입찰안.xls]B_86"/>
      <sheetName val="[입찰안.xls][입찰안.xls]B_87"/>
      <sheetName val="[입찰안.xls][입찰안.xls]B_84"/>
      <sheetName val="[입찰안.xls][입찰안.xls]B_82"/>
      <sheetName val="[입찰안.xls][입찰안.xls]B_83"/>
      <sheetName val="[입찰안.xls][입찰안.xls]B_85"/>
      <sheetName val="[입찰안.xls][입찰안.xls]B_89"/>
      <sheetName val="[입찰안.xls][입찰안.xls]B_88"/>
      <sheetName val="[입찰안.xls][입찰안.xls]_139"/>
      <sheetName val="[입찰안.xls][입찰안.xls]B_91"/>
      <sheetName val="[입찰안.xls][입찰안.xls]B_92"/>
      <sheetName val="[입찰안.xls][입찰안.xls]B_93"/>
      <sheetName val="[입찰안.xls][입찰안.xls]_140"/>
      <sheetName val="[입찰안.xls][입찰안.xls]_101"/>
      <sheetName val="[입찰안.xls][입찰안.xls]_100"/>
      <sheetName val="[입찰안.xls][입찰안.xls]B_99"/>
      <sheetName val="[입찰안.xls][입찰안.xls]B_94"/>
      <sheetName val="[입찰안.xls][입찰안.xls]B_95"/>
      <sheetName val="[입찰안.xls][입찰안.xls]B_96"/>
      <sheetName val="[입찰안.xls][입찰안.xls]B_97"/>
      <sheetName val="[입찰안.xls][입찰안.xls]B_98"/>
      <sheetName val="[입찰안.xls][입찰안.xls]_102"/>
      <sheetName val="[입찰안.xls][입찰안.xls]_106"/>
      <sheetName val="[입찰안.xls][입찰안.xls]_107"/>
      <sheetName val="[입찰안.xls][입찰안.xls]_103"/>
      <sheetName val="[입찰안.xls][입찰안.xls]_104"/>
      <sheetName val="[입찰안.xls][입찰안.xls]_105"/>
      <sheetName val="[입찰안.xls][입찰안.xls]_108"/>
      <sheetName val="[입찰안.xls][입찰안.xls]_109"/>
      <sheetName val="[입찰안.xls][입찰안.xls]_110"/>
      <sheetName val="[입찰안.xls][입찰안.xls]_111"/>
      <sheetName val="[입찰안.xls][입찰안.xls]_112"/>
      <sheetName val="[입찰안.xls][입찰안.xls]_125"/>
      <sheetName val="[입찰안.xls][입찰안.xls]_117"/>
      <sheetName val="[입찰안.xls][입찰안.xls]_118"/>
      <sheetName val="[입찰안.xls][입찰안.xls]_119"/>
      <sheetName val="[입찰안.xls][입찰안.xls]_114"/>
      <sheetName val="[입찰안.xls][입찰안.xls]_113"/>
      <sheetName val="[입찰안.xls][입찰안.xls]_115"/>
      <sheetName val="[입찰안.xls][입찰안.xls]_116"/>
      <sheetName val="[입찰안.xls][입찰안.xls]_120"/>
      <sheetName val="[입찰안.xls][입찰안.xls]_121"/>
      <sheetName val="[입찰안.xls][입찰안.xls]_124"/>
      <sheetName val="[입찰안.xls][입찰안.xls]_123"/>
      <sheetName val="[입찰안.xls][입찰안.xls]_122"/>
      <sheetName val="[입찰안.xls][입찰안.xls]_127"/>
      <sheetName val="[입찰안.xls][입찰안.xls]_126"/>
      <sheetName val="[입찰안.xls][입찰안.xls]_128"/>
      <sheetName val="[입찰안.xls][입찰안.xls]_129"/>
      <sheetName val="[입찰안.xls][입찰안.xls]_130"/>
      <sheetName val="[입찰안.xls][입찰안.xls]_134"/>
      <sheetName val="[입찰안.xls][입찰안.xls]_137"/>
      <sheetName val="[입찰안.xls][입찰안.xls]_132"/>
      <sheetName val="[입찰안.xls][입찰안.xls]_131"/>
      <sheetName val="[입찰안.xls][입찰안.xls]_133"/>
      <sheetName val="[입찰안.xls][입찰안.xls]_135"/>
      <sheetName val="[입찰안.xls][입찰안.xls]_136"/>
      <sheetName val="[입찰안.xls][입찰안.xls]_141"/>
      <sheetName val="[입찰안.xls][입찰안.xls]_144"/>
      <sheetName val="[입찰안.xls][입찰안.xls]_143"/>
      <sheetName val="[입찰안.xls][입찰안.xls]_142"/>
      <sheetName val="[입찰안.xls][입찰안.xls]_406"/>
      <sheetName val="[입찰안.xls][입찰안.xls]___4"/>
      <sheetName val="[입찰안.xls][입찰안.xls]_145"/>
      <sheetName val="[입찰안.xls][입찰안.xls]_162"/>
      <sheetName val="[입찰안.xls][입찰안.xls]_160"/>
      <sheetName val="[입찰안.xls][입찰안.xls]_161"/>
      <sheetName val="[입찰안.xls][입찰안.xls]_146"/>
      <sheetName val="[입찰안.xls][입찰안.xls]_147"/>
      <sheetName val="[입찰안.xls][입찰안.xls]_148"/>
      <sheetName val="[입찰안.xls][입찰안.xls]_151"/>
      <sheetName val="[입찰안.xls][입찰안.xls]_149"/>
      <sheetName val="[입찰안.xls][입찰안.xls]_150"/>
      <sheetName val="[입찰안.xls][입찰안.xls]_152"/>
      <sheetName val="[입찰안.xls][입찰안.xls]_153"/>
      <sheetName val="[입찰안.xls][입찰안.xls]_154"/>
      <sheetName val="[입찰안.xls][입찰안.xls]_155"/>
      <sheetName val="[입찰안.xls][입찰안.xls]_156"/>
      <sheetName val="[입찰안.xls][입찰안.xls]_157"/>
      <sheetName val="[입찰안.xls][입찰안.xls]_158"/>
      <sheetName val="[입찰안.xls][입찰안.xls]_159"/>
      <sheetName val="[입찰안.xls][입찰안.xls]_171"/>
      <sheetName val="[입찰안.xls][입찰안.xls]_167"/>
      <sheetName val="[입찰안.xls][입찰안.xls]_163"/>
      <sheetName val="[입찰안.xls][입찰안.xls]_164"/>
      <sheetName val="[입찰안.xls][입찰안.xls]_165"/>
      <sheetName val="[입찰안.xls][입찰안.xls]_166"/>
      <sheetName val="[입찰안.xls][입찰안.xls]_168"/>
      <sheetName val="[입찰안.xls][입찰안.xls]_170"/>
      <sheetName val="[입찰안.xls][입찰안.xls]_169"/>
      <sheetName val="[입찰안.xls][입찰안.xls]_174"/>
      <sheetName val="[입찰안.xls][입찰안.xls]_172"/>
      <sheetName val="[입찰안.xls][입찰안.xls]_173"/>
      <sheetName val="[입찰안.xls][입찰안.xls]_182"/>
      <sheetName val="[입찰안.xls][입찰안.xls]_183"/>
      <sheetName val="[입찰안.xls][입찰안.xls]_175"/>
      <sheetName val="[입찰안.xls][입찰안.xls]_176"/>
      <sheetName val="[입찰안.xls][입찰안.xls]_177"/>
      <sheetName val="[입찰안.xls][입찰안.xls]_178"/>
      <sheetName val="[입찰안.xls][입찰안.xls]_179"/>
      <sheetName val="[입찰안.xls][입찰안.xls]_180"/>
      <sheetName val="[입찰안.xls][입찰안.xls]_181"/>
      <sheetName val="[입찰안.xls][입찰안.xls]_185"/>
      <sheetName val="[입찰안.xls][입찰안.xls]_184"/>
      <sheetName val="[입찰안.xls][입찰안.xls]_187"/>
      <sheetName val="[입찰안.xls][입찰안.xls]_186"/>
      <sheetName val="[입찰안.xls][입찰안.xls]_192"/>
      <sheetName val="[입찰안.xls][입찰안.xls]_188"/>
      <sheetName val="[입찰안.xls][입찰안.xls]_189"/>
      <sheetName val="[입찰안.xls][입찰안.xls]_190"/>
      <sheetName val="[입찰안.xls][입찰안.xls]_191"/>
      <sheetName val="[입찰안.xls][입찰안.xls]_198"/>
      <sheetName val="[입찰안.xls][입찰안.xls]_193"/>
      <sheetName val="[입찰안.xls][입찰안.xls]_194"/>
      <sheetName val="[입찰안.xls][입찰안.xls]_195"/>
      <sheetName val="[입찰안.xls][입찰안.xls]_196"/>
      <sheetName val="[입찰안.xls][입찰안.xls]_197"/>
      <sheetName val="[입찰안.xls][입찰안.xls]_199"/>
      <sheetName val="[입찰안.xls][입찰안.xls]_204"/>
      <sheetName val="[입찰안.xls][입찰안.xls]_200"/>
      <sheetName val="[입찰안.xls][입찰안.xls]_201"/>
      <sheetName val="[입찰안.xls][입찰안.xls]_202"/>
      <sheetName val="[입찰안.xls][입찰안.xls]_203"/>
      <sheetName val="[입찰안.xls][입찰안.xls]_205"/>
      <sheetName val="[입찰안.xls][입찰안.xls]_206"/>
      <sheetName val="[입찰안.xls][입찰안.xls]_208"/>
      <sheetName val="[입찰안.xls][입찰안.xls]_207"/>
      <sheetName val="직접뀀鞖/1"/>
      <sheetName val="직접뀀鞖/2"/>
      <sheetName val="[입찰안_xls][입찰안_xls]___4"/>
      <sheetName val="[입찰안.xls][입찰안.xls]_212"/>
      <sheetName val="[입찰안.xls][입찰안.xls]_211"/>
      <sheetName val="[입찰안.xls][입찰안.xls]_209"/>
      <sheetName val="[입찰안.xls][입찰안.xls]_210"/>
      <sheetName val="[입찰안.xls][입찰안.xls]_213"/>
      <sheetName val="[입찰안.xls][입찰안.xls]_215"/>
      <sheetName val="[입찰안.xls][입찰안.xls]_214"/>
      <sheetName val="[입찰안.xls][입찰안.xls]_222"/>
      <sheetName val="[입찰안.xls][입찰안.xls]_225"/>
      <sheetName val="[입찰안.xls][입찰안.xls]_224"/>
      <sheetName val="[입찰안.xls][입찰안.xls]_216"/>
      <sheetName val="[입찰안.xls][입찰안.xls]_217"/>
      <sheetName val="[입찰안.xls][입찰안.xls]_218"/>
      <sheetName val="[입찰안.xls][입찰안.xls]_219"/>
      <sheetName val="[입찰안.xls][입찰안.xls]_220"/>
      <sheetName val="[입찰안.xls][입찰안.xls]_221"/>
      <sheetName val="[입찰안.xls][입찰안.xls]_223"/>
      <sheetName val="[입찰안.xls][입찰안.xls]_230"/>
      <sheetName val="[입찰안.xls][입찰안.xls]_226"/>
      <sheetName val="[입찰안.xls][입찰안.xls]_227"/>
      <sheetName val="[입찰안.xls][입찰안.xls]_228"/>
      <sheetName val="[입찰안.xls][입찰안.xls]_229"/>
      <sheetName val="[입찰안.xls][입찰안.xls]_236"/>
      <sheetName val="[입찰안.xls][입찰안.xls]_233"/>
      <sheetName val="[입찰안.xls][입찰안.xls]_232"/>
      <sheetName val="[입찰안.xls][입찰안.xls]_231"/>
      <sheetName val="[입찰안.xls][입찰안.xls]_234"/>
      <sheetName val="[입찰안.xls][입찰안.xls]_241"/>
      <sheetName val="[입찰안.xls][입찰안.xls]_238"/>
      <sheetName val="[입찰안.xls][입찰안.xls]_235"/>
      <sheetName val="[입찰안.xls][입찰안.xls]_237"/>
      <sheetName val="[입찰안.xls][입찰안.xls]_239"/>
      <sheetName val="[입찰안.xls][입찰안.xls]_240"/>
      <sheetName val="[입찰안.xls][입찰안.xls]_242"/>
      <sheetName val="[입찰안.xls][입찰안.xls]_243"/>
      <sheetName val="[입찰안.xls][입찰안.xls]_244"/>
      <sheetName val="[입찰안.xls][입찰안.xls]_252"/>
      <sheetName val="[입찰안.xls][입찰안.xls]_245"/>
      <sheetName val="[입찰안.xls][입찰안.xls]_249"/>
      <sheetName val="[입찰안.xls][입찰안.xls]_246"/>
      <sheetName val="[입찰안.xls][입찰안.xls]_247"/>
      <sheetName val="[입찰안.xls][입찰안.xls]_248"/>
      <sheetName val="[입찰안.xls][입찰안.xls]_250"/>
      <sheetName val="[입찰안.xls][입찰안.xls]_251"/>
      <sheetName val="[입찰안.xls][입찰안.xls]_253"/>
      <sheetName val="[입찰안.xls][입찰안.xls]_254"/>
      <sheetName val="[입찰안.xls][입찰안.xls]___5"/>
      <sheetName val="[입찰안.xls][입찰안.xls]_264"/>
      <sheetName val="[입찰안.xls][입찰안.xls]_262"/>
      <sheetName val="[입찰안.xls][입찰안.xls]_265"/>
      <sheetName val="[입찰안.xls][입찰안.xls]_255"/>
      <sheetName val="[입찰안.xls][입찰안.xls]_258"/>
      <sheetName val="[입찰안.xls][입찰안.xls]_259"/>
      <sheetName val="[입찰안.xls][입찰안.xls]_256"/>
      <sheetName val="[입찰안.xls][입찰안.xls]_257"/>
      <sheetName val="[입찰안.xls][입찰안.xls]_261"/>
      <sheetName val="[입찰안.xls][입찰안.xls]_260"/>
      <sheetName val="[입찰안.xls][입찰안.xls]_263"/>
      <sheetName val="[입찰안.xls][입찰안.xls]_268"/>
      <sheetName val="[입찰안.xls][입찰안.xls]_267"/>
      <sheetName val="[입찰안.xls][입찰안.xls]_266"/>
      <sheetName val="[입찰안.xls][입찰안.xls]_269"/>
      <sheetName val="[입찰안.xls][입찰안.xls]_270"/>
      <sheetName val="[입찰안.xls][입찰안.xls]_271"/>
      <sheetName val="[입찰안.xls][입찰안.xls]_273"/>
      <sheetName val="[입찰안.xls][입찰안.xls]_274"/>
      <sheetName val="[입찰안.xls][입찰안.xls]_272"/>
      <sheetName val="[입찰안.xls][입찰안.xls]___6"/>
      <sheetName val="[입찰안.xls][입찰안.xls]_278"/>
      <sheetName val="[입찰안.xls][입찰안.xls]_279"/>
      <sheetName val="[입찰안.xls][입찰안.xls]_282"/>
      <sheetName val="[입찰안.xls][입찰안.xls]_275"/>
      <sheetName val="[입찰안.xls][입찰안.xls]_276"/>
      <sheetName val="[입찰안.xls][입찰안.xls]_277"/>
      <sheetName val="[입찰안.xls][입찰안.xls]_283"/>
      <sheetName val="[입찰안.xls][입찰안.xls]_284"/>
      <sheetName val="[입찰안.xls][입찰안.xls]_281"/>
      <sheetName val="[입찰안.xls][입찰안.xls]_280"/>
      <sheetName val="[입찰안.xls][입찰안.xls]_286"/>
      <sheetName val="[입찰안.xls][입찰안.xls]_285"/>
      <sheetName val="[입찰안.xls][입찰안.xls]_290"/>
      <sheetName val="[입찰안.xls][입찰안.xls]_289"/>
      <sheetName val="[입찰안.xls][입찰안.xls]_287"/>
      <sheetName val="[입찰안.xls][입찰안.xls]_288"/>
      <sheetName val="[입찰안.xls][입찰안.xls]_354"/>
      <sheetName val="[입찰안.xls][입찰안.xls]_357"/>
      <sheetName val="[입찰안.xls][입찰안.xls]_351"/>
      <sheetName val="[입찰안.xls][입찰안.xls]_352"/>
      <sheetName val="[입찰안.xls][입찰안.xls]_353"/>
      <sheetName val="[입찰안.xls][입찰안.xls]_332"/>
      <sheetName val="[입찰안.xls][입찰안.xls]_314"/>
      <sheetName val="[입찰안.xls][입찰안.xls]_316"/>
      <sheetName val="[입찰안.xls][입찰안.xls]_315"/>
      <sheetName val="[입찰안.xls][입찰안.xls]_304"/>
      <sheetName val="[입찰안.xls][입찰안.xls]_297"/>
      <sheetName val="[입찰안.xls][입찰안.xls]_291"/>
      <sheetName val="[입찰안.xls][입찰안.xls]_292"/>
      <sheetName val="[입찰안.xls][입찰안.xls]_293"/>
      <sheetName val="[입찰안.xls][입찰안.xls]_294"/>
      <sheetName val="[입찰안.xls][입찰안.xls]_296"/>
      <sheetName val="[입찰안.xls][입찰안.xls]_295"/>
      <sheetName val="[입찰안.xls][입찰안.xls]_302"/>
      <sheetName val="[입찰안.xls][입찰안.xls]_299"/>
      <sheetName val="[입찰안.xls][입찰안.xls]_298"/>
      <sheetName val="[입찰안.xls][입찰안.xls]_300"/>
      <sheetName val="[입찰안.xls][입찰안.xls]_301"/>
      <sheetName val="[입찰안.xls][입찰안.xls]_303"/>
      <sheetName val="[입찰안.xls][입찰안.xls]_305"/>
      <sheetName val="[입찰안.xls][입찰안.xls]_306"/>
      <sheetName val="[입찰안.xls][입찰안.xls]_307"/>
      <sheetName val="[입찰안.xls][입찰안.xls]_308"/>
      <sheetName val="[입찰안.xls][입찰안.xls]_309"/>
      <sheetName val="[입찰안.xls][입찰안.xls]_310"/>
      <sheetName val="[입찰안.xls][입찰안.xls]_311"/>
      <sheetName val="[입찰안.xls][입찰안.xls]_312"/>
      <sheetName val="[입찰안.xls][입찰안.xls]_313"/>
      <sheetName val="[입찰안.xls][입찰안.xls]_317"/>
      <sheetName val="[입찰안.xls][입찰안.xls]_320"/>
      <sheetName val="[입찰안.xls][입찰안.xls]_319"/>
      <sheetName val="[입찰안.xls][입찰안.xls]_318"/>
      <sheetName val="[입찰안.xls][입찰안.xls]_326"/>
      <sheetName val="[입찰안.xls][입찰안.xls]_331"/>
      <sheetName val="[입찰안.xls][입찰안.xls]_321"/>
      <sheetName val="[입찰안.xls][입찰안.xls]_322"/>
      <sheetName val="[입찰안.xls][입찰안.xls]_323"/>
      <sheetName val="[입찰안.xls][입찰안.xls]_324"/>
      <sheetName val="[입찰안.xls][입찰안.xls]_325"/>
      <sheetName val="[입찰안.xls][입찰안.xls]_327"/>
      <sheetName val="[입찰안.xls][입찰안.xls]_328"/>
      <sheetName val="[입찰안.xls][입찰안.xls]_329"/>
      <sheetName val="[입찰안.xls][입찰안.xls]_330"/>
      <sheetName val="[입찰안.xls][입찰안.xls]_333"/>
      <sheetName val="[입찰안.xls][입찰안.xls]_334"/>
      <sheetName val="[입찰안.xls][입찰안.xls]_335"/>
      <sheetName val="[입찰안.xls][입찰안.xls]_336"/>
      <sheetName val="[입찰안.xls][입찰안.xls]_337"/>
      <sheetName val="[입찰안.xls][입찰안.xls]_350"/>
      <sheetName val="[입찰안.xls][입찰안.xls]_349"/>
      <sheetName val="[입찰안.xls][입찰안.xls]_343"/>
      <sheetName val="[입찰안.xls][입찰안.xls]_342"/>
      <sheetName val="[입찰안.xls][입찰안.xls]_346"/>
      <sheetName val="[입찰안.xls][입찰안.xls]_339"/>
      <sheetName val="[입찰안.xls][입찰안.xls]_338"/>
      <sheetName val="[입찰안.xls][입찰안.xls]_341"/>
      <sheetName val="[입찰안.xls][입찰안.xls]_340"/>
      <sheetName val="[입찰안.xls][입찰안.xls]_344"/>
      <sheetName val="[입찰안.xls][입찰안.xls]_345"/>
      <sheetName val="[입찰안.xls][입찰안.xls]_347"/>
      <sheetName val="[입찰안.xls][입찰안.xls]_348"/>
      <sheetName val="[입찰안.xls][입찰안.xls]_355"/>
      <sheetName val="[입찰안.xls][입찰안.xls]_362"/>
      <sheetName val="[입찰안.xls][입찰안.xls]_356"/>
      <sheetName val="[입찰안.xls][입찰안.xls]_358"/>
      <sheetName val="[입찰안.xls][입찰안.xls]_366"/>
      <sheetName val="[입찰안.xls][입찰안.xls]_359"/>
      <sheetName val="[입찰안.xls][입찰안.xls]_360"/>
      <sheetName val="[입찰안.xls][입찰안.xls]_361"/>
      <sheetName val="[입찰안.xls][입찰안.xls]_367"/>
      <sheetName val="[입찰안.xls][입찰안.xls]_363"/>
      <sheetName val="[입찰안.xls][입찰안.xls]_364"/>
      <sheetName val="[입찰안.xls][입찰안.xls]_365"/>
      <sheetName val="[입찰안.xls][입찰안.xls]_368"/>
      <sheetName val="[입찰안.xls][입찰안.xls]_369"/>
      <sheetName val="[입찰안.xls][입찰안.xls]_371"/>
      <sheetName val="[입찰안.xls][입찰안.xls]_372"/>
      <sheetName val="[입찰안.xls][입찰안.xls]_370"/>
      <sheetName val="[입찰안.xls][입찰안.xls]_374"/>
      <sheetName val="[입찰안.xls][입찰안.xls]_373"/>
      <sheetName val="[입찰안.xls][입찰안.xls]_375"/>
      <sheetName val="[입찰안.xls][입찰안.xls]_376"/>
      <sheetName val="[입찰안.xls][입찰안.xls]_377"/>
      <sheetName val="[입찰안.xls][입찰안.xls]_378"/>
      <sheetName val="[입찰안.xls][입찰안.xls]_379"/>
      <sheetName val="[입찰안.xls][입찰안.xls]_380"/>
      <sheetName val="[입찰안.xls][입찰안.xls]_381"/>
      <sheetName val="[입찰안.xls][입찰안.xls]_382"/>
      <sheetName val="[입찰안.xls][입찰안.xls]_383"/>
      <sheetName val="[입찰안.xls][입찰안.xls]_385"/>
      <sheetName val="[입찰안.xls][입찰안.xls]_386"/>
      <sheetName val="[입찰안.xls][입찰안.xls]_384"/>
      <sheetName val="[입찰안.xls][입찰안.xls]_387"/>
      <sheetName val="[입찰안.xls][입찰안.xls]_388"/>
      <sheetName val="[입찰안.xls][입찰안.xls]_389"/>
      <sheetName val="[입찰안.xls][입찰안.xls]_390"/>
      <sheetName val="[입찰안.xls][입찰안.xls]_391"/>
      <sheetName val="[입찰안.xls][입찰안.xls]_392"/>
      <sheetName val="[입찰안.xls][입찰안.xls]_401"/>
      <sheetName val="[입찰안.xls][입찰안.xls]_403"/>
      <sheetName val="[입찰안.xls][입찰안.xls]_402"/>
      <sheetName val="[입찰안.xls][입찰안.xls]_400"/>
      <sheetName val="[입찰안.xls][입찰안.xls]_393"/>
      <sheetName val="[입찰안.xls][입찰안.xls]_394"/>
      <sheetName val="[입찰안.xls][입찰안.xls]_395"/>
      <sheetName val="[입찰안_xls][입찰안_xls]B_17"/>
      <sheetName val="[입찰안_xls][입찰안_xls]B__5"/>
      <sheetName val="[입찰안_xls][입찰안_xls]B__6"/>
      <sheetName val="[입찰안_xls][입찰안_xls]B__7"/>
      <sheetName val="[입찰안_xls][입찰안_xls]B__8"/>
      <sheetName val="[입찰안_xls][입찰안_xls]B__9"/>
      <sheetName val="[입찰안_xls][입찰안_xls]B_10"/>
      <sheetName val="[입찰안_xls][입찰안_xls]B_23"/>
      <sheetName val="[입찰안_xls][입찰안_xls]B_11"/>
      <sheetName val="[입찰안_xls][입찰안_xls]B_12"/>
      <sheetName val="[입찰안_xls][입찰안_xls]B_13"/>
      <sheetName val="[입찰안_xls][입찰안_xls]B_14"/>
      <sheetName val="[입찰안_xls][입찰안_xls]B_15"/>
      <sheetName val="[입찰안_xls][입찰안_xls]B_16"/>
      <sheetName val="[입찰안_xls][입찰안_xls]B_18"/>
      <sheetName val="[입찰안_xls][입찰안_xls]B_19"/>
      <sheetName val="[입찰안_xls][입찰안_xls]B_20"/>
      <sheetName val="[입찰안_xls][입찰안_xls]B_21"/>
      <sheetName val="[입찰안_xls][입찰안_xls]B_22"/>
      <sheetName val="[입찰안_xls][입찰안_xls]B_24"/>
      <sheetName val="[입찰안_xls][입찰안_xls]B_25"/>
      <sheetName val="[입찰안_xls][입찰안_xls]B_26"/>
      <sheetName val="[입찰안_xls][입찰안_xls]B_27"/>
      <sheetName val="[입찰안_xls][입찰안_xls]B_28"/>
      <sheetName val="[입찰안_xls][입찰안_xls]B_29"/>
      <sheetName val="[입찰안_xls][입찰안_xls]B_30"/>
      <sheetName val="[입찰안_xls][입찰안_xls]B_46"/>
      <sheetName val="[입찰안_xls][입찰안_xls]B_45"/>
      <sheetName val="[입찰안_xls][입찰안_xls]B_44"/>
      <sheetName val="[입찰안_xls][입찰안_xls]B_33"/>
      <sheetName val="[입찰안_xls][입찰안_xls]B_31"/>
      <sheetName val="[입찰안_xls][입찰안_xls]B_32"/>
      <sheetName val="[입찰안_xls][입찰안_xls]B_34"/>
      <sheetName val="[입찰안_xls][입찰안_xls]B_35"/>
      <sheetName val="[입찰안_xls][입찰안_xls]B_36"/>
      <sheetName val="[입찰안_xls][입찰안_xls]B_37"/>
      <sheetName val="[입찰안_xls][입찰안_xls]B_40"/>
      <sheetName val="[입찰안_xls][입찰안_xls]B_38"/>
      <sheetName val="[입찰안_xls][입찰안_xls]B_41"/>
      <sheetName val="[입찰안_xls][입찰안_xls]B_39"/>
      <sheetName val="[입찰안_xls][입찰안_xls]B_42"/>
      <sheetName val="[입찰안_xls][입찰안_xls]B_43"/>
      <sheetName val="[입찰안_xls][입찰안_xls]B_47"/>
      <sheetName val="[입찰안_xls][입찰안_xls]B_48"/>
      <sheetName val="[입찰안_xls][입찰안_xls]B_49"/>
      <sheetName val="[입찰안_xls][입찰안_xls]B_54"/>
      <sheetName val="[입찰안_xls][입찰안_xls]B_53"/>
      <sheetName val="[입찰안_xls][입찰안_xls]B_50"/>
      <sheetName val="[입찰안_xls][입찰안_xls]B_51"/>
      <sheetName val="[입찰안_xls][입찰안_xls]B_52"/>
      <sheetName val="[입찰안_xls][입찰안_xls]B_55"/>
      <sheetName val="[입찰안_xls][입찰안_xls]B_56"/>
      <sheetName val="[입찰안_xls][입찰안_xls]B_57"/>
      <sheetName val="[입찰안_xls][입찰안_xls]B_58"/>
      <sheetName val="[입찰안_xls][입찰안_xls]B_59"/>
      <sheetName val="[입찰안_xls][입찰안_xls]B_60"/>
      <sheetName val="[입찰안_xls][입찰안_xls]B_61"/>
      <sheetName val="[입찰안_xls][입찰안_xls]B_62"/>
      <sheetName val="[입찰안_xls][입찰안_xls]B_63"/>
      <sheetName val="[입찰안_xls][입찰안_xls]___5"/>
      <sheetName val="[입찰안_xls][입찰안_xls]B_64"/>
      <sheetName val="[입찰안_xls][입찰안_xls]_103"/>
      <sheetName val="[입찰안_xls][입찰안_xls]B_68"/>
      <sheetName val="[입찰안_xls][입찰안_xls]B_79"/>
      <sheetName val="[입찰안_xls][입찰안_xls]B_80"/>
      <sheetName val="[입찰안_xls][입찰안_xls]B_66"/>
      <sheetName val="[입찰안_xls][입찰안_xls]B_67"/>
      <sheetName val="[입찰안_xls][입찰안_xls]B_65"/>
      <sheetName val="[입찰안_xls][입찰안_xls]B_69"/>
      <sheetName val="[입찰안_xls][입찰안_xls]B_70"/>
      <sheetName val="[입찰안_xls][입찰안_xls]B_71"/>
      <sheetName val="[입찰안_xls][입찰안_xls]B_73"/>
      <sheetName val="[입찰안_xls][입찰안_xls]B_74"/>
      <sheetName val="[입찰안_xls][입찰안_xls]B_72"/>
      <sheetName val="[입찰안_xls][입찰안_xls]B_75"/>
      <sheetName val="[입찰안_xls][입찰안_xls]B_76"/>
      <sheetName val="[입찰안_xls][입찰안_xls]B_77"/>
      <sheetName val="[입찰안_xls][입찰안_xls]B_78"/>
      <sheetName val="[입찰안_xls][입찰안_xls]B_81"/>
      <sheetName val="[입찰안_xls][입찰안_xls]B_82"/>
      <sheetName val="[입찰안_xls][입찰안_xls]B_83"/>
      <sheetName val="[입찰안_xls][입찰안_xls]B_93"/>
      <sheetName val="[입찰안_xls][입찰안_xls]B_96"/>
      <sheetName val="[입찰안_xls][입찰안_xls]B_86"/>
      <sheetName val="[입찰안_xls][입찰안_xls]B_87"/>
      <sheetName val="[입찰안_xls][입찰안_xls]B_84"/>
      <sheetName val="[입찰안_xls][입찰안_xls]B_85"/>
      <sheetName val="[입찰안_xls][입찰안_xls]B_88"/>
      <sheetName val="[입찰안_xls][입찰안_xls]B_89"/>
      <sheetName val="[입찰안_xls][입찰안_xls]B_90"/>
      <sheetName val="[입찰안_xls][입찰안_xls]B_91"/>
      <sheetName val="[입찰안_xls][입찰안_xls]B_92"/>
      <sheetName val="[입찰안_xls][입찰안_xls]B_94"/>
      <sheetName val="[입찰안_xls][입찰안_xls]B_95"/>
      <sheetName val="[입찰안_xls][입찰안_xls]B_97"/>
      <sheetName val="[입찰안_xls][입찰안_xls]B_98"/>
      <sheetName val="[입찰안_xls][입찰안_xls]B_99"/>
      <sheetName val="[입찰안_xls][입찰안_xls]B100"/>
      <sheetName val="[입찰안_xls][입찰안_xls]B101"/>
      <sheetName val="[입찰안_xls][입찰안_xls]_100"/>
      <sheetName val="[입찰안_xls][입찰안_xls]B102"/>
      <sheetName val="[입찰안_xls][입찰안_xls]_101"/>
      <sheetName val="[입찰안_xls][입찰안_xls]_102"/>
      <sheetName val="[입찰안.xls][입찰안.xls]_398"/>
      <sheetName val="[입찰안.xls][입찰안.xls]_399"/>
      <sheetName val="[입찰안.xls][입찰안.xls]_396"/>
      <sheetName val="[입찰안.xls][입찰안.xls]_397"/>
      <sheetName val="[입찰안.xls][입찰안.xls]_404"/>
      <sheetName val="[입찰안.xls][입찰안.xls]_405"/>
      <sheetName val="[입찰안.xls][입찰안.xls]_409"/>
      <sheetName val="[입찰안.xls][입찰안.xls]_410"/>
      <sheetName val="[입찰안.xls][입찰안.xls]_407"/>
      <sheetName val="[입찰안.xls][입찰안.xls]_408"/>
      <sheetName val="[입찰안.xls][입찰안.xls]_414"/>
      <sheetName val="[입찰안.xls][입찰안.xls]_413"/>
      <sheetName val="[입찰안.xls][입찰안.xls]_412"/>
      <sheetName val="[입찰안.xls][입찰안.xls]_411"/>
      <sheetName val="[입찰안.xls][입찰안.xls]_415"/>
      <sheetName val="[입찰안.xls][입찰안.xls]_438"/>
      <sheetName val="[입찰안.xls][입찰안.xls]_422"/>
      <sheetName val="[입찰안.xls][입찰안.xls]_421"/>
      <sheetName val="[입찰안.xls][입찰안.xls]_416"/>
      <sheetName val="[입찰안.xls][입찰안.xls]_417"/>
      <sheetName val="[입찰안.xls][입찰안.xls]_418"/>
      <sheetName val="[입찰안.xls][입찰안.xls]_419"/>
      <sheetName val="[입찰안.xls][입찰안.xls]_420"/>
      <sheetName val="[입찰안.xls][입찰안.xls]_426"/>
      <sheetName val="[입찰안.xls][입찰안.xls]_423"/>
      <sheetName val="[입찰안.xls][입찰안.xls]_424"/>
      <sheetName val="[입찰안.xls][입찰안.xls]_425"/>
      <sheetName val="[입찰안.xls][입찰안.xls]_428"/>
      <sheetName val="[입찰안.xls][입찰안.xls]_429"/>
      <sheetName val="[입찰안.xls][입찰안.xls]_430"/>
      <sheetName val="[입찰안.xls][입찰안.xls]_427"/>
      <sheetName val="[입찰안.xls][입찰안.xls]_435"/>
      <sheetName val="[입찰안.xls][입찰안.xls]_437"/>
      <sheetName val="[입찰안.xls][입찰안.xls]_431"/>
      <sheetName val="[입찰안.xls][입찰안.xls]_432"/>
      <sheetName val="[입찰안.xls][입찰안.xls]_433"/>
      <sheetName val="[입찰안.xls][입찰안.xls]_434"/>
      <sheetName val="[입찰안.xls][입찰안.xls]_436"/>
      <sheetName val="[입찰안.xls][입찰안.xls]_440"/>
      <sheetName val="[입찰안.xls][입찰안.xls]_441"/>
      <sheetName val="[입찰안.xls][입찰안.xls]_439"/>
      <sheetName val="[입찰안.xls][입찰안.xls]_445"/>
      <sheetName val="[입찰안.xls][입찰안.xls]_450"/>
      <sheetName val="[입찰안.xls][입찰안.xls]_442"/>
      <sheetName val="[입찰안.xls][입찰안.xls]_443"/>
      <sheetName val="[입찰안.xls][입찰안.xls]_444"/>
      <sheetName val="[입찰안.xls][입찰안.xls]_449"/>
      <sheetName val="[입찰안.xls][입찰안.xls]_448"/>
      <sheetName val="[입찰안.xls][입찰안.xls]_446"/>
      <sheetName val="[입찰안.xls][입찰안.xls]_447"/>
      <sheetName val="[입찰안.xls][입찰안.xls]_451"/>
      <sheetName val="[입찰안.xls][입찰안.xls]_452"/>
      <sheetName val="[입찰안.xls][입찰안.xls]_453"/>
      <sheetName val="[입찰안.xls][입찰안.xls]_454"/>
      <sheetName val="[입찰안.xls][입찰안.xls]_455"/>
      <sheetName val="[입찰안.xls][입찰안.xls]_456"/>
      <sheetName val="[입찰안.xls][입찰안.xls]_457"/>
      <sheetName val="[입찰안.xls][입찰안.xls]_458"/>
      <sheetName val="[입찰안.xls][입찰안.xls]_460"/>
      <sheetName val="[입찰안.xls][입찰안.xls]_459"/>
      <sheetName val="[입찰안.xls]_____xls_1242"/>
      <sheetName val="[입찰안.xls]_____xls_1241"/>
      <sheetName val="[입찰안.xls]_____xls_1243"/>
      <sheetName val="[입찰안.xls][입찰안.xls]___7"/>
      <sheetName val="[입찰안.xls][입찰안_xls]___2"/>
      <sheetName val="[입찰안.xls][입찰안.xls]___8"/>
      <sheetName val="[입찰안.xls][입찰안_xls]___3"/>
      <sheetName val="[입찰안.xls][입찰안.xls]_483"/>
      <sheetName val="[입찰안.xls][입찰안.xls]_485"/>
      <sheetName val="[입찰안.xls][입찰안.xls]_462"/>
      <sheetName val="[입찰안.xls][입찰안.xls]_461"/>
      <sheetName val="[입찰안.xls][입찰안.xls]_463"/>
      <sheetName val="[입찰안.xls][입찰안.xls]_464"/>
      <sheetName val="[입찰안.xls][입찰안.xls]_465"/>
      <sheetName val="[입찰안.xls][입찰안.xls]_466"/>
      <sheetName val="[입찰안.xls][입찰안.xls]_467"/>
      <sheetName val="[입찰안.xls][입찰안.xls]_468"/>
      <sheetName val="[입찰안.xls][입찰안.xls]_470"/>
      <sheetName val="[입찰안.xls][입찰안.xls]_469"/>
      <sheetName val="[입찰안.xls][입찰안.xls]_472"/>
      <sheetName val="[입찰안.xls][입찰안.xls]_471"/>
      <sheetName val="[입찰안.xls][입찰안.xls]_476"/>
      <sheetName val="[입찰안.xls][입찰안.xls]_474"/>
      <sheetName val="[입찰안.xls][입찰안.xls]_473"/>
      <sheetName val="[입찰안.xls][입찰안.xls]_475"/>
      <sheetName val="[입찰안.xls][입찰안.xls]_478"/>
      <sheetName val="[입찰안.xls][입찰안.xls]_477"/>
      <sheetName val="[입찰안.xls][입찰안.xls]_480"/>
      <sheetName val="[입찰안.xls][입찰안.xls]_479"/>
      <sheetName val="[입찰안.xls][입찰안.xls]_482"/>
      <sheetName val="[입찰안.xls][입찰안.xls]_481"/>
      <sheetName val="[입찰안.xls][입찰안.xls]_486"/>
      <sheetName val="[입찰안.xls][입찰안.xls]_484"/>
      <sheetName val="[입찰안.xls][입찰안.xls]_496"/>
      <sheetName val="[입찰안.xls][입찰안.xls]_487"/>
      <sheetName val="[입찰안.xls][입찰안.xls]_488"/>
      <sheetName val="[입찰안.xls][입찰안.xls]_527"/>
      <sheetName val="[입찰안.xls][입찰안.xls]_521"/>
      <sheetName val="[입찰안.xls][입찰안.xls]_489"/>
      <sheetName val="[입찰안.xls][입찰안.xls]_490"/>
      <sheetName val="[입찰안.xls][입찰안.xls]_492"/>
      <sheetName val="[입찰안.xls][입찰안.xls]_491"/>
      <sheetName val="[입찰안.xls][입찰안.xls]_495"/>
      <sheetName val="[입찰안.xls][입찰안.xls]_494"/>
      <sheetName val="[입찰안.xls][입찰안.xls]_493"/>
      <sheetName val="[입찰안.xls][입찰안.xls]_512"/>
      <sheetName val="[입찰안.xls][입찰안.xls]_502"/>
      <sheetName val="[입찰안.xls][입찰안.xls]_499"/>
      <sheetName val="[입찰안.xls][입찰안.xls]_497"/>
      <sheetName val="[입찰안.xls][입찰안.xls]_498"/>
      <sheetName val="[입찰안.xls][입찰안.xls]_500"/>
      <sheetName val="[입찰안.xls][입찰안.xls]_501"/>
      <sheetName val="[입찰안.xls][입찰안.xls]_504"/>
      <sheetName val="[입찰안.xls][입찰안.xls]_503"/>
      <sheetName val="[입찰안.xls][입찰안.xls]_505"/>
      <sheetName val="[입찰안.xls][입찰안.xls]_508"/>
      <sheetName val="[입찰안.xls][입찰안.xls]_506"/>
      <sheetName val="[입찰안.xls][입찰안.xls]_507"/>
      <sheetName val="[입찰안.xls][입찰안.xls]_509"/>
      <sheetName val="[입찰안.xls][입찰안.xls]_511"/>
      <sheetName val="[입찰안.xls][입찰안.xls]_510"/>
      <sheetName val="[입찰안.xls][입찰안.xls]_514"/>
      <sheetName val="[입찰안.xls][입찰안.xls]_513"/>
      <sheetName val="[입찰안.xls][입찰안.xls]_515"/>
      <sheetName val="[입찰안.xls][입찰안.xls]_517"/>
      <sheetName val="[입찰안.xls][입찰안.xls]_516"/>
      <sheetName val="[입찰안.xls][입찰안.xls]_518"/>
      <sheetName val="[입찰안.xls][입찰안.xls]_520"/>
      <sheetName val="[입찰안.xls][입찰안.xls]_519"/>
      <sheetName val="[입찰안.xls][입찰안.xls]_526"/>
      <sheetName val="[입찰안.xls][입찰안.xls]_523"/>
      <sheetName val="[입찰안.xls][입찰안.xls]_522"/>
      <sheetName val="[입찰안.xls][입찰안.xls]_524"/>
      <sheetName val="[입찰안.xls][입찰안.xls]_525"/>
      <sheetName val="[입찰안.xls][입찰안.xls]_533"/>
      <sheetName val="[입찰안.xls][입찰안.xls]_529"/>
      <sheetName val="[입찰안.xls][입찰안.xls]_528"/>
      <sheetName val="[입찰안.xls][입찰안.xls]_530"/>
      <sheetName val="[입찰안.xls][입찰안.xls]_531"/>
      <sheetName val="[입찰안.xls][입찰안.xls]_562"/>
      <sheetName val="[입찰안.xls][입찰안.xls]_532"/>
      <sheetName val="[입찰안.xls][입찰안.xls]_574"/>
      <sheetName val="[입찰안.xls][입찰안.xls]_535"/>
      <sheetName val="[입찰안.xls][입찰안.xls]_534"/>
      <sheetName val="[입찰안.xls][입찰안.xls]_536"/>
      <sheetName val="[입찰안.xls][입찰안.xls]_537"/>
      <sheetName val="[입찰안.xls][입찰안.xls]_538"/>
      <sheetName val="[입찰안.xls][입찰안.xls]_539"/>
      <sheetName val="[입찰안.xls][입찰안.xls]_541"/>
      <sheetName val="[입찰안.xls][입찰안.xls]_540"/>
      <sheetName val="[입찰안.xls][입찰안.xls]_542"/>
      <sheetName val="[입찰안.xls][입찰안.xls]_543"/>
      <sheetName val="[입찰안.xls][입찰안.xls]_544"/>
      <sheetName val="[입찰안.xls][입찰안.xls]_546"/>
      <sheetName val="[입찰안.xls][입찰안.xls]_545"/>
      <sheetName val="[입찰안.xls][입찰안.xls]_547"/>
      <sheetName val="[입찰안.xls][입찰안.xls]_548"/>
      <sheetName val="[입찰안.xls][입찰안.xls]_549"/>
      <sheetName val="[입찰안.xls][입찰안.xls]_551"/>
      <sheetName val="[입찰안.xls][입찰안.xls]_550"/>
      <sheetName val="[입찰안.xls][입찰안.xls]_554"/>
      <sheetName val="[입찰안.xls][입찰안.xls]_552"/>
      <sheetName val="[입찰안.xls][입찰안.xls]_553"/>
      <sheetName val="[입찰안.xls][입찰안.xls]_556"/>
      <sheetName val="[입찰안.xls][입찰안.xls]_555"/>
      <sheetName val="[입찰안.xls][입찰안.xls]_559"/>
      <sheetName val="[입찰안.xls][입찰안.xls]_557"/>
      <sheetName val="[입찰안.xls][입찰안.xls]_558"/>
      <sheetName val="[입찰안.xls][입찰안.xls]_561"/>
      <sheetName val="[입찰안.xls][입찰안.xls]_560"/>
      <sheetName val="[입찰안.xls][입찰안.xls]_563"/>
      <sheetName val="[입찰안.xls][입찰안.xls]_564"/>
      <sheetName val="[입찰안.xls][입찰안.xls]_575"/>
      <sheetName val="[입찰안.xls][입찰안.xls]_566"/>
      <sheetName val="[입찰안.xls][입찰안.xls]_565"/>
      <sheetName val="[입찰안.xls][입찰안.xls]_567"/>
      <sheetName val="[입찰안.xls][입찰안.xls]_568"/>
      <sheetName val="[입찰안.xls][입찰안.xls]_569"/>
      <sheetName val="[입찰안.xls][입찰안.xls]_570"/>
      <sheetName val="[입찰안.xls][입찰안.xls]_571"/>
      <sheetName val="[입찰안.xls][입찰안.xls]_572"/>
      <sheetName val="[입찰안.xls][입찰안.xls]_573"/>
      <sheetName val="[입찰안.xls][입찰안.xls]_576"/>
      <sheetName val="[입찰안.xls][입찰안.xls]_585"/>
      <sheetName val="[입찰안.xls][입찰안.xls]_577"/>
      <sheetName val="[입찰안.xls][입찰안.xls]_578"/>
      <sheetName val="[입찰안.xls][입찰안.xls]_579"/>
      <sheetName val="[입찰안.xls][입찰안.xls]_580"/>
      <sheetName val="[입찰안.xls][입찰안.xls]_581"/>
      <sheetName val="[입찰안.xls][입찰안.xls]_582"/>
      <sheetName val="[입찰안.xls][입찰안.xls]_583"/>
      <sheetName val="[입찰안.xls][입찰안.xls]_584"/>
      <sheetName val="[입찰안.xls][입찰안.xls]_589"/>
      <sheetName val="[입찰안.xls][입찰안.xls]_590"/>
      <sheetName val="[입찰안.xls][입찰안.xls]_586"/>
      <sheetName val="[입찰안.xls][입찰안.xls]_587"/>
      <sheetName val="[입찰안.xls][입찰안.xls]_588"/>
      <sheetName val="[입찰안.xls][입찰안.xls]_591"/>
      <sheetName val="[입찰안.xls][입찰안.xls]_597"/>
      <sheetName val="[입찰안.xls][입찰안.xls]_596"/>
      <sheetName val="[입찰안.xls][입찰안.xls]_593"/>
      <sheetName val="[입찰안.xls][입찰안.xls]_592"/>
      <sheetName val="[입찰안.xls][입찰안.xls]_594"/>
      <sheetName val="[입찰안.xls][입찰안.xls]_595"/>
      <sheetName val="[입찰안.xls][입찰안.xls]_614"/>
      <sheetName val="[입찰안.xls][입찰안.xls]_598"/>
      <sheetName val="[입찰안.xls][입찰안.xls]_599"/>
      <sheetName val="[입찰안.xls][입찰안.xls]_600"/>
      <sheetName val="[입찰안.xls][입찰안.xls]_628"/>
      <sheetName val="[입찰안.xls][입찰안.xls]_601"/>
      <sheetName val="[입찰안.xls][입찰안.xls]_602"/>
      <sheetName val="[입찰안.xls][입찰안.xls]_606"/>
      <sheetName val="[입찰안.xls][입찰안.xls]_603"/>
      <sheetName val="[입찰안.xls][입찰안.xls]_604"/>
      <sheetName val="[입찰안.xls][입찰안.xls]_605"/>
      <sheetName val="[입찰안.xls][입찰안.xls]_607"/>
      <sheetName val="[입찰안.xls][입찰안.xls]_608"/>
      <sheetName val="[입찰안.xls][입찰안.xls]_609"/>
      <sheetName val="[입찰안.xls][입찰안.xls]_610"/>
      <sheetName val="[입찰안.xls][입찰안.xls]_613"/>
      <sheetName val="[입찰안.xls][입찰안.xls]_611"/>
      <sheetName val="[입찰안.xls][입찰안.xls]_612"/>
      <sheetName val="[입찰안.xls][입찰안.xls]_615"/>
      <sheetName val="[입찰안.xls][입찰안.xls]_616"/>
      <sheetName val="[입찰안.xls][입찰안.xls]_617"/>
      <sheetName val="[입찰안.xls][입찰안.xls]_618"/>
      <sheetName val="[입찰안.xls][입찰안.xls]_619"/>
      <sheetName val="[입찰안.xls][입찰안.xls]_620"/>
      <sheetName val="[입찰안.xls][입찰안.xls]_621"/>
      <sheetName val="[입찰안.xls][입찰안.xls]_622"/>
      <sheetName val="[입찰안.xls][입찰안.xls]_623"/>
      <sheetName val="[입찰안.xls][입찰안.xls]_624"/>
      <sheetName val="[입찰안.xls][입찰안.xls]_625"/>
      <sheetName val="[입찰안.xls][입찰안.xls]_626"/>
      <sheetName val="[입찰안.xls][입찰안.xls]_627"/>
      <sheetName val="[입찰안.xls][입찰안.xls]_635"/>
      <sheetName val="[입찰안.xls][입찰안.xls]_629"/>
      <sheetName val="[입찰안.xls][입찰안.xls]_630"/>
      <sheetName val="[입찰안.xls][입찰안.xls]_631"/>
      <sheetName val="[입찰안.xls][입찰안.xls]_632"/>
      <sheetName val="[입찰안.xls][입찰안.xls]_633"/>
      <sheetName val="[입찰안.xls][입찰안.xls]_634"/>
      <sheetName val="[입찰안.xls][입찰안.xls]_639"/>
      <sheetName val="[입찰안.xls][입찰안.xls]_636"/>
      <sheetName val="[입찰안.xls][입찰안.xls]_638"/>
      <sheetName val="[입찰안.xls][입찰안.xls]_637"/>
      <sheetName val="[입찰안.xls][입찰안.xls]_640"/>
      <sheetName val="[입찰안.xls][입찰안.xls]_641"/>
      <sheetName val="[입찰안.xls][입찰안.xls]_644"/>
      <sheetName val="[입찰안.xls][입찰안.xls]_642"/>
      <sheetName val="[입찰안.xls][입찰안.xls]_643"/>
      <sheetName val="[입찰안.xls][입찰안.xls]_647"/>
      <sheetName val="[입찰안.xls][입찰안.xls]_645"/>
      <sheetName val="[입찰안.xls][입찰안.xls]_646"/>
      <sheetName val="[입찰안.xls][입찰안.xls]_667"/>
      <sheetName val="[입찰안.xls][입찰안.xls]_651"/>
      <sheetName val="[입찰안.xls][입찰안.xls]_649"/>
      <sheetName val="[입찰안.xls][입찰안.xls]_648"/>
      <sheetName val="[입찰안.xls][입찰안.xls]_650"/>
      <sheetName val="[입찰안.xls][입찰안.xls]_652"/>
      <sheetName val="[입찰안.xls][입찰안.xls]_654"/>
      <sheetName val="[입찰안.xls][입찰안.xls]_653"/>
      <sheetName val="[입찰안.xls][입찰안.xls]_672"/>
      <sheetName val="[입찰안.xls][입찰안.xls]_655"/>
      <sheetName val="[입찰안.xls][입찰안.xls]_656"/>
      <sheetName val="[입찰안.xls][입찰안.xls]_657"/>
      <sheetName val="[입찰안.xls][입찰안.xls]_658"/>
      <sheetName val="[입찰안.xls][입찰안.xls]_660"/>
      <sheetName val="[입찰안.xls][입찰안.xls]_659"/>
      <sheetName val="[입찰안.xls][입찰안.xls]_661"/>
      <sheetName val="[입찰안.xls][입찰안.xls]_662"/>
      <sheetName val="[입찰안.xls][입찰안.xls]_663"/>
      <sheetName val="[입찰안.xls][입찰안.xls]_664"/>
      <sheetName val="[입찰안.xls][입찰안.xls]_666"/>
      <sheetName val="[입찰안.xls][입찰안.xls]_665"/>
      <sheetName val="[입찰안.xls][입찰안.xls]_684"/>
      <sheetName val="[입찰안.xls][입찰안.xls]_668"/>
      <sheetName val="[입찰안.xls][입찰안.xls]_669"/>
      <sheetName val="[입찰안.xls][입찰안.xls]_670"/>
      <sheetName val="[입찰안.xls][입찰안.xls]_671"/>
      <sheetName val="[입찰안.xls][입찰안.xls]_674"/>
      <sheetName val="[입찰안.xls][입찰안.xls]_673"/>
      <sheetName val="[입찰안.xls][입찰안.xls]_675"/>
      <sheetName val="[입찰안.xls][입찰안.xls]_693"/>
      <sheetName val="[입찰안.xls][입찰안.xls]_676"/>
      <sheetName val="[입찰안.xls][입찰안.xls]_678"/>
      <sheetName val="[입찰안.xls][입찰안.xls]_677"/>
      <sheetName val="[입찰안.xls][입찰안.xls]_679"/>
      <sheetName val="[입찰안.xls][입찰안.xls]_680"/>
      <sheetName val="[입찰안.xls][입찰안.xls]_681"/>
      <sheetName val="[입찰안.xls][입찰안.xls]_682"/>
      <sheetName val="[입찰안.xls][입찰안.xls]_683"/>
      <sheetName val="[입찰안.xls][입찰안.xls]_685"/>
      <sheetName val="[입찰안.xls][입찰안.xls]_686"/>
      <sheetName val="[입찰안.xls][입찰안.xls]_687"/>
      <sheetName val="[입찰안.xls][입찰안.xls]_688"/>
      <sheetName val="[입찰안.xls][입찰안.xls]_692"/>
      <sheetName val="[입찰안.xls][입찰안.xls]_689"/>
      <sheetName val="[입찰안.xls][입찰안.xls]_690"/>
      <sheetName val="[입찰안.xls][입찰안.xls]_691"/>
      <sheetName val="[입찰안.xls][입찰안.xls]_699"/>
      <sheetName val="[입찰안.xls][입찰안.xls]_694"/>
      <sheetName val="[입찰안.xls][입찰안.xls]_695"/>
      <sheetName val="[입찰안.xls][입찰안.xls]_698"/>
      <sheetName val="[입찰안.xls][입찰안.xls]_696"/>
      <sheetName val="[입찰안.xls][입찰안.xls]_697"/>
      <sheetName val="[입찰안.xls][입찰안.xls]_718"/>
      <sheetName val="[입찰안.xls][입찰안.xls]_704"/>
      <sheetName val="[입찰안.xls][입찰안.xls]_700"/>
      <sheetName val="[입찰안.xls][입찰안.xls]_701"/>
      <sheetName val="[입찰안.xls][입찰안.xls]_702"/>
      <sheetName val="[입찰안.xls][입찰안.xls]_703"/>
      <sheetName val="[입찰안.xls][입찰안.xls]_705"/>
      <sheetName val="[입찰안.xls][입찰안.xls]_706"/>
      <sheetName val="[입찰안.xls][입찰안.xls]_707"/>
      <sheetName val="[입찰안.xls][입찰안.xls]_708"/>
      <sheetName val="[입찰안.xls][입찰안.xls]_728"/>
      <sheetName val="[입찰안.xls][입찰안.xls]_710"/>
      <sheetName val="[입찰안.xls][입찰안.xls]_709"/>
      <sheetName val="[입찰안.xls][입찰안.xls]_711"/>
      <sheetName val="[입찰안.xls][입찰안.xls]_712"/>
      <sheetName val="[입찰안.xls][입찰안.xls]_713"/>
      <sheetName val="[입찰안.xls][입찰안.xls]_715"/>
      <sheetName val="[입찰안.xls][입찰안.xls]_714"/>
      <sheetName val="[입찰안.xls][입찰안.xls]_716"/>
      <sheetName val="[입찰안.xls][입찰안.xls]_717"/>
      <sheetName val="[입찰안.xls][입찰안.xls]_720"/>
      <sheetName val="[입찰안.xls][입찰안.xls]_719"/>
      <sheetName val="[입찰안.xls][입찰안.xls]_721"/>
      <sheetName val="[입찰안.xls][입찰안.xls]_722"/>
      <sheetName val="[입찰안.xls][입찰안.xls]_723"/>
      <sheetName val="[입찰안.xls][입찰안.xls]_724"/>
      <sheetName val="[입찰안.xls][입찰안.xls]_725"/>
      <sheetName val="[입찰안.xls][입찰안.xls]_726"/>
      <sheetName val="[입찰안.xls][입찰안.xls]_727"/>
      <sheetName val="[입찰안.xls][입찰안.xls]_729"/>
      <sheetName val="[입찰안.xls][입찰안.xls]_730"/>
      <sheetName val="[입찰안.xls][입찰안.xls]_732"/>
      <sheetName val="[입찰안.xls][입찰안.xls]_731"/>
      <sheetName val="[입찰안.xls][입찰안.xls]_746"/>
      <sheetName val="[입찰안.xls][입찰안.xls]_733"/>
      <sheetName val="[입찰안.xls][입찰안.xls]_734"/>
      <sheetName val="[입찰안.xls][입찰안.xls]_735"/>
      <sheetName val="[입찰안.xls][입찰안.xls]_736"/>
      <sheetName val="[입찰안.xls][입찰안.xls]_737"/>
      <sheetName val="[입찰안.xls][입찰안.xls]_738"/>
      <sheetName val="[입찰안.xls][입찰안.xls]_739"/>
      <sheetName val="[입찰안.xls][입찰안.xls]_740"/>
      <sheetName val="[입찰안.xls][입찰안.xls]_741"/>
      <sheetName val="[입찰안.xls][입찰안.xls]_742"/>
      <sheetName val="[입찰안.xls][입찰안.xls]_743"/>
      <sheetName val="[입찰안.xls][입찰안.xls]_744"/>
      <sheetName val="[입찰안.xls][입찰안.xls]_745"/>
      <sheetName val="[입찰안.xls][입찰안.xls]_747"/>
      <sheetName val="[입찰안.xls][입찰안.xls]_752"/>
      <sheetName val="[입찰안.xls][입찰안.xls]_748"/>
      <sheetName val="[입찰안.xls][입찰안.xls]_749"/>
      <sheetName val="[입찰안.xls][입찰안.xls]_750"/>
      <sheetName val="[입찰안.xls][입찰안.xls]_751"/>
      <sheetName val="[입찰안.xls][입찰안.xls]_763"/>
      <sheetName val="[입찰안.xls][입찰안.xls]_754"/>
      <sheetName val="[입찰안.xls][입찰안.xls]_753"/>
      <sheetName val="[입찰안.xls][입찰안.xls]_755"/>
      <sheetName val="[입찰안.xls][입찰안.xls]_756"/>
      <sheetName val="[입찰안.xls][입찰안.xls]_757"/>
      <sheetName val="[입찰안.xls][입찰안.xls]_758"/>
      <sheetName val="[입찰안.xls][입찰안.xls]_761"/>
      <sheetName val="[입찰안.xls][입찰안.xls]_759"/>
      <sheetName val="[입찰안.xls][입찰안.xls]_760"/>
      <sheetName val="[입찰안.xls][입찰안.xls]_762"/>
      <sheetName val="[입찰안.xls][입찰안.xls]_767"/>
      <sheetName val="[입찰안.xls][입찰안.xls]_764"/>
      <sheetName val="[입찰안.xls][입찰안.xls]_765"/>
      <sheetName val="[입찰안.xls][입찰안.xls]_766"/>
      <sheetName val="[입찰안.xls][입찰안.xls]_769"/>
      <sheetName val="[입찰안.xls][입찰안.xls]_768"/>
      <sheetName val="[입찰안.xls][입찰안.xls]_772"/>
      <sheetName val="[입찰안.xls][입찰안.xls]_770"/>
      <sheetName val="[입찰안.xls][입찰안.xls]_771"/>
      <sheetName val="[입찰안.xls][입찰안.xls]_773"/>
      <sheetName val="[입찰안.xls][입찰안.xls]_774"/>
      <sheetName val="[입찰안.xls][입찰안.xls]_783"/>
      <sheetName val="[입찰안.xls][입찰안.xls]_780"/>
      <sheetName val="[입찰안.xls][입찰안.xls]_779"/>
      <sheetName val="[입찰안.xls][입찰안.xls]_775"/>
      <sheetName val="[입찰안.xls][입찰안.xls]_776"/>
      <sheetName val="[입찰안.xls][입찰안.xls]_777"/>
      <sheetName val="[입찰안.xls][입찰안.xls]_778"/>
      <sheetName val="[입찰안.xls][입찰안.xls]_781"/>
      <sheetName val="[입찰안.xls][입찰안.xls]_782"/>
      <sheetName val="[입찰안.xls][입찰안.xls]_788"/>
      <sheetName val="[입찰안.xls][입찰안.xls]_784"/>
      <sheetName val="[입찰안.xls][입찰안.xls]_785"/>
      <sheetName val="[입찰안.xls][입찰안.xls]_786"/>
      <sheetName val="[입찰안.xls][입찰안.xls]_787"/>
      <sheetName val="[입찰안.xls][입찰안.xls]_793"/>
      <sheetName val="[입찰안.xls][입찰안.xls]_790"/>
      <sheetName val="[입찰안.xls][입찰안.xls]_789"/>
      <sheetName val="[입찰안.xls][입찰안.xls]_792"/>
      <sheetName val="[입찰안.xls][입찰안.xls]_791"/>
      <sheetName val="[입찰안.xls][입찰안.xls]_803"/>
      <sheetName val="[입찰안.xls][입찰안.xls]_794"/>
      <sheetName val="[입찰안.xls][입찰안.xls]_795"/>
      <sheetName val="[입찰안.xls][입찰안.xls]_796"/>
      <sheetName val="[입찰안.xls][입찰안.xls]_798"/>
      <sheetName val="[입찰안.xls][입찰안.xls]_797"/>
      <sheetName val="[입찰안.xls][입찰안.xls]_799"/>
      <sheetName val="[입찰안.xls][입찰안.xls]_801"/>
      <sheetName val="[입찰안.xls][입찰안.xls]_800"/>
      <sheetName val="[입찰안.xls][입찰안.xls]_802"/>
      <sheetName val="[입찰안.xls][입찰안.xls]_815"/>
      <sheetName val="[입찰안.xls][입찰안.xls]_807"/>
      <sheetName val="[입찰안.xls][입찰안.xls]_804"/>
      <sheetName val="[입찰안.xls][입찰안.xls]_805"/>
      <sheetName val="[입찰안.xls][입찰안.xls]_806"/>
      <sheetName val="[입찰안.xls][입찰안.xls]_808"/>
      <sheetName val="[입찰안.xls][입찰안.xls]_809"/>
      <sheetName val="[입찰안.xls][입찰안.xls]_810"/>
      <sheetName val="[입찰안.xls][입찰안.xls]_811"/>
      <sheetName val="[입찰안.xls][입찰안.xls]_813"/>
      <sheetName val="[입찰안.xls][입찰안.xls]_812"/>
      <sheetName val="[입찰안.xls][입찰안.xls]_814"/>
      <sheetName val="[입찰안.xls][입찰안.xls]_816"/>
      <sheetName val="[입찰안.xls][입찰안.xls]_827"/>
      <sheetName val="[입찰안.xls][입찰안.xls]_817"/>
      <sheetName val="[입찰안.xls][입찰안.xls]_818"/>
      <sheetName val="[입찰안.xls][입찰안.xls]_820"/>
      <sheetName val="[입찰안.xls][입찰안.xls]_819"/>
      <sheetName val="[입찰안.xls][입찰안.xls]_821"/>
      <sheetName val="[입찰안.xls][입찰안.xls]_822"/>
      <sheetName val="[입찰안.xls][입찰안.xls]_823"/>
      <sheetName val="[입찰안.xls][입찰안.xls]_824"/>
      <sheetName val="[입찰안.xls][입찰안.xls]_825"/>
      <sheetName val="[입찰안.xls][입찰안.xls]_826"/>
      <sheetName val="[입찰안.xls][입찰안.xls]_838"/>
      <sheetName val="[입찰안.xls][입찰안.xls]_828"/>
      <sheetName val="[입찰안.xls][입찰안.xls]_829"/>
      <sheetName val="[입찰안.xls][입찰안.xls]_830"/>
      <sheetName val="[입찰안.xls][입찰안.xls]_831"/>
      <sheetName val="[입찰안.xls][입찰안.xls]_832"/>
      <sheetName val="[입찰안.xls][입찰안.xls]_834"/>
      <sheetName val="[입찰안.xls][입찰안.xls]_833"/>
      <sheetName val="[입찰안.xls][입찰안.xls]_835"/>
      <sheetName val="[입찰안.xls][입찰안.xls]_836"/>
      <sheetName val="[입찰안.xls][입찰안.xls]_837"/>
      <sheetName val="[입찰안.xls][입찰안.xls]_844"/>
      <sheetName val="[입찰안.xls][입찰안.xls]_846"/>
      <sheetName val="[입찰안.xls][입찰안.xls]_839"/>
      <sheetName val="[입찰안.xls][입찰안.xls]_840"/>
      <sheetName val="[입찰안.xls][입찰안.xls]_843"/>
      <sheetName val="[입찰안.xls][입찰안.xls]_841"/>
      <sheetName val="[입찰안.xls][입찰안.xls]_842"/>
      <sheetName val="[입찰안.xls][입찰안.xls]_845"/>
      <sheetName val="[입찰안.xls][입찰안.xls]_860"/>
      <sheetName val="[입찰안.xls][입찰안.xls]_847"/>
      <sheetName val="[입찰안.xls][입찰안.xls]_848"/>
      <sheetName val="[입찰안.xls][입찰안.xls]_850"/>
      <sheetName val="[입찰안.xls][입찰안.xls]_849"/>
      <sheetName val="[입찰안.xls][입찰안.xls]_851"/>
      <sheetName val="[입찰안.xls][입찰안.xls]_852"/>
      <sheetName val="[입찰안.xls][입찰안.xls]_854"/>
      <sheetName val="[입찰안.xls][입찰안.xls]_853"/>
      <sheetName val="[입찰안.xls][입찰안.xls]_855"/>
      <sheetName val="[입찰안.xls][입찰안.xls]_856"/>
      <sheetName val="[입찰안.xls][입찰안.xls]_857"/>
      <sheetName val="[입찰안.xls][입찰안.xls]_859"/>
      <sheetName val="[입찰안.xls][입찰안.xls]_858"/>
      <sheetName val="[입찰안.xls][입찰안.xls]_861"/>
      <sheetName val="[입찰안.xls][입찰안.xls]_886"/>
      <sheetName val="[입찰안.xls][입찰안.xls]_862"/>
      <sheetName val="[입찰안.xls][입찰안.xls]_863"/>
      <sheetName val="[입찰안.xls][입찰안.xls]_864"/>
      <sheetName val="[입찰안.xls][입찰안.xls]_865"/>
      <sheetName val="[입찰안.xls][입찰안.xls]_866"/>
      <sheetName val="[입찰안.xls][입찰안.xls]_867"/>
      <sheetName val="[입찰안.xls][입찰안.xls]_868"/>
      <sheetName val="[입찰안.xls][입찰안.xls]_869"/>
      <sheetName val="[입찰안.xls][입찰안.xls]_870"/>
      <sheetName val="[입찰안.xls][입찰안.xls]_871"/>
      <sheetName val="[입찰안.xls][입찰안.xls]_872"/>
      <sheetName val="[입찰안.xls][입찰안.xls]_873"/>
      <sheetName val="[입찰안.xls][입찰안.xls]_874"/>
      <sheetName val="[입찰안.xls][입찰안.xls]_895"/>
      <sheetName val="[입찰안.xls][입찰안.xls]_894"/>
      <sheetName val="[입찰안.xls][입찰안.xls]_875"/>
      <sheetName val="[입찰안.xls][입찰안.xls]_876"/>
      <sheetName val="[입찰안.xls][입찰안.xls]_877"/>
      <sheetName val="[입찰안.xls][입찰안.xls]_878"/>
      <sheetName val="[입찰안.xls][입찰안.xls]_879"/>
      <sheetName val="[입찰안.xls][입찰안.xls]_880"/>
      <sheetName val="[입찰안.xls][입찰안.xls]_881"/>
      <sheetName val="[입찰안.xls][입찰안.xls]_882"/>
      <sheetName val="[입찰안.xls][입찰안.xls]_883"/>
      <sheetName val="[입찰안.xls][입찰안.xls]_884"/>
      <sheetName val="[입찰안.xls][입찰안.xls]_885"/>
      <sheetName val="[입찰안.xls][입찰안.xls]_887"/>
      <sheetName val="[입찰안.xls][입찰안.xls]_889"/>
      <sheetName val="[입찰안.xls][입찰안.xls]_888"/>
      <sheetName val="[입찰안.xls][입찰안.xls]_890"/>
      <sheetName val="[입찰안.xls][입찰안.xls]_891"/>
      <sheetName val="[입찰안.xls][입찰안.xls]_892"/>
      <sheetName val="[입찰안.xls][입찰안.xls]_893"/>
      <sheetName val="[입찰안.xls][입찰안.xls]_908"/>
      <sheetName val="[입찰안.xls][입찰안.xls]_899"/>
      <sheetName val="[입찰안.xls][입찰안.xls]_896"/>
      <sheetName val="[입찰안.xls][입찰안.xls]_897"/>
      <sheetName val="[입찰안.xls][입찰안.xls]_898"/>
      <sheetName val="[입찰안.xls][입찰안.xls]_959"/>
      <sheetName val="[입찰안.xls][입찰안.xls]_950"/>
      <sheetName val="[입찰안.xls][입찰안.xls]_900"/>
      <sheetName val="[입찰안.xls][입찰안.xls]_902"/>
      <sheetName val="[입찰안.xls][입찰안.xls]_901"/>
      <sheetName val="[입찰안.xls][입찰안.xls]_906"/>
      <sheetName val="[입찰안.xls][입찰안.xls]_905"/>
      <sheetName val="[입찰안.xls][입찰안.xls]_903"/>
      <sheetName val="[입찰안.xls][입찰안.xls]_904"/>
      <sheetName val="[입찰안.xls][입찰안.xls]_907"/>
      <sheetName val="[입찰안.xls][입찰안.xls]_939"/>
      <sheetName val="[입찰안.xls][입찰안.xls]_921"/>
      <sheetName val="[입찰안.xls][입찰안.xls]_912"/>
      <sheetName val="[입찰안.xls][입찰안.xls]_911"/>
      <sheetName val="[입찰안.xls][입찰안.xls]_909"/>
      <sheetName val="[입찰안.xls][입찰안.xls]_910"/>
      <sheetName val="[입찰안.xls][입찰안.xls]_914"/>
      <sheetName val="[입찰안.xls][입찰안.xls]_913"/>
      <sheetName val="[입찰안.xls][입찰안.xls]_915"/>
      <sheetName val="[입찰안.xls][입찰안.xls]_916"/>
      <sheetName val="[입찰안.xls][입찰안.xls]_917"/>
      <sheetName val="[입찰안.xls][입찰안.xls]_918"/>
      <sheetName val="[입찰안.xls][입찰안.xls]_919"/>
      <sheetName val="[입찰안.xls][입찰안.xls]_920"/>
      <sheetName val="[입찰안.xls][입찰안.xls]_922"/>
      <sheetName val="[입찰안.xls][입찰안.xls]_928"/>
      <sheetName val="[입찰안.xls][입찰안.xls]_926"/>
      <sheetName val="[입찰안.xls][입찰안.xls]_924"/>
      <sheetName val="[입찰안.xls][입찰안.xls]_923"/>
      <sheetName val="[입찰안.xls][입찰안.xls]_925"/>
      <sheetName val="[입찰안.xls][입찰안.xls]_927"/>
      <sheetName val="[입찰안.xls][입찰안.xls]_929"/>
      <sheetName val="[입찰안.xls][입찰안.xls]_930"/>
      <sheetName val="[입찰안.xls][입찰안.xls]_933"/>
      <sheetName val="[입찰안.xls][입찰안.xls]_931"/>
      <sheetName val="[입찰안.xls][입찰안.xls]_932"/>
      <sheetName val="[입찰안.xls][입찰안.xls]_934"/>
      <sheetName val="[입찰안.xls][입찰안.xls]_937"/>
      <sheetName val="[입찰안.xls][입찰안.xls]_935"/>
      <sheetName val="[입찰안.xls][입찰안.xls]_936"/>
      <sheetName val="[입찰안.xls][입찰안.xls]_938"/>
      <sheetName val="[입찰안.xls][입찰안.xls]_940"/>
      <sheetName val="[입찰안.xls][입찰안.xls]_941"/>
      <sheetName val="[입찰안.xls][입찰안.xls]_942"/>
      <sheetName val="[입찰안.xls][입찰안.xls]_944"/>
      <sheetName val="[입찰안.xls][입찰안.xls]_943"/>
      <sheetName val="[입찰안.xls][입찰안.xls]_945"/>
      <sheetName val="[입찰안.xls][입찰안.xls]_946"/>
      <sheetName val="[입찰안.xls][입찰안.xls]_947"/>
      <sheetName val="[입찰안.xls][입찰안.xls]_948"/>
      <sheetName val="[입찰안.xls][입찰안.xls]_949"/>
      <sheetName val="[입찰안.xls][입찰안.xls]_954"/>
      <sheetName val="[입찰안.xls][입찰안.xls]_953"/>
      <sheetName val="[입찰안.xls][입찰안.xls]_952"/>
      <sheetName val="[입찰안.xls][입찰안.xls]_951"/>
      <sheetName val="[입찰안.xls][입찰안.xls]_956"/>
      <sheetName val="[입찰안.xls][입찰안.xls]_955"/>
      <sheetName val="[입찰안.xls][입찰안.xls]_957"/>
      <sheetName val="[입찰안.xls][입찰안.xls]_958"/>
      <sheetName val="[입찰안.xls][입찰안.xls]_962"/>
      <sheetName val="[입찰안.xls][입찰안.xls]_969"/>
      <sheetName val="[입찰안.xls][입찰안.xls]_960"/>
      <sheetName val="[입찰안.xls][입찰안.xls]_961"/>
      <sheetName val="[입찰안.xls][입찰안.xls]_963"/>
      <sheetName val="[입찰안.xls][입찰안.xls]_972"/>
      <sheetName val="[입찰안.xls][입찰안.xls]_964"/>
      <sheetName val="[입찰안.xls][입찰안.xls]_965"/>
      <sheetName val="[입찰안.xls][입찰안.xls]_967"/>
      <sheetName val="[입찰안.xls][입찰안.xls]_966"/>
      <sheetName val="[입찰안.xls][입찰안.xls]_968"/>
      <sheetName val="[입찰안.xls][입찰안.xls]_975"/>
      <sheetName val="[입찰안.xls][입찰안.xls]_976"/>
      <sheetName val="[입찰안.xls][입찰안.xls]_970"/>
      <sheetName val="[입찰안.xls][입찰안.xls]_971"/>
      <sheetName val="[입찰안.xls][입찰안.xls]_973"/>
      <sheetName val="[입찰안.xls][입찰안.xls]_974"/>
      <sheetName val="[입찰안.xls][입찰안.xls]_978"/>
      <sheetName val="[입찰안.xls][입찰안.xls]_977"/>
      <sheetName val="[입찰안.xls][입찰안.xls]_980"/>
      <sheetName val="[입찰안.xls][입찰안.xls]_979"/>
      <sheetName val="[입찰안.xls][입찰안.xls]_981"/>
      <sheetName val="[입찰안.xls][입찰안.xls]_982"/>
      <sheetName val="[입찰안.xls][입찰안.xls]_985"/>
      <sheetName val="[입찰안.xls][입찰안.xls]_983"/>
      <sheetName val="[입찰안.xls][입찰안.xls]_984"/>
      <sheetName val="[입찰안.xls]_____xls_1221"/>
      <sheetName val="[입찰안.xls]_____xls_1054"/>
      <sheetName val="[입찰안.xls]_____xls_1056"/>
      <sheetName val="[입찰안.xls]_____xls_1055"/>
      <sheetName val="[입찰안.xls][입찰안.xls]_997"/>
      <sheetName val="[입찰안.xls][입찰안.xls]_986"/>
      <sheetName val="[입찰안.xls][입찰안.xls]_987"/>
      <sheetName val="[입찰안.xls][입찰안.xls]_988"/>
      <sheetName val="[입찰안.xls][입찰안.xls]_989"/>
      <sheetName val="[입찰안.xls]_____xls_1006"/>
      <sheetName val="[입찰안.xls][입찰안.xls]_990"/>
      <sheetName val="[입찰안.xls][입찰안.xls]_991"/>
      <sheetName val="[입찰안.xls][입찰안.xls]_992"/>
      <sheetName val="[입찰안.xls][입찰안.xls]_994"/>
      <sheetName val="[입찰안.xls][입찰안.xls]_993"/>
      <sheetName val="[입찰안.xls][입찰안.xls]_995"/>
      <sheetName val="[입찰안.xls][입찰안.xls]_996"/>
      <sheetName val="[입찰안.xls]_____xls_1001"/>
      <sheetName val="[입찰안.xls][입찰안.xls]_998"/>
      <sheetName val="[입찰안.xls][입찰안.xls]_999"/>
      <sheetName val="[입찰안.xls]_____xls_1000"/>
      <sheetName val="[입찰안.xls]_____xls_1005"/>
      <sheetName val="[입찰안.xls]_____xls_1002"/>
      <sheetName val="[입찰안.xls]_____xls_1003"/>
      <sheetName val="[입찰안.xls]_____xls_1004"/>
      <sheetName val="[입찰안.xls]_____xls_1024"/>
      <sheetName val="[입찰안.xls]_____xls_1007"/>
      <sheetName val="[입찰안.xls]_____xls_1016"/>
      <sheetName val="[입찰안.xls]_____xls_1008"/>
      <sheetName val="[입찰안.xls]_____xls_1019"/>
      <sheetName val="[입찰안.xls]_____xls_1009"/>
      <sheetName val="[입찰안.xls]_____xls_1010"/>
      <sheetName val="[입찰안.xls]_____xls_1015"/>
      <sheetName val="[입찰안.xls]_____xls_1012"/>
      <sheetName val="[입찰안.xls]_____xls_1011"/>
      <sheetName val="[입찰안.xls]_____xls_1014"/>
      <sheetName val="[입찰안.xls]_____xls_1013"/>
      <sheetName val="[입찰안.xls]_____xls_1017"/>
      <sheetName val="[입찰안.xls]_____xls_1018"/>
      <sheetName val="[입찰안.xls]_____xls_1023"/>
      <sheetName val="[입찰안.xls]_____xls_1020"/>
      <sheetName val="[입찰안.xls]_____xls_1021"/>
      <sheetName val="[입찰안.xls]_____xls_1022"/>
      <sheetName val="[입찰안.xls]_____xls_1025"/>
      <sheetName val="[입찰안.xls]_____xls_1031"/>
      <sheetName val="[입찰안.xls]_____xls_1032"/>
      <sheetName val="[입찰안.xls]_____xls_1026"/>
      <sheetName val="[입찰안.xls]_____xls_1028"/>
      <sheetName val="[입찰안.xls]_____xls_1027"/>
      <sheetName val="[입찰안.xls]_____xls_1030"/>
      <sheetName val="[입찰안.xls]_____xls_1029"/>
      <sheetName val="[입찰안.xls]_____xls_1037"/>
      <sheetName val="[입찰안.xls]_____xls_1033"/>
      <sheetName val="[입찰안.xls]_____xls_1036"/>
      <sheetName val="[입찰안.xls]_____xls_1034"/>
      <sheetName val="[입찰안.xls]_____xls_1035"/>
      <sheetName val="[입찰안.xls]_____xls_1049"/>
      <sheetName val="[입찰안.xls]_____xls_1038"/>
      <sheetName val="[입찰안.xls]_____xls_1050"/>
      <sheetName val="[입찰안.xls]_____xls_1039"/>
      <sheetName val="[입찰안.xls]_____xls_1042"/>
      <sheetName val="[입찰안.xls]_____xls_1040"/>
      <sheetName val="[입찰안.xls]_____xls_1041"/>
      <sheetName val="[입찰안.xls]_____xls_1045"/>
      <sheetName val="[입찰안.xls]_____xls_1043"/>
      <sheetName val="[입찰안.xls]_____xls_1044"/>
      <sheetName val="[입찰안.xls]_____xls_1046"/>
      <sheetName val="[입찰안.xls]_____xls_1047"/>
      <sheetName val="[입찰안.xls]_____xls_1048"/>
      <sheetName val="[입찰안.xls]_____xls_1053"/>
      <sheetName val="[입찰안.xls]_____xls_1052"/>
      <sheetName val="[입찰안.xls]_____xls_1051"/>
      <sheetName val="[입찰안.xls]_____xls_1058"/>
      <sheetName val="[입찰안.xls]_____xls_1060"/>
      <sheetName val="[입찰안.xls]_____xls_1059"/>
      <sheetName val="[입찰안.xls]_____xls_1057"/>
      <sheetName val="[입찰안.xls]_____xls_1061"/>
      <sheetName val="[입찰안.xls]_____xls_1216"/>
      <sheetName val="[입찰안.xls]_____xls_1218"/>
      <sheetName val="[입찰안.xls]_____xls_1217"/>
      <sheetName val="[입찰안.xls]_____xls_1063"/>
      <sheetName val="[입찰안.xls]_____xls_1062"/>
      <sheetName val="[입찰안.xls]_____xls_1066"/>
      <sheetName val="[입찰안.xls]_____xls_1064"/>
      <sheetName val="[입찰안.xls]_____xls_1065"/>
      <sheetName val="[입찰안.xls]_____xls_1068"/>
      <sheetName val="[입찰안.xls]_____xls_1094"/>
      <sheetName val="[입찰안.xls]_____xls_1067"/>
      <sheetName val="[입찰안.xls]_____xls_1069"/>
      <sheetName val="[입찰안.xls]_____xls_1072"/>
      <sheetName val="[입찰안.xls]_____xls_1071"/>
      <sheetName val="[입찰안.xls]_____xls_1070"/>
      <sheetName val="[입찰안.xls]_____xls_1074"/>
      <sheetName val="[입찰안.xls]_____xls_1073"/>
      <sheetName val="[입찰안.xls]_____xls_1075"/>
      <sheetName val="[입찰안.xls]_____xls_1076"/>
      <sheetName val="[입찰안.xls]_____xls_1079"/>
      <sheetName val="[입찰안.xls]_____xls_1078"/>
      <sheetName val="[입찰안.xls]_____xls_1077"/>
      <sheetName val="[입찰안.xls]_____xls_1080"/>
      <sheetName val="[입찰안.xls]_____xls_1081"/>
      <sheetName val="[입찰안.xls]_____xls_1083"/>
      <sheetName val="[입찰안.xls]_____xls_1082"/>
      <sheetName val="[입찰안.xls]_____xls_1086"/>
      <sheetName val="[입찰안.xls]_____xls_1084"/>
      <sheetName val="[입찰안.xls]_____xls_1085"/>
      <sheetName val="[입찰안.xls]_____xls_1088"/>
      <sheetName val="[입찰안.xls]_____xls_1089"/>
      <sheetName val="[입찰안.xls]_____xls_1087"/>
      <sheetName val="[입찰안.xls]_____xls_1095"/>
      <sheetName val="[입찰안.xls]_____xls_1090"/>
      <sheetName val="[입찰안.xls]_____xls_1091"/>
      <sheetName val="[입찰안.xls]_____xls_1092"/>
      <sheetName val="[입찰안.xls]_____xls_1093"/>
      <sheetName val="[입찰안.xls]_____xls_1115"/>
      <sheetName val="[입찰안.xls]_____xls_1096"/>
      <sheetName val="[입찰안.xls]_____xls_1097"/>
      <sheetName val="[입찰안.xls]_____xls_1098"/>
      <sheetName val="[입찰안.xls]_____xls_1099"/>
      <sheetName val="[입찰안.xls]_____xls_1100"/>
      <sheetName val="[입찰안.xls]_____xls_1101"/>
      <sheetName val="[입찰안.xls]_____xls_1102"/>
      <sheetName val="[입찰안.xls]_____xls_1103"/>
      <sheetName val="[입찰안.xls]_____xls_1104"/>
      <sheetName val="[입찰안.xls]_____xls_1105"/>
      <sheetName val="[입찰안.xls]_____xls_1106"/>
      <sheetName val="[입찰안.xls]_____xls_1107"/>
      <sheetName val="[입찰안.xls]_____xls_1112"/>
      <sheetName val="[입찰안.xls]_____xls_1108"/>
      <sheetName val="[입찰안.xls]_____xls_1110"/>
      <sheetName val="[입찰안.xls]_____xls_1109"/>
      <sheetName val="[입찰안.xls]_____xls_1111"/>
      <sheetName val="[입찰안.xls]_____xls_1113"/>
      <sheetName val="[입찰안.xls]_____xls_1114"/>
      <sheetName val="[입찰안.xls]_____xls_1147"/>
      <sheetName val="[입찰안.xls]_____xls_1135"/>
      <sheetName val="[입찰안.xls]_____xls_1130"/>
      <sheetName val="[입찰안.xls]_____xls_1118"/>
      <sheetName val="[입찰안.xls]_____xls_1116"/>
      <sheetName val="[입찰안.xls]_____xls_1117"/>
      <sheetName val="[입찰안.xls]_____xls_1119"/>
      <sheetName val="[입찰안.xls]_____xls_1120"/>
      <sheetName val="[입찰안.xls]_____xls_1121"/>
      <sheetName val="[입찰안.xls]_____xls_1122"/>
      <sheetName val="[입찰안.xls]_____xls_1123"/>
      <sheetName val="[입찰안.xls]_____xls_1124"/>
      <sheetName val="[입찰안.xls]_____xls_1125"/>
      <sheetName val="[입찰안.xls]_____xls_1126"/>
      <sheetName val="[입찰안.xls]_____xls_1127"/>
      <sheetName val="[입찰안.xls]_____xls_1128"/>
      <sheetName val="[입찰안.xls]_____xls_1129"/>
      <sheetName val="[입찰안.xls]_____xls_1131"/>
      <sheetName val="[입찰안.xls]_____xls_1132"/>
      <sheetName val="[입찰안.xls]_____xls_1134"/>
      <sheetName val="[입찰안.xls]_____xls_1133"/>
      <sheetName val="[입찰안.xls]_____xls_1146"/>
      <sheetName val="[입찰안.xls]_____xls_1140"/>
      <sheetName val="[입찰안.xls]_____xls_1136"/>
      <sheetName val="[입찰안.xls]_____xls_1137"/>
      <sheetName val="[입찰안.xls]_____xls_1138"/>
      <sheetName val="[입찰안.xls]_____xls_1139"/>
      <sheetName val="[입찰안.xls]_____xls_1141"/>
      <sheetName val="[입찰안.xls]_____xls_1142"/>
      <sheetName val="[입찰안.xls]_____xls_1143"/>
      <sheetName val="[입찰안.xls]_____xls_1144"/>
      <sheetName val="[입찰안.xls]_____xls_1145"/>
      <sheetName val="[입찰안.xls]_____xls_1166"/>
      <sheetName val="[입찰안.xls]_____xls_1149"/>
      <sheetName val="[입찰안.xls]_____xls_1148"/>
      <sheetName val="[입찰안.xls]_____xls_1154"/>
      <sheetName val="[입찰안.xls]_____xls_1150"/>
      <sheetName val="[입찰안.xls]_____xls_1152"/>
      <sheetName val="[입찰안.xls]_____xls_1151"/>
      <sheetName val="[입찰안.xls]_____xls_1153"/>
      <sheetName val="[입찰안.xls]_____xls_1155"/>
      <sheetName val="[입찰안.xls]_____xls_1156"/>
      <sheetName val="[입찰안.xls]_____xls_1157"/>
      <sheetName val="[입찰안.xls]_____xls_1158"/>
      <sheetName val="[입찰안.xls]_____xls_1159"/>
      <sheetName val="[입찰안.xls]_____xls_1162"/>
      <sheetName val="[입찰안.xls]_____xls_1160"/>
      <sheetName val="[입찰안.xls]_____xls_1161"/>
      <sheetName val="[입찰안.xls]_____xls_1165"/>
      <sheetName val="[입찰안.xls]_____xls_1163"/>
      <sheetName val="[입찰안.xls]_____xls_1164"/>
      <sheetName val="[입찰안.xls]_____xls_1184"/>
      <sheetName val="[입찰안.xls]_____xls_1168"/>
      <sheetName val="[입찰안.xls]_____xls_1167"/>
      <sheetName val="[입찰안.xls]_____xls_1169"/>
      <sheetName val="[입찰안.xls]_____xls_1170"/>
      <sheetName val="[입찰안.xls]_____xls_1171"/>
      <sheetName val="[입찰안.xls]_____xls_1176"/>
      <sheetName val="[입찰안.xls]_____xls_1172"/>
      <sheetName val="[입찰안.xls]_____xls_1173"/>
      <sheetName val="[입찰안.xls]_____xls_1174"/>
      <sheetName val="[입찰안.xls]_____xls_1175"/>
      <sheetName val="[입찰안.xls]_____xls_1177"/>
      <sheetName val="[입찰안.xls]_____xls_1179"/>
      <sheetName val="[입찰안.xls]_____xls_1178"/>
      <sheetName val="[입찰안.xls]_____xls_1191"/>
      <sheetName val="[입찰안.xls]_____xls_1182"/>
      <sheetName val="[입찰안.xls]_____xls_1180"/>
      <sheetName val="[입찰안.xls]_____xls_1181"/>
      <sheetName val="[입찰안.xls]_____xls_1183"/>
      <sheetName val="[입찰안.xls]_____xls_1185"/>
      <sheetName val="[입찰안.xls]_____xls_1186"/>
      <sheetName val="[입찰안.xls]_____xls_1187"/>
      <sheetName val="[입찰안.xls]_____xls_1190"/>
      <sheetName val="[입찰안.xls]_____xls_1188"/>
      <sheetName val="[입찰안.xls]_____xls_1189"/>
      <sheetName val="[입찰안.xls]_____xls_1195"/>
      <sheetName val="[입찰안.xls]_____xls_1194"/>
      <sheetName val="[입찰안.xls]_____xls_1192"/>
      <sheetName val="[입찰안.xls]_____xls_1193"/>
      <sheetName val="[입찰안.xls]_____xls_1196"/>
      <sheetName val="[입찰안.xls]_____xls_1200"/>
      <sheetName val="[입찰안.xls]_____xls_1199"/>
      <sheetName val="[입찰안.xls]_____xls_1197"/>
      <sheetName val="[입찰안.xls]_____xls_1198"/>
      <sheetName val="[입찰안.xls]_____xls_1206"/>
      <sheetName val="[입찰안.xls]_____xls_1203"/>
      <sheetName val="[입찰안.xls]_____xls_1201"/>
      <sheetName val="[입찰안.xls]_____xls_1202"/>
      <sheetName val="[입찰안.xls]_____xls_1204"/>
      <sheetName val="[입찰안.xls]_____xls_1205"/>
      <sheetName val="[입찰안.xls]_____xls_1214"/>
      <sheetName val="[입찰안.xls]_____xls_1209"/>
      <sheetName val="[입찰안.xls]_____xls_1207"/>
      <sheetName val="[입찰안.xls]_____xls_1208"/>
      <sheetName val="[입찰안.xls]_____xls_1210"/>
      <sheetName val="[입찰안.xls]_____xls_1211"/>
      <sheetName val="[입찰안.xls]_____xls_1212"/>
      <sheetName val="[입찰안.xls]_____xls_1213"/>
      <sheetName val="[입찰안.xls]_____xls_1215"/>
      <sheetName val="[입찰안.xls]_____xls_1219"/>
      <sheetName val="[입찰안.xls]_____xls_1220"/>
      <sheetName val="[입찰안.xls]_____xls_1222"/>
      <sheetName val="[입찰안.xls]_____xls_1223"/>
      <sheetName val="[입찰안.xls]_____xls_1225"/>
      <sheetName val="[입찰안.xls]_____xls_1224"/>
      <sheetName val="[입찰안.xls]_____xls_1226"/>
      <sheetName val="[입찰안.xls]_____xls_1228"/>
      <sheetName val="[입찰안.xls]_____xls_1227"/>
      <sheetName val="[입찰안.xls]_____xls_1229"/>
      <sheetName val="[입찰안.xls]_____xls_1232"/>
      <sheetName val="[입찰안.xls]_____xls_1230"/>
      <sheetName val="[입찰안.xls]_____xls_1231"/>
      <sheetName val="[입찰안.xls]_____xls_1238"/>
      <sheetName val="[입찰안.xls]_____xls_1239"/>
      <sheetName val="[입찰안.xls]_____xls_1240"/>
      <sheetName val="[입찰안.xls]_____xls_1237"/>
      <sheetName val="[입찰안.xls]_____xls_1233"/>
      <sheetName val="[입찰안.xls]_____xls_1234"/>
      <sheetName val="[입찰안.xls]_____xls_1235"/>
      <sheetName val="[입찰안.xls]_____xls_1236"/>
      <sheetName val="[입찰안.xls]_____xls_1244"/>
      <sheetName val="[입찰안.xls]_____xls_1245"/>
      <sheetName val="[입찰안.xls]_____xls_1246"/>
      <sheetName val="[입찰안.xls]_____xls_1247"/>
      <sheetName val="[입찰안.xls]_____xls_1256"/>
      <sheetName val="[입찰안.xls]_____xls_1257"/>
      <sheetName val="[입찰안.xls]_____xls_1260"/>
      <sheetName val="[입찰안.xls]_____xls_1248"/>
      <sheetName val="[입찰안.xls]_____xls_1252"/>
      <sheetName val="[입찰안.xls]_____xls_1253"/>
      <sheetName val="[입찰안.xls]_____xls_1249"/>
      <sheetName val="[입찰안.xls]_____xls_1250"/>
      <sheetName val="[입찰안.xls]_____xls_1251"/>
      <sheetName val="[입찰안.xls]_____xls_1255"/>
      <sheetName val="[입찰안.xls]_____xls_1254"/>
      <sheetName val="[입찰안.xls]_____xls_1258"/>
      <sheetName val="[입찰안.xls]_____xls_1259"/>
      <sheetName val="품셈표"/>
      <sheetName val="제잡비계산"/>
      <sheetName val="장비명"/>
      <sheetName val="plan&amp;section_of_foundatio_x0000_"/>
      <sheetName val="최적단면"/>
      <sheetName val="[입찰안.xls][입찰안.xls]_____xls_2664"/>
      <sheetName val="[입찰안.xls][입찰안.xls]__찰안_xls_1007"/>
      <sheetName val="[입찰안.xls][입찰안.xls]__찰안_xls_1009"/>
      <sheetName val="[입찰안.xls][입찰안.xls]__찰안_xls_1008"/>
      <sheetName val="[입찰안.xls][입찰안.xls]__찰안_xls_1010"/>
      <sheetName val="[입찰안.xls][입찰안.xls]__찰안_xls_1014"/>
      <sheetName val="[입찰안.xls][입찰안.xls]__찰안_xls_1011"/>
      <sheetName val="[입찰안.xls][입찰안.xls]__찰안_xls_1012"/>
      <sheetName val="[입찰안.xls][입찰안.xls]__찰안_xls_1015"/>
      <sheetName val="[입찰안.xls][입찰안.xls]__찰안_xls_1016"/>
      <sheetName val="[입찰안.xls][입찰안.xls]__찰안_xls_1013"/>
      <sheetName val="[입찰안.xls][입찰안.xls]__찰안_xls_1017"/>
      <sheetName val="직원유류수불현황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내역서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[입찰안.xls][입찰안.xls]_입___xls_1006"/>
      <sheetName val="[입찰안.xls][입찰안.xls]_입___xls_1005"/>
      <sheetName val="plan&amp;section_of_fo뮽◽"/>
      <sheetName val="plan&amp;section_of_fo_xd8e4_꼉"/>
      <sheetName val="[입찰안.xls][입찰안.xls]_입찰__xls_1003"/>
      <sheetName val="[입찰안.xls][입찰안.xls]_입찰__xls_1002"/>
      <sheetName val="3련_B飇嶑"/>
      <sheetName val="6월_출고_일일보고"/>
      <sheetName val="[입찰안_xls]___21"/>
      <sheetName val="[입찰안_xls]___31"/>
      <sheetName val="[입찰안_xls]B__21"/>
      <sheetName val="[입찰안_xls]B__31"/>
      <sheetName val="[입찰안_xls][입찰안_xls]_____xls_1222"/>
      <sheetName val="[입찰안_xls][입찰안_xls]_____xls_1225"/>
      <sheetName val="[입찰안_xls][입찰안_xls]_____xls_1223"/>
      <sheetName val="[입찰안_xls][입찰안_xls]_____xls_1221"/>
      <sheetName val="[입찰안_xls][입찰안_xls]_____xls_1054"/>
      <sheetName val="[입찰안_xls][입찰안_xls]_____xls_1056"/>
      <sheetName val="[입찰안_xls][입찰안_xls]_____xls_1055"/>
      <sheetName val="[입찰안_xls][입찰안_xls]_____xls_1006"/>
      <sheetName val="[입찰안_xls][입찰안_xls]_____xls_1001"/>
      <sheetName val="[입찰안_xls][입찰안_xls]_____xls_1000"/>
      <sheetName val="[입찰안_xls][입찰안_xls]_____xls_1005"/>
      <sheetName val="[입찰안_xls][입찰안_xls]_____xls_1002"/>
      <sheetName val="[입찰안_xls][입찰안_xls]_____xls_1003"/>
      <sheetName val="[입찰안_xls][입찰안_xls]_____xls_1004"/>
      <sheetName val="[입찰안_xls][입찰안_xls]_____xls_1024"/>
      <sheetName val="[입찰안_xls][입찰안_xls]_____xls_1007"/>
      <sheetName val="[입찰안_xls][입찰안_xls]_____xls_1016"/>
      <sheetName val="[입찰안_xls][입찰안_xls]_____xls_1008"/>
      <sheetName val="[입찰안_xls][입찰안_xls]_____xls_1019"/>
      <sheetName val="[입찰안_xls][입찰안_xls]_____xls_1009"/>
      <sheetName val="[입찰안_xls][입찰안_xls]_____xls_1010"/>
      <sheetName val="[입찰안_xls][입찰안_xls]_____xls_1015"/>
      <sheetName val="[입찰안_xls][입찰안_xls]_____xls_1012"/>
      <sheetName val="[입찰안_xls][입찰안_xls]_____xls_1011"/>
      <sheetName val="[입찰안_xls][입찰안_xls]_____xls_1014"/>
      <sheetName val="[입찰안_xls][입찰안_xls]_____xls_1013"/>
      <sheetName val="[입찰안_xls][입찰안_xls]_____xls_1017"/>
      <sheetName val="[입찰안_xls][입찰안_xls]_____xls_1018"/>
      <sheetName val="[입찰안_xls][입찰안_xls]_____xls_1023"/>
      <sheetName val="[입찰안_xls][입찰안_xls]_____xls_1020"/>
      <sheetName val="[입찰안_xls][입찰안_xls]_____xls_1021"/>
      <sheetName val="[입찰안_xls][입찰안_xls]_____xls_1022"/>
      <sheetName val="[입찰안_xls][입찰안_xls]_____xls_1025"/>
      <sheetName val="[입찰안_xls][입찰안_xls]_____xls_1031"/>
      <sheetName val="[입찰안_xls][입찰안_xls]_____xls_1032"/>
      <sheetName val="[입찰안_xls][입찰안_xls]_____xls_1026"/>
      <sheetName val="[입찰안_xls][입찰안_xls]_____xls_1028"/>
      <sheetName val="[입찰안_xls][입찰안_xls]_____xls_1027"/>
      <sheetName val="[입찰안_xls][입찰안_xls]_____xls_1030"/>
      <sheetName val="[입찰안_xls][입찰안_xls]_____xls_1029"/>
      <sheetName val="[입찰안_xls][입찰안_xls]_____xls_1037"/>
      <sheetName val="[입찰안_xls][입찰안_xls]_____xls_1033"/>
      <sheetName val="[입찰안_xls][입찰안_xls]_____xls_1036"/>
      <sheetName val="[입찰안_xls][입찰안_xls]_____xls_1034"/>
      <sheetName val="[입찰안_xls][입찰안_xls]_____xls_1035"/>
      <sheetName val="[입찰안_xls][입찰안_xls]_____xls_1049"/>
      <sheetName val="[입찰안_xls][입찰안_xls]_____xls_1038"/>
      <sheetName val="[입찰안_xls][입찰안_xls]_____xls_1050"/>
      <sheetName val="[입찰안_xls][입찰안_xls]_____xls_1039"/>
      <sheetName val="[입찰안_xls][입찰안_xls]_____xls_1042"/>
      <sheetName val="[입찰안_xls][입찰안_xls]_____xls_1040"/>
      <sheetName val="[입찰안_xls][입찰안_xls]_____xls_1041"/>
      <sheetName val="[입찰안_xls][입찰안_xls]_____xls_1045"/>
      <sheetName val="[입찰안_xls][입찰안_xls]_____xls_1043"/>
      <sheetName val="[입찰안_xls][입찰안_xls]_____xls_1044"/>
      <sheetName val="[입찰안_xls][입찰안_xls]_____xls_1046"/>
      <sheetName val="[입찰안_xls][입찰안_xls]_____xls_1047"/>
      <sheetName val="[입찰안_xls][입찰안_xls]_____xls_1048"/>
      <sheetName val="[입찰안_xls][입찰안_xls]_____xls_1053"/>
      <sheetName val="[입찰안_xls][입찰안_xls]_____xls_1052"/>
      <sheetName val="[입찰안_xls][입찰안_xls]_____xls_1051"/>
      <sheetName val="[입찰안_xls][입찰안_xls]_____xls_1058"/>
      <sheetName val="[입찰안_xls][입찰안_xls]_____xls_1060"/>
      <sheetName val="[입찰안_xls][입찰안_xls]_____xls_1059"/>
      <sheetName val="[입찰안_xls][입찰안_xls]_____xls_1057"/>
      <sheetName val="[입찰안_xls][입찰안_xls]_____xls_1061"/>
      <sheetName val="[입찰안_xls][입찰안_xls]_____xls_1216"/>
      <sheetName val="[입찰안_xls][입찰안_xls]_____xls_1218"/>
      <sheetName val="[입찰안_xls][입찰안_xls]_____xls_1217"/>
      <sheetName val="[입찰안_xls][입찰안_xls]_____xls_1063"/>
      <sheetName val="[입찰안_xls][입찰안_xls]_____xls_1062"/>
      <sheetName val="[입찰안_xls][입찰안_xls]_____xls_1066"/>
      <sheetName val="[입찰안_xls][입찰안_xls]_____xls_1064"/>
      <sheetName val="[입찰안_xls][입찰안_xls]_____xls_1065"/>
      <sheetName val="[입찰안_xls][입찰안_xls]_____xls_1068"/>
      <sheetName val="[입찰안_xls][입찰안_xls]_____xls_1094"/>
      <sheetName val="[입찰안_xls][입찰안_xls]_____xls_1067"/>
      <sheetName val="[입찰안_xls][입찰안_xls]_____xls_1069"/>
      <sheetName val="[입찰안_xls][입찰안_xls]_____xls_1072"/>
      <sheetName val="[입찰안_xls][입찰안_xls]_____xls_1071"/>
      <sheetName val="[입찰안_xls][입찰안_xls]_____xls_1070"/>
      <sheetName val="[입찰안_xls][입찰안_xls]_____xls_1074"/>
      <sheetName val="[입찰안_xls][입찰안_xls]_____xls_1073"/>
      <sheetName val="[입찰안_xls][입찰안_xls]_____xls_1075"/>
      <sheetName val="[입찰안_xls][입찰안_xls]_____xls_1076"/>
      <sheetName val="[입찰안_xls][입찰안_xls]_____xls_1079"/>
      <sheetName val="[입찰안_xls][입찰안_xls]_____xls_1078"/>
      <sheetName val="[입찰안_xls][입찰안_xls]_____xls_1077"/>
      <sheetName val="[입찰안_xls][입찰안_xls]_____xls_1080"/>
      <sheetName val="[입찰안_xls][입찰안_xls]_____xls_1081"/>
      <sheetName val="[입찰안_xls][입찰안_xls]_____xls_1083"/>
      <sheetName val="[입찰안_xls][입찰안_xls]_____xls_1082"/>
      <sheetName val="[입찰안_xls][입찰안_xls]_____xls_1086"/>
      <sheetName val="[입찰안_xls][입찰안_xls]_____xls_1084"/>
      <sheetName val="[입찰안_xls][입찰안_xls]_____xls_1085"/>
      <sheetName val="[입찰안_xls][입찰안_xls]_____xls_1088"/>
      <sheetName val="[입찰안_xls][입찰안_xls]_____xls_1089"/>
      <sheetName val="[입찰안_xls][입찰안_xls]_____xls_1087"/>
      <sheetName val="[입찰안_xls][입찰안_xls]_____xls_1095"/>
      <sheetName val="[입찰안_xls][입찰안_xls]_____xls_1090"/>
      <sheetName val="[입찰안_xls][입찰안_xls]_____xls_1091"/>
      <sheetName val="[입찰안_xls][입찰안_xls]_____xls_1092"/>
      <sheetName val="[입찰안_xls][입찰안_xls]_____xls_1093"/>
      <sheetName val="[입찰안_xls][입찰안_xls]_____xls_1115"/>
      <sheetName val="[입찰안_xls][입찰안_xls]_____xls_1096"/>
      <sheetName val="[입찰안_xls][입찰안_xls]_____xls_1097"/>
      <sheetName val="[입찰안_xls][입찰안_xls]_____xls_1098"/>
      <sheetName val="[입찰안_xls][입찰안_xls]_____xls_1099"/>
      <sheetName val="[입찰안_xls][입찰안_xls]_____xls_1100"/>
      <sheetName val="[입찰안_xls][입찰안_xls]_____xls_1101"/>
      <sheetName val="[입찰안_xls][입찰안_xls]_____xls_1102"/>
      <sheetName val="[입찰안_xls][입찰안_xls]_____xls_1103"/>
      <sheetName val="[입찰안_xls][입찰안_xls]_____xls_1104"/>
      <sheetName val="[입찰안_xls][입찰안_xls]_____xls_1105"/>
      <sheetName val="[입찰안_xls][입찰안_xls]_____xls_1106"/>
      <sheetName val="[입찰안_xls][입찰안_xls]_____xls_1107"/>
      <sheetName val="[입찰안_xls][입찰안_xls]_____xls_1112"/>
      <sheetName val="[입찰안_xls][입찰안_xls]_____xls_1108"/>
      <sheetName val="[입찰안_xls][입찰안_xls]_____xls_1110"/>
      <sheetName val="[입찰안_xls][입찰안_xls]_____xls_1109"/>
      <sheetName val="[입찰안_xls][입찰안_xls]_____xls_1111"/>
      <sheetName val="[입찰안_xls][입찰안_xls]_____xls_1113"/>
      <sheetName val="[입찰안_xls][입찰안_xls]_____xls_1114"/>
      <sheetName val="[입찰안_xls][입찰안_xls]_____xls_1147"/>
      <sheetName val="[입찰안_xls][입찰안_xls]_____xls_1135"/>
      <sheetName val="[입찰안_xls][입찰안_xls]_____xls_1130"/>
      <sheetName val="[입찰안_xls][입찰안_xls]_____xls_1118"/>
      <sheetName val="[입찰안_xls][입찰안_xls]_____xls_1116"/>
      <sheetName val="[입찰안_xls][입찰안_xls]_____xls_1117"/>
      <sheetName val="[입찰안_xls][입찰안_xls]_____xls_1119"/>
      <sheetName val="[입찰안_xls][입찰안_xls]_____xls_1120"/>
      <sheetName val="[입찰안_xls][입찰안_xls]_____xls_1121"/>
      <sheetName val="[입찰안_xls][입찰안_xls]_____xls_1122"/>
      <sheetName val="[입찰안_xls][입찰안_xls]_____xls_1123"/>
      <sheetName val="[입찰안_xls][입찰안_xls]_____xls_1124"/>
      <sheetName val="[입찰안_xls][입찰안_xls]_____xls_1125"/>
      <sheetName val="[입찰안_xls][입찰안_xls]_____xls_1126"/>
      <sheetName val="[입찰안_xls][입찰안_xls]_____xls_1127"/>
      <sheetName val="[입찰안_xls][입찰안_xls]_____xls_1128"/>
      <sheetName val="[입찰안_xls][입찰안_xls]_____xls_1129"/>
      <sheetName val="[입찰안_xls][입찰안_xls]_____xls_1131"/>
      <sheetName val="[입찰안_xls][입찰안_xls]_____xls_1132"/>
      <sheetName val="[입찰안_xls][입찰안_xls]_____xls_1134"/>
      <sheetName val="[입찰안_xls][입찰안_xls]_____xls_1133"/>
      <sheetName val="[입찰안_xls][입찰안_xls]_____xls_1146"/>
      <sheetName val="[입찰안_xls][입찰안_xls]_____xls_1140"/>
      <sheetName val="[입찰안_xls][입찰안_xls]_____xls_1136"/>
      <sheetName val="[입찰안_xls][입찰안_xls]_____xls_1137"/>
      <sheetName val="[입찰안_xls][입찰안_xls]_____xls_1138"/>
      <sheetName val="[입찰안_xls][입찰안_xls]_____xls_1139"/>
      <sheetName val="[입찰안_xls][입찰안_xls]_____xls_1141"/>
      <sheetName val="[입찰안_xls][입찰안_xls]_____xls_1142"/>
      <sheetName val="[입찰안_xls][입찰안_xls]_____xls_1143"/>
      <sheetName val="[입찰안_xls][입찰안_xls]_____xls_1144"/>
      <sheetName val="[입찰안_xls][입찰안_xls]_____xls_1145"/>
      <sheetName val="[입찰안_xls][입찰안_xls]_____xls_1166"/>
      <sheetName val="[입찰안_xls][입찰안_xls]_____xls_1149"/>
      <sheetName val="[입찰안_xls][입찰안_xls]_____xls_1148"/>
      <sheetName val="[입찰안_xls][입찰안_xls]_____xls_1154"/>
      <sheetName val="[입찰안_xls][입찰안_xls]_____xls_1150"/>
      <sheetName val="[입찰안_xls][입찰안_xls]_____xls_1152"/>
      <sheetName val="[입찰안_xls][입찰안_xls]_____xls_1151"/>
      <sheetName val="[입찰안_xls][입찰안_xls]_____xls_1153"/>
      <sheetName val="[입찰안_xls][입찰안_xls]_____xls_1155"/>
      <sheetName val="[입찰안_xls][입찰안_xls]_____xls_1156"/>
      <sheetName val="[입찰안_xls][입찰안_xls]_____xls_1157"/>
      <sheetName val="[입찰안_xls][입찰안_xls]_____xls_1158"/>
      <sheetName val="[입찰안_xls][입찰안_xls]_____xls_1159"/>
      <sheetName val="[입찰안_xls][입찰안_xls]_____xls_1162"/>
      <sheetName val="[입찰안_xls][입찰안_xls]_____xls_1160"/>
      <sheetName val="[입찰안_xls][입찰안_xls]_____xls_1161"/>
      <sheetName val="[입찰안_xls][입찰안_xls]_____xls_1165"/>
      <sheetName val="[입찰안_xls][입찰안_xls]_____xls_1163"/>
      <sheetName val="[입찰안_xls][입찰안_xls]_____xls_1164"/>
      <sheetName val="[입찰안_xls][입찰안_xls]_____xls_1184"/>
      <sheetName val="[입찰안_xls][입찰안_xls]_____xls_1168"/>
      <sheetName val="[입찰안_xls][입찰안_xls]_____xls_1167"/>
      <sheetName val="[입찰안_xls][입찰안_xls]_____xls_1169"/>
      <sheetName val="[입찰안_xls][입찰안_xls]_____xls_1170"/>
      <sheetName val="[입찰안_xls][입찰안_xls]_____xls_1171"/>
      <sheetName val="[입찰안_xls][입찰안_xls]_____xls_1176"/>
      <sheetName val="[입찰안_xls][입찰안_xls]_____xls_1172"/>
      <sheetName val="[입찰안_xls][입찰안_xls]_____xls_1173"/>
      <sheetName val="[입찰안_xls][입찰안_xls]_____xls_1174"/>
      <sheetName val="[입찰안_xls][입찰안_xls]_____xls_1175"/>
      <sheetName val="[입찰안_xls][입찰안_xls]_____xls_1177"/>
      <sheetName val="[입찰안_xls][입찰안_xls]_____xls_1179"/>
      <sheetName val="[입찰안_xls][입찰안_xls]_____xls_1178"/>
      <sheetName val="[입찰안_xls][입찰안_xls]_____xls_1191"/>
      <sheetName val="[입찰안_xls][입찰안_xls]_____xls_1182"/>
      <sheetName val="[입찰안_xls][입찰안_xls]_____xls_1180"/>
      <sheetName val="[입찰안_xls][입찰안_xls]_____xls_1181"/>
      <sheetName val="[입찰안_xls][입찰안_xls]_____xls_1183"/>
      <sheetName val="[입찰안_xls][입찰안_xls]_____xls_1185"/>
      <sheetName val="[입찰안_xls][입찰안_xls]_____xls_1186"/>
      <sheetName val="[입찰안_xls][입찰안_xls]_____xls_1187"/>
      <sheetName val="[입찰안_xls][입찰안_xls]_____xls_1190"/>
      <sheetName val="[입찰안_xls][입찰안_xls]_____xls_1188"/>
      <sheetName val="[입찰안_xls][입찰안_xls]_____xls_1189"/>
      <sheetName val="[입찰안_xls][입찰안_xls]_____xls_1195"/>
      <sheetName val="[입찰안_xls][입찰안_xls]_____xls_1194"/>
      <sheetName val="[입찰안_xls][입찰안_xls]_____xls_1192"/>
      <sheetName val="[입찰안_xls][입찰안_xls]_____xls_1193"/>
      <sheetName val="[입찰안_xls][입찰안_xls]_____xls_1196"/>
      <sheetName val="[입찰안_xls][입찰안_xls]_____xls_1200"/>
      <sheetName val="[입찰안_xls][입찰안_xls]_____xls_1199"/>
      <sheetName val="[입찰안_xls][입찰안_xls]_____xls_1197"/>
      <sheetName val="[입찰안_xls][입찰안_xls]_____xls_1198"/>
      <sheetName val="[입찰안_xls][입찰안_xls]_____xls_1206"/>
      <sheetName val="[입찰안_xls][입찰안_xls]_____xls_1203"/>
      <sheetName val="[입찰안_xls][입찰안_xls]_____xls_1201"/>
      <sheetName val="[입찰안_xls][입찰안_xls]_____xls_1202"/>
      <sheetName val="[입찰안_xls][입찰안_xls]_____xls_1204"/>
      <sheetName val="[입찰안_xls][입찰안_xls]_____xls_1205"/>
      <sheetName val="[입찰안_xls][입찰안_xls]_____xls_1214"/>
      <sheetName val="[입찰안_xls][입찰안_xls]_____xls_1209"/>
      <sheetName val="[입찰안_xls][입찰안_xls]_____xls_1207"/>
      <sheetName val="[입찰안_xls][입찰안_xls]_____xls_1208"/>
      <sheetName val="[입찰안_xls][입찰안_xls]_____xls_1210"/>
      <sheetName val="[입찰안_xls][입찰안_xls]_____xls_1211"/>
      <sheetName val="[입찰안_xls][입찰안_xls]_____xls_1212"/>
      <sheetName val="[입찰안_xls][입찰안_xls]_____xls_1213"/>
      <sheetName val="[입찰안_xls][입찰안_xls]_____xls_1215"/>
      <sheetName val="[입찰안_xls][입찰안_xls]_____xls_1219"/>
      <sheetName val="[입찰안_xls][입찰안_xls]_____xls_1220"/>
      <sheetName val="[입찰안_xls][입찰안_xls]_____xls_1234"/>
      <sheetName val="[입찰안_xls][입찰안_xls]_____xls_1224"/>
      <sheetName val="[입찰안_xls][입찰안_xls]_____xls_1226"/>
      <sheetName val="[입찰안_xls][입찰안_xls]_____xls_1227"/>
      <sheetName val="[입찰안_xls][입찰안_xls]_____xls_1235"/>
      <sheetName val="[입찰안_xls][입찰안_xls]_____xls_1230"/>
      <sheetName val="[입찰안_xls][입찰안_xls]_____xls_1228"/>
      <sheetName val="[입찰안_xls][입찰안_xls]_____xls_1229"/>
      <sheetName val="[입찰안_xls][입찰안_xls]_____xls_1233"/>
      <sheetName val="[입찰안_xls][입찰안_xls]_____xls_1231"/>
      <sheetName val="[입찰안_xls][입찰안_xls]_____xls_1232"/>
      <sheetName val="[입찰안_xls][입찰안_xls]_____xls_1328"/>
      <sheetName val="[입찰안_xls][입찰안_xls]_____xls_1331"/>
      <sheetName val="[입찰안_xls][입찰안_xls]_____xls_1334"/>
      <sheetName val="[입찰안_xls][입찰안_xls]_____xls_1311"/>
      <sheetName val="[입찰안_xls][입찰안_xls]_____xls_1312"/>
      <sheetName val="[입찰안_xls][입찰안_xls]_____xls_1314"/>
      <sheetName val="[입찰안_xls][입찰안_xls]_____xls_1245"/>
      <sheetName val="[입찰안_xls][입찰안_xls]_____xls_1246"/>
      <sheetName val="[입찰안_xls][입찰안_xls]_____xls_1247"/>
      <sheetName val="[입찰안_xls][입찰안_xls]_____xls_1242"/>
      <sheetName val="[입찰안_xls][입찰안_xls]_____xls_1243"/>
      <sheetName val="[입찰안_xls][입찰안_xls]_____xls_1244"/>
      <sheetName val="[입찰안_xls][입찰안_xls]_____xls_1239"/>
      <sheetName val="[입찰안_xls][입찰안_xls]_____xls_1240"/>
      <sheetName val="[입찰안_xls][입찰안_xls]_____xls_1238"/>
      <sheetName val="[입찰안_xls][입찰안_xls]_____xls_1236"/>
      <sheetName val="[입찰안_xls][입찰안_xls]_____xls_1237"/>
      <sheetName val="[입찰안_xls][입찰안_xls]_____xls_1241"/>
      <sheetName val="[입찰안_xls][입찰안_xls]_____xls_1248"/>
      <sheetName val="[입찰안_xls][입찰안_xls]_____xls_1249"/>
      <sheetName val="[입찰안_xls][입찰안_xls]_____xls_1250"/>
      <sheetName val="[입찰안_xls][입찰안_xls]_____xls_1251"/>
      <sheetName val="[입찰안_xls][입찰안_xls]_____xls_1252"/>
      <sheetName val="[입찰안_xls][입찰안_xls]_____xls_1253"/>
      <sheetName val="[입찰안_xls][입찰안_xls]_____xls_1254"/>
      <sheetName val="[입찰안_xls][입찰안_xls]_____xls_1255"/>
      <sheetName val="[입찰안_xls][입찰안_xls]_____xls_1256"/>
      <sheetName val="[입찰안_xls][입찰안_xls]_____xls_1257"/>
      <sheetName val="[입찰안_xls][입찰안_xls]_____xls_1258"/>
      <sheetName val="[입찰안_xls][입찰안_xls]_____xls_1259"/>
      <sheetName val="[입찰안_xls][입찰안_xls]_____xls_1260"/>
      <sheetName val="[입찰안_xls][입찰안_xls]_____xls_1261"/>
      <sheetName val="[입찰안_xls][입찰안_xls]_____xls_1262"/>
      <sheetName val="[입찰안_xls][입찰안_xls]_____xls_1297"/>
      <sheetName val="[입찰안_xls][입찰안_xls]_____xls_1298"/>
      <sheetName val="[입찰안_xls][입찰안_xls]_____xls_1300"/>
      <sheetName val="[입찰안_xls][입찰안_xls]_____xls_1270"/>
      <sheetName val="[입찰안_xls][입찰안_xls]_____xls_1271"/>
      <sheetName val="[입찰안_xls][입찰안_xls]_____xls_1264"/>
      <sheetName val="[입찰안_xls][입찰안_xls]_____xls_1265"/>
      <sheetName val="[입찰안_xls][입찰안_xls]_____xls_1267"/>
      <sheetName val="[입찰안_xls][입찰안_xls]_____xls_1263"/>
      <sheetName val="[입찰안_xls][입찰안_xls]_____xls_1266"/>
      <sheetName val="[입찰안_xls][입찰안_xls]_____xls_1268"/>
      <sheetName val="[입찰안_xls][입찰안_xls]_____xls_1269"/>
      <sheetName val="[입찰안_xls][입찰안_xls]_____xls_1279"/>
      <sheetName val="[입찰안_xls][입찰안_xls]_____xls_1284"/>
      <sheetName val="[입찰안_xls][입찰안_xls]_____xls_1272"/>
      <sheetName val="[입찰안_xls][입찰안_xls]_____xls_1273"/>
      <sheetName val="[입찰안_xls][입찰안_xls]_____xls_1274"/>
      <sheetName val="[입찰안_xls][입찰안_xls]_____xls_1275"/>
      <sheetName val="[입찰안_xls][입찰안_xls]_____xls_1276"/>
      <sheetName val="[입찰안_xls][입찰안_xls]_입_안_xls_1000"/>
      <sheetName val="design_critఀ땚"/>
      <sheetName val="[입찰안_xls][입찰안_xls]_____xls_1277"/>
      <sheetName val="[입찰안_xls][입찰안_xls]_____xls_1285"/>
      <sheetName val="[입찰안_xls][입찰안_xls]_____xls_1278"/>
      <sheetName val="[입찰안_xls][입찰안_xls]_____xls_1280"/>
      <sheetName val="[입찰안_xls][입찰안_xls]_____xls_1281"/>
      <sheetName val="[입찰안_xls][입찰안_xls]_____xls_1282"/>
      <sheetName val="간_지1"/>
      <sheetName val="[입찰안_xls][입찰안_xls]_____xls_1283"/>
      <sheetName val="[입찰안_xls][입찰안_xls]_____xls_1286"/>
      <sheetName val="[입찰안_xls][입찰안_xls]_____xls_1291"/>
      <sheetName val="[입찰안_xls][입찰안_xls]_____xls_1292"/>
      <sheetName val="[입찰안_xls][입찰안_xls]_____xls_1293"/>
      <sheetName val="[입찰안_xls][입찰안_xls]_____xls_1287"/>
      <sheetName val="[입찰안_xls][입찰안_xls]_____xls_1288"/>
      <sheetName val="[입찰안_xls][입찰안_xls]_____xls_1289"/>
      <sheetName val="[입찰안_xls][입찰안_xls]_____xls_1290"/>
      <sheetName val="[입찰안_xls][입찰안_xls]_____xls_1294"/>
      <sheetName val="[입찰안_xls][입찰안_xls]_____xls_1295"/>
      <sheetName val="[입찰안_xls][입찰안_xls]_____xls_1296"/>
      <sheetName val="[입찰안_xls][입찰안_xls]_____xls_1301"/>
      <sheetName val="[입찰안_xls][입찰안_xls]_____xls_1299"/>
      <sheetName val="[입찰안_xls][입찰안_xls]_____xls_1306"/>
      <sheetName val="[입찰안_xls][입찰안_xls]_____xls_1307"/>
      <sheetName val="제잡비_산출내역(실적공사비)"/>
      <sheetName val="[입찰안_xls][입찰안_xls]_____xls_1302"/>
      <sheetName val="[입찰안_xls][입찰안_xls]_____xls_1309"/>
      <sheetName val="[입찰안_xls][입찰안_xls]_____xls_1303"/>
      <sheetName val="[입찰안_xls][입찰안_xls]_____xls_1304"/>
      <sheetName val="[입찰안_xls][입찰안_xls]_____xls_1305"/>
      <sheetName val="[입찰안_xls][입찰안_xls]_____xls_1308"/>
      <sheetName val="[입찰안_xls][입찰안_xls]_____xls_1310"/>
      <sheetName val="[입찰안_xls][입찰안_xls]_____xls_1318"/>
      <sheetName val="[입찰안_xls]B_17"/>
      <sheetName val="[입찰안_xls]B__5"/>
      <sheetName val="[입찰안_xls]B__41"/>
      <sheetName val="[입찰안_xls]B__8"/>
      <sheetName val="[입찰안_xls]B__6"/>
      <sheetName val="[입찰안_xls]B_23"/>
      <sheetName val="[입찰안_xls]B__7"/>
      <sheetName val="[입찰안_xls]B__9"/>
      <sheetName val="[입찰안_xls]B_10"/>
      <sheetName val="[입찰안_xls]B_11"/>
      <sheetName val="[입찰안_xls]B_12"/>
      <sheetName val="[입찰안_xls]B_13"/>
      <sheetName val="[입찰안_xls]B_14"/>
      <sheetName val="[입찰안_xls]B_15"/>
      <sheetName val="[입찰안_xls]B_16"/>
      <sheetName val="[입찰안_xls]B_18"/>
      <sheetName val="[입찰안_xls]B_19"/>
      <sheetName val="[입찰안_xls]B_20"/>
      <sheetName val="[입찰안_xls]B_21"/>
      <sheetName val="[입찰안_xls]B_22"/>
      <sheetName val="[입찰안_xls]B_25"/>
      <sheetName val="[입찰안_xls]B_24"/>
      <sheetName val="[입찰안_xls]B_26"/>
      <sheetName val="[입찰안_xls]B_27"/>
      <sheetName val="[입찰안_xls]B_28"/>
      <sheetName val="[입찰안_xls]B_46"/>
      <sheetName val="[입찰안_xls]B_45"/>
      <sheetName val="[입찰안_xls]B_44"/>
      <sheetName val="[입찰안_xls]B_33"/>
      <sheetName val="[입찰안_xls]B_31"/>
      <sheetName val="[입찰안_xls]B_30"/>
      <sheetName val="[입찰안_xls]B_29"/>
      <sheetName val="[입찰안_xls]B_35"/>
      <sheetName val="[입찰안_xls]B_32"/>
      <sheetName val="[입찰안_xls]B_40"/>
      <sheetName val="[입찰안_xls]B_34"/>
      <sheetName val="[입찰안_xls]B_41"/>
      <sheetName val="[입찰안_xls]B_36"/>
      <sheetName val="[입찰안_xls]B_37"/>
      <sheetName val="[입찰안_xls]B_42"/>
      <sheetName val="[입찰안_xls]B_38"/>
      <sheetName val="[입찰안_xls]B_39"/>
      <sheetName val="[입찰안_xls]B_43"/>
      <sheetName val="[입찰안_xls]B_54"/>
      <sheetName val="[입찰안_xls]B_53"/>
      <sheetName val="[입찰안_xls]B_47"/>
      <sheetName val="[입찰안_xls]B_48"/>
      <sheetName val="[입찰안_xls]B_51"/>
      <sheetName val="[입찰안_xls]B_50"/>
      <sheetName val="[입찰안_xls]B_49"/>
      <sheetName val="[입찰안_xls]B_52"/>
      <sheetName val="[입찰안_xls]B_55"/>
      <sheetName val="[입찰안_xls]B_56"/>
      <sheetName val="[입찰안_xls]B_57"/>
      <sheetName val="[입찰안_xls]B_60"/>
      <sheetName val="[입찰안_xls]B_59"/>
      <sheetName val="[입찰안_xls]B_58"/>
      <sheetName val="조건표_(2)"/>
      <sheetName val="[입찰안_xls][입찰안_xls]_____xls_1313"/>
      <sheetName val="[입찰안_xls][입찰안_xls]_____xls_1315"/>
      <sheetName val="[입찰안_xls][입찰안_xls]_____xls_1316"/>
      <sheetName val="[입찰안_xls][입찰안_xls]_____xls_1319"/>
      <sheetName val="[입찰안_xls][입찰안_xls]_____xls_1321"/>
      <sheetName val="[입찰안_xls][입찰안_xls]_____xls_1317"/>
      <sheetName val="[입찰안_xls][입찰안_xls]_____xls_1322"/>
      <sheetName val="[입찰안_xls][입찰안_xls]_____xls_1320"/>
      <sheetName val="[입찰안_xls][입찰안_xls]_____xls_1326"/>
      <sheetName val="[입찰안_xls][입찰안_xls]_____xls_1327"/>
      <sheetName val="[입찰안_xls][입찰안_xls]_____xls_1323"/>
      <sheetName val="[입찰안_xls][입찰안_xls]_____xls_1324"/>
      <sheetName val="[입찰안_xls][입찰안_xls]_____xls_1325"/>
      <sheetName val="[입찰안_xls][입찰안_xls]_____xls_1329"/>
      <sheetName val="[입찰안_xls][입찰안_xls]_____xls_1335"/>
      <sheetName val="[입찰안_xls][입찰안_xls]_____xls_1330"/>
      <sheetName val="[입찰안_xls][입찰안_xls]_____xls_1336"/>
      <sheetName val="[입찰안_xls][입찰안_xls]_____xls_1332"/>
      <sheetName val="[입찰안_xls][입찰안_xls]_____xls_1333"/>
      <sheetName val="[입찰안_xls][입찰안_xls]_____xls_1337"/>
      <sheetName val="1_일위"/>
      <sheetName val="시중노忕き"/>
      <sheetName val="일위대가-내역_"/>
      <sheetName val="[입찰안_xls][입찰안_xls]_입_안_xls_1001"/>
      <sheetName val="[입찰안_xls][입찰안_xls]_입_안_xls_1003"/>
      <sheetName val="[입찰안_xls][입찰안_xls]_입_안_xls_1005"/>
      <sheetName val="[입찰안_xls][입찰안_xls]_입_안_xls_1002"/>
      <sheetName val="[입찰안_xls][입찰안_xls]_입_안_xls_1004"/>
      <sheetName val="[입찰안_xls][입찰안_xls]_입_안_xls_1006"/>
      <sheetName val="[입찰안_xls][입찰안_xls]_입_안_xls_1007"/>
      <sheetName val="[입찰안_xls][입찰안_xls]_입_안_xls_1011"/>
      <sheetName val="[입찰안_xls][입찰안_xls]_입_안_xls_1009"/>
      <sheetName val="[입찰안_xls][입찰안_xls]_입_안_xls_1008"/>
      <sheetName val="[입찰안_xls][입찰안_xls]_입_안_xls_1010"/>
      <sheetName val="[입찰안_xls][입찰안_xls]_____xls_1339"/>
      <sheetName val="[입찰안_xls][입찰안_xls]_____xls_1338"/>
      <sheetName val="[입찰안_xls][입찰안_xls]_____xls_1340"/>
      <sheetName val="[입찰안_xls][입찰안_xls]_____xls_1341"/>
      <sheetName val="[입찰안_xls][입찰안_xls]_____xls_1342"/>
      <sheetName val="[입찰안_xls][입찰안_xls]_____xls_134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>
            <v>1</v>
          </cell>
        </row>
      </sheetData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 refreshError="1"/>
      <sheetData sheetId="1005" refreshError="1"/>
      <sheetData sheetId="1006" refreshError="1"/>
      <sheetData sheetId="1007" refreshError="1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/>
      <sheetData sheetId="1937"/>
      <sheetData sheetId="1938"/>
      <sheetData sheetId="1939"/>
      <sheetData sheetId="1940" refreshError="1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/>
      <sheetData sheetId="2010" refreshError="1"/>
      <sheetData sheetId="2011"/>
      <sheetData sheetId="2012" refreshError="1"/>
      <sheetData sheetId="2013" refreshError="1"/>
      <sheetData sheetId="2014" refreshError="1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/>
      <sheetData sheetId="2032"/>
      <sheetData sheetId="2033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 refreshError="1"/>
      <sheetData sheetId="2239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 refreshError="1"/>
      <sheetData sheetId="2284" refreshError="1"/>
      <sheetData sheetId="2285" refreshError="1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 refreshError="1"/>
      <sheetData sheetId="2320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 refreshError="1"/>
      <sheetData sheetId="2364"/>
      <sheetData sheetId="2365"/>
      <sheetData sheetId="2366" refreshError="1"/>
      <sheetData sheetId="2367"/>
      <sheetData sheetId="2368"/>
      <sheetData sheetId="2369" refreshError="1"/>
      <sheetData sheetId="2370" refreshError="1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/>
      <sheetData sheetId="2378" refreshError="1"/>
      <sheetData sheetId="2379" refreshError="1"/>
      <sheetData sheetId="2380" refreshError="1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/>
      <sheetData sheetId="2852"/>
      <sheetData sheetId="2853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/>
      <sheetData sheetId="2862"/>
      <sheetData sheetId="2863"/>
      <sheetData sheetId="2864"/>
      <sheetData sheetId="2865" refreshError="1"/>
      <sheetData sheetId="2866"/>
      <sheetData sheetId="2867"/>
      <sheetData sheetId="2868"/>
      <sheetData sheetId="2869" refreshError="1"/>
      <sheetData sheetId="2870"/>
      <sheetData sheetId="2871"/>
      <sheetData sheetId="2872"/>
      <sheetData sheetId="2873"/>
      <sheetData sheetId="2874"/>
      <sheetData sheetId="2875" refreshError="1"/>
      <sheetData sheetId="2876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/>
      <sheetData sheetId="2948"/>
      <sheetData sheetId="2949"/>
      <sheetData sheetId="2950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/>
      <sheetData sheetId="2960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 refreshError="1"/>
      <sheetData sheetId="2993" refreshError="1"/>
      <sheetData sheetId="2994" refreshError="1"/>
      <sheetData sheetId="2995" refreshError="1"/>
      <sheetData sheetId="2996"/>
      <sheetData sheetId="2997"/>
      <sheetData sheetId="2998"/>
      <sheetData sheetId="2999" refreshError="1"/>
      <sheetData sheetId="3000"/>
      <sheetData sheetId="3001"/>
      <sheetData sheetId="3002" refreshError="1"/>
      <sheetData sheetId="3003" refreshError="1"/>
      <sheetData sheetId="3004"/>
      <sheetData sheetId="3005" refreshError="1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 refreshError="1"/>
      <sheetData sheetId="3071" refreshError="1"/>
      <sheetData sheetId="3072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 refreshError="1"/>
      <sheetData sheetId="3139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 refreshError="1"/>
      <sheetData sheetId="3192"/>
      <sheetData sheetId="3193"/>
      <sheetData sheetId="3194"/>
      <sheetData sheetId="3195"/>
      <sheetData sheetId="3196"/>
      <sheetData sheetId="3197" refreshError="1"/>
      <sheetData sheetId="3198"/>
      <sheetData sheetId="3199"/>
      <sheetData sheetId="3200" refreshError="1"/>
      <sheetData sheetId="3201" refreshError="1"/>
      <sheetData sheetId="3202"/>
      <sheetData sheetId="3203"/>
      <sheetData sheetId="3204"/>
      <sheetData sheetId="3205"/>
      <sheetData sheetId="3206" refreshError="1"/>
      <sheetData sheetId="3207"/>
      <sheetData sheetId="3208" refreshError="1"/>
      <sheetData sheetId="3209" refreshError="1"/>
      <sheetData sheetId="3210" refreshError="1"/>
      <sheetData sheetId="3211"/>
      <sheetData sheetId="3212"/>
      <sheetData sheetId="3213" refreshError="1"/>
      <sheetData sheetId="3214"/>
      <sheetData sheetId="3215"/>
      <sheetData sheetId="3216"/>
      <sheetData sheetId="3217"/>
      <sheetData sheetId="3218"/>
      <sheetData sheetId="3219"/>
      <sheetData sheetId="3220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/>
      <sheetData sheetId="3228" refreshError="1"/>
      <sheetData sheetId="3229"/>
      <sheetData sheetId="3230"/>
      <sheetData sheetId="3231" refreshError="1"/>
      <sheetData sheetId="3232"/>
      <sheetData sheetId="3233" refreshError="1"/>
      <sheetData sheetId="3234"/>
      <sheetData sheetId="3235"/>
      <sheetData sheetId="3236"/>
      <sheetData sheetId="3237"/>
      <sheetData sheetId="3238" refreshError="1"/>
      <sheetData sheetId="3239"/>
      <sheetData sheetId="3240"/>
      <sheetData sheetId="324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 refreshError="1"/>
      <sheetData sheetId="3257"/>
      <sheetData sheetId="3258"/>
      <sheetData sheetId="3259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/>
      <sheetData sheetId="3267"/>
      <sheetData sheetId="3268"/>
      <sheetData sheetId="3269" refreshError="1"/>
      <sheetData sheetId="3270" refreshError="1"/>
      <sheetData sheetId="327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 refreshError="1"/>
      <sheetData sheetId="3317" refreshError="1"/>
      <sheetData sheetId="3318"/>
      <sheetData sheetId="3319"/>
      <sheetData sheetId="3320"/>
      <sheetData sheetId="3321" refreshError="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/>
      <sheetData sheetId="3362"/>
      <sheetData sheetId="3363" refreshError="1"/>
      <sheetData sheetId="3364" refreshError="1"/>
      <sheetData sheetId="3365" refreshError="1"/>
      <sheetData sheetId="3366"/>
      <sheetData sheetId="3367"/>
      <sheetData sheetId="3368" refreshError="1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/>
      <sheetData sheetId="3457"/>
      <sheetData sheetId="3458" refreshError="1"/>
      <sheetData sheetId="3459" refreshError="1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 refreshError="1"/>
      <sheetData sheetId="3476" refreshError="1"/>
      <sheetData sheetId="3477"/>
      <sheetData sheetId="3478" refreshError="1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 refreshError="1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 refreshError="1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 refreshError="1"/>
      <sheetData sheetId="3529"/>
      <sheetData sheetId="3530" refreshError="1"/>
      <sheetData sheetId="3531" refreshError="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/>
      <sheetData sheetId="3721" refreshError="1"/>
      <sheetData sheetId="3722"/>
      <sheetData sheetId="3723" refreshError="1"/>
      <sheetData sheetId="3724" refreshError="1"/>
      <sheetData sheetId="3725" refreshError="1"/>
      <sheetData sheetId="3726"/>
      <sheetData sheetId="3727"/>
      <sheetData sheetId="3728" refreshError="1"/>
      <sheetData sheetId="3729"/>
      <sheetData sheetId="3730"/>
      <sheetData sheetId="3731"/>
      <sheetData sheetId="3732"/>
      <sheetData sheetId="3733" refreshError="1"/>
      <sheetData sheetId="3734" refreshError="1"/>
      <sheetData sheetId="3735"/>
      <sheetData sheetId="3736"/>
      <sheetData sheetId="3737" refreshError="1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 refreshError="1"/>
      <sheetData sheetId="3749"/>
      <sheetData sheetId="3750" refreshError="1"/>
      <sheetData sheetId="3751"/>
      <sheetData sheetId="3752" refreshError="1"/>
      <sheetData sheetId="3753"/>
      <sheetData sheetId="3754" refreshError="1"/>
      <sheetData sheetId="3755"/>
      <sheetData sheetId="3756"/>
      <sheetData sheetId="3757" refreshError="1"/>
      <sheetData sheetId="3758" refreshError="1"/>
      <sheetData sheetId="3759" refreshError="1"/>
      <sheetData sheetId="3760" refreshError="1"/>
      <sheetData sheetId="3761"/>
      <sheetData sheetId="3762" refreshError="1"/>
      <sheetData sheetId="3763"/>
      <sheetData sheetId="3764" refreshError="1"/>
      <sheetData sheetId="3765" refreshError="1"/>
      <sheetData sheetId="3766"/>
      <sheetData sheetId="3767"/>
      <sheetData sheetId="3768"/>
      <sheetData sheetId="3769"/>
      <sheetData sheetId="3770" refreshError="1"/>
      <sheetData sheetId="3771" refreshError="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 refreshError="1"/>
      <sheetData sheetId="3788" refreshError="1"/>
      <sheetData sheetId="3789"/>
      <sheetData sheetId="3790" refreshError="1"/>
      <sheetData sheetId="3791"/>
      <sheetData sheetId="3792" refreshError="1"/>
      <sheetData sheetId="3793"/>
      <sheetData sheetId="3794"/>
      <sheetData sheetId="3795"/>
      <sheetData sheetId="3796"/>
      <sheetData sheetId="3797"/>
      <sheetData sheetId="3798" refreshError="1"/>
      <sheetData sheetId="3799"/>
      <sheetData sheetId="3800" refreshError="1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/>
      <sheetData sheetId="3817" refreshError="1"/>
      <sheetData sheetId="3818"/>
      <sheetData sheetId="3819"/>
      <sheetData sheetId="3820" refreshError="1"/>
      <sheetData sheetId="3821"/>
      <sheetData sheetId="3822"/>
      <sheetData sheetId="3823"/>
      <sheetData sheetId="3824" refreshError="1"/>
      <sheetData sheetId="3825"/>
      <sheetData sheetId="3826"/>
      <sheetData sheetId="3827" refreshError="1"/>
      <sheetData sheetId="3828"/>
      <sheetData sheetId="3829"/>
      <sheetData sheetId="3830"/>
      <sheetData sheetId="3831" refreshError="1"/>
      <sheetData sheetId="3832"/>
      <sheetData sheetId="3833"/>
      <sheetData sheetId="3834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/>
      <sheetData sheetId="3847"/>
      <sheetData sheetId="3848" refreshError="1"/>
      <sheetData sheetId="3849"/>
      <sheetData sheetId="3850"/>
      <sheetData sheetId="3851"/>
      <sheetData sheetId="3852"/>
      <sheetData sheetId="3853"/>
      <sheetData sheetId="3854"/>
      <sheetData sheetId="3855" refreshError="1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 refreshError="1"/>
      <sheetData sheetId="3884"/>
      <sheetData sheetId="3885"/>
      <sheetData sheetId="3886" refreshError="1"/>
      <sheetData sheetId="3887"/>
      <sheetData sheetId="3888"/>
      <sheetData sheetId="3889"/>
      <sheetData sheetId="3890"/>
      <sheetData sheetId="3891"/>
      <sheetData sheetId="3892"/>
      <sheetData sheetId="3893"/>
      <sheetData sheetId="3894" refreshError="1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 refreshError="1"/>
      <sheetData sheetId="3906"/>
      <sheetData sheetId="3907"/>
      <sheetData sheetId="3908"/>
      <sheetData sheetId="3909"/>
      <sheetData sheetId="3910"/>
      <sheetData sheetId="3911" refreshError="1"/>
      <sheetData sheetId="3912" refreshError="1"/>
      <sheetData sheetId="3913"/>
      <sheetData sheetId="3914" refreshError="1"/>
      <sheetData sheetId="3915" refreshError="1"/>
      <sheetData sheetId="3916"/>
      <sheetData sheetId="3917"/>
      <sheetData sheetId="3918"/>
      <sheetData sheetId="3919"/>
      <sheetData sheetId="3920"/>
      <sheetData sheetId="3921"/>
      <sheetData sheetId="3922" refreshError="1"/>
      <sheetData sheetId="3923" refreshError="1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 refreshError="1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 refreshError="1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 refreshError="1"/>
      <sheetData sheetId="3982" refreshError="1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/>
      <sheetData sheetId="4193" refreshError="1"/>
      <sheetData sheetId="4194" refreshError="1"/>
      <sheetData sheetId="4195" refreshError="1"/>
      <sheetData sheetId="4196" refreshError="1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 refreshError="1"/>
      <sheetData sheetId="4213"/>
      <sheetData sheetId="4214"/>
      <sheetData sheetId="4215" refreshError="1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 refreshError="1"/>
      <sheetData sheetId="4241" refreshError="1"/>
      <sheetData sheetId="4242"/>
      <sheetData sheetId="4243"/>
      <sheetData sheetId="4244"/>
      <sheetData sheetId="4245"/>
      <sheetData sheetId="4246"/>
      <sheetData sheetId="4247" refreshError="1"/>
      <sheetData sheetId="4248"/>
      <sheetData sheetId="4249" refreshError="1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 refreshError="1"/>
      <sheetData sheetId="4586"/>
      <sheetData sheetId="4587"/>
      <sheetData sheetId="4588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 refreshError="1"/>
      <sheetData sheetId="4628"/>
      <sheetData sheetId="4629"/>
      <sheetData sheetId="4630" refreshError="1"/>
      <sheetData sheetId="4631" refreshError="1"/>
      <sheetData sheetId="4632"/>
      <sheetData sheetId="4633"/>
      <sheetData sheetId="4634" refreshError="1"/>
      <sheetData sheetId="4635" refreshError="1"/>
      <sheetData sheetId="4636"/>
      <sheetData sheetId="4637" refreshError="1"/>
      <sheetData sheetId="4638"/>
      <sheetData sheetId="4639"/>
      <sheetData sheetId="4640"/>
      <sheetData sheetId="4641"/>
      <sheetData sheetId="4642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/>
      <sheetData sheetId="4704"/>
      <sheetData sheetId="4705" refreshError="1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 refreshError="1"/>
      <sheetData sheetId="4767"/>
      <sheetData sheetId="4768" refreshError="1"/>
      <sheetData sheetId="4769" refreshError="1"/>
      <sheetData sheetId="4770" refreshError="1"/>
      <sheetData sheetId="4771" refreshError="1"/>
      <sheetData sheetId="4772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 refreshError="1"/>
      <sheetData sheetId="4861"/>
      <sheetData sheetId="4862"/>
      <sheetData sheetId="4863"/>
      <sheetData sheetId="4864" refreshError="1"/>
      <sheetData sheetId="4865"/>
      <sheetData sheetId="4866"/>
      <sheetData sheetId="4867"/>
      <sheetData sheetId="4868"/>
      <sheetData sheetId="4869"/>
      <sheetData sheetId="4870" refreshError="1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 refreshError="1"/>
      <sheetData sheetId="4913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/>
      <sheetData sheetId="4942"/>
      <sheetData sheetId="4943"/>
      <sheetData sheetId="4944"/>
      <sheetData sheetId="4945" refreshError="1"/>
      <sheetData sheetId="4946"/>
      <sheetData sheetId="4947" refreshError="1"/>
      <sheetData sheetId="4948"/>
      <sheetData sheetId="4949"/>
      <sheetData sheetId="4950"/>
      <sheetData sheetId="4951"/>
      <sheetData sheetId="4952"/>
      <sheetData sheetId="4953" refreshError="1"/>
      <sheetData sheetId="4954" refreshError="1"/>
      <sheetData sheetId="4955" refreshError="1"/>
      <sheetData sheetId="4956" refreshError="1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 refreshError="1"/>
      <sheetData sheetId="4975"/>
      <sheetData sheetId="4976" refreshError="1"/>
      <sheetData sheetId="4977" refreshError="1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 refreshError="1"/>
      <sheetData sheetId="4999" refreshError="1"/>
      <sheetData sheetId="5000"/>
      <sheetData sheetId="5001"/>
      <sheetData sheetId="5002"/>
      <sheetData sheetId="5003"/>
      <sheetData sheetId="5004"/>
      <sheetData sheetId="5005"/>
      <sheetData sheetId="5006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 refreshError="1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 refreshError="1"/>
      <sheetData sheetId="5723"/>
      <sheetData sheetId="5724" refreshError="1"/>
      <sheetData sheetId="5725" refreshError="1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/>
      <sheetData sheetId="5748" refreshError="1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 refreshError="1"/>
      <sheetData sheetId="5857"/>
      <sheetData sheetId="5858"/>
      <sheetData sheetId="5859"/>
      <sheetData sheetId="5860" refreshError="1"/>
      <sheetData sheetId="5861" refreshError="1"/>
      <sheetData sheetId="5862"/>
      <sheetData sheetId="5863"/>
      <sheetData sheetId="5864" refreshError="1"/>
      <sheetData sheetId="5865"/>
      <sheetData sheetId="5866"/>
      <sheetData sheetId="5867" refreshError="1"/>
      <sheetData sheetId="5868" refreshError="1"/>
      <sheetData sheetId="5869" refreshError="1"/>
      <sheetData sheetId="5870" refreshError="1"/>
      <sheetData sheetId="5871"/>
      <sheetData sheetId="5872"/>
      <sheetData sheetId="5873"/>
      <sheetData sheetId="5874" refreshError="1"/>
      <sheetData sheetId="5875" refreshError="1"/>
      <sheetData sheetId="5876" refreshError="1"/>
      <sheetData sheetId="5877"/>
      <sheetData sheetId="5878"/>
      <sheetData sheetId="5879"/>
      <sheetData sheetId="5880"/>
      <sheetData sheetId="5881"/>
      <sheetData sheetId="5882"/>
      <sheetData sheetId="5883"/>
      <sheetData sheetId="5884" refreshError="1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 refreshError="1"/>
      <sheetData sheetId="6448"/>
      <sheetData sheetId="6449" refreshError="1"/>
      <sheetData sheetId="6450" refreshError="1"/>
      <sheetData sheetId="6451"/>
      <sheetData sheetId="6452" refreshError="1"/>
      <sheetData sheetId="6453" refreshError="1"/>
      <sheetData sheetId="6454" refreshError="1"/>
      <sheetData sheetId="6455" refreshError="1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 refreshError="1"/>
      <sheetData sheetId="6484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/>
      <sheetData sheetId="6509" refreshError="1"/>
      <sheetData sheetId="6510" refreshError="1"/>
      <sheetData sheetId="6511" refreshError="1"/>
      <sheetData sheetId="6512" refreshError="1"/>
      <sheetData sheetId="6513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/>
      <sheetData sheetId="6959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 refreshError="1"/>
      <sheetData sheetId="6976"/>
      <sheetData sheetId="6977"/>
      <sheetData sheetId="6978"/>
      <sheetData sheetId="6979"/>
      <sheetData sheetId="6980"/>
      <sheetData sheetId="698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/>
      <sheetData sheetId="6991"/>
      <sheetData sheetId="6992"/>
      <sheetData sheetId="6993"/>
      <sheetData sheetId="6994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/>
      <sheetData sheetId="7001" refreshError="1"/>
      <sheetData sheetId="7002"/>
      <sheetData sheetId="7003"/>
      <sheetData sheetId="7004"/>
      <sheetData sheetId="7005"/>
      <sheetData sheetId="7006"/>
      <sheetData sheetId="7007"/>
      <sheetData sheetId="7008" refreshError="1"/>
      <sheetData sheetId="7009"/>
      <sheetData sheetId="7010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/>
      <sheetData sheetId="7017" refreshError="1"/>
      <sheetData sheetId="7018" refreshError="1"/>
      <sheetData sheetId="7019" refreshError="1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 refreshError="1"/>
      <sheetData sheetId="7031" refreshError="1"/>
      <sheetData sheetId="7032" refreshError="1"/>
      <sheetData sheetId="7033"/>
      <sheetData sheetId="7034"/>
      <sheetData sheetId="7035"/>
      <sheetData sheetId="7036"/>
      <sheetData sheetId="7037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/>
      <sheetData sheetId="7052"/>
      <sheetData sheetId="7053"/>
      <sheetData sheetId="7054"/>
      <sheetData sheetId="7055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 refreshError="1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 refreshError="1"/>
      <sheetData sheetId="7175" refreshError="1"/>
      <sheetData sheetId="7176" refreshError="1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 refreshError="1"/>
      <sheetData sheetId="7643" refreshError="1"/>
      <sheetData sheetId="7644" refreshError="1"/>
      <sheetData sheetId="7645" refreshError="1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 refreshError="1"/>
      <sheetData sheetId="7694"/>
      <sheetData sheetId="7695"/>
      <sheetData sheetId="7696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 refreshError="1"/>
      <sheetData sheetId="7877"/>
      <sheetData sheetId="7878" refreshError="1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 refreshError="1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 refreshError="1"/>
      <sheetData sheetId="7913" refreshError="1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 refreshError="1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 refreshError="1"/>
      <sheetData sheetId="9193" refreshError="1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 refreshError="1"/>
      <sheetData sheetId="9211" refreshError="1"/>
      <sheetData sheetId="9212" refreshError="1"/>
      <sheetData sheetId="9213"/>
      <sheetData sheetId="9214" refreshError="1"/>
      <sheetData sheetId="9215" refreshError="1"/>
      <sheetData sheetId="9216" refreshError="1"/>
      <sheetData sheetId="9217"/>
      <sheetData sheetId="9218"/>
      <sheetData sheetId="9219"/>
      <sheetData sheetId="9220"/>
      <sheetData sheetId="9221"/>
      <sheetData sheetId="9222"/>
      <sheetData sheetId="9223" refreshError="1"/>
      <sheetData sheetId="9224" refreshError="1"/>
      <sheetData sheetId="9225"/>
      <sheetData sheetId="9226"/>
      <sheetData sheetId="9227"/>
      <sheetData sheetId="9228" refreshError="1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 refreshError="1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 refreshError="1"/>
      <sheetData sheetId="10046"/>
      <sheetData sheetId="10047"/>
      <sheetData sheetId="10048" refreshError="1"/>
      <sheetData sheetId="10049"/>
      <sheetData sheetId="10050" refreshError="1"/>
      <sheetData sheetId="10051" refreshError="1"/>
      <sheetData sheetId="10052" refreshError="1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 refreshError="1"/>
      <sheetData sheetId="10094" refreshError="1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 refreshError="1"/>
      <sheetData sheetId="10211" refreshError="1"/>
      <sheetData sheetId="10212" refreshError="1"/>
      <sheetData sheetId="10213" refreshError="1"/>
      <sheetData sheetId="10214"/>
      <sheetData sheetId="10215"/>
      <sheetData sheetId="10216"/>
      <sheetData sheetId="10217"/>
      <sheetData sheetId="10218"/>
      <sheetData sheetId="10219" refreshError="1"/>
      <sheetData sheetId="10220" refreshError="1"/>
      <sheetData sheetId="10221"/>
      <sheetData sheetId="10222"/>
      <sheetData sheetId="10223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 refreshError="1"/>
      <sheetData sheetId="10262"/>
      <sheetData sheetId="10263"/>
      <sheetData sheetId="10264"/>
      <sheetData sheetId="10265" refreshError="1"/>
      <sheetData sheetId="10266"/>
      <sheetData sheetId="10267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/>
      <sheetData sheetId="10286"/>
      <sheetData sheetId="10287"/>
      <sheetData sheetId="10288" refreshError="1"/>
      <sheetData sheetId="10289"/>
      <sheetData sheetId="10290"/>
      <sheetData sheetId="1029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 refreshError="1"/>
      <sheetData sheetId="10311"/>
      <sheetData sheetId="10312"/>
      <sheetData sheetId="10313"/>
      <sheetData sheetId="10314" refreshError="1"/>
      <sheetData sheetId="10315" refreshError="1"/>
      <sheetData sheetId="10316"/>
      <sheetData sheetId="10317"/>
      <sheetData sheetId="10318"/>
      <sheetData sheetId="10319"/>
      <sheetData sheetId="10320" refreshError="1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 refreshError="1"/>
      <sheetData sheetId="10330"/>
      <sheetData sheetId="10331" refreshError="1"/>
      <sheetData sheetId="10332" refreshError="1"/>
      <sheetData sheetId="10333" refreshError="1"/>
      <sheetData sheetId="10334"/>
      <sheetData sheetId="10335" refreshError="1"/>
      <sheetData sheetId="10336" refreshError="1"/>
      <sheetData sheetId="10337"/>
      <sheetData sheetId="10338" refreshError="1"/>
      <sheetData sheetId="10339" refreshError="1"/>
      <sheetData sheetId="10340" refreshError="1"/>
      <sheetData sheetId="10341"/>
      <sheetData sheetId="10342"/>
      <sheetData sheetId="10343" refreshError="1"/>
      <sheetData sheetId="10344" refreshError="1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/>
      <sheetData sheetId="10378"/>
      <sheetData sheetId="10379"/>
      <sheetData sheetId="10380"/>
      <sheetData sheetId="10381"/>
      <sheetData sheetId="10382"/>
      <sheetData sheetId="10383" refreshError="1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/>
      <sheetData sheetId="10409"/>
      <sheetData sheetId="10410" refreshError="1"/>
      <sheetData sheetId="10411"/>
      <sheetData sheetId="10412" refreshError="1"/>
      <sheetData sheetId="10413" refreshError="1"/>
      <sheetData sheetId="10414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 refreshError="1"/>
      <sheetData sheetId="10428" refreshError="1"/>
      <sheetData sheetId="10429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/>
      <sheetData sheetId="10436"/>
      <sheetData sheetId="10437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/>
      <sheetData sheetId="10444" refreshError="1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 refreshError="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 refreshError="1"/>
      <sheetData sheetId="12026" refreshError="1"/>
      <sheetData sheetId="12027"/>
      <sheetData sheetId="12028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/>
      <sheetData sheetId="12036" refreshError="1"/>
      <sheetData sheetId="12037"/>
      <sheetData sheetId="12038"/>
      <sheetData sheetId="12039"/>
      <sheetData sheetId="12040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/>
      <sheetData sheetId="12069" refreshError="1"/>
      <sheetData sheetId="12070" refreshError="1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준검 내역서"/>
      <sheetName val="공문"/>
      <sheetName val="준공계"/>
      <sheetName val="준공내역서"/>
      <sheetName val="입찰안"/>
      <sheetName val="제안서"/>
      <sheetName val="행정표준(1)"/>
      <sheetName val="행정표준(2)"/>
      <sheetName val="조명시설"/>
      <sheetName val="조명율표"/>
      <sheetName val="95준공"/>
      <sheetName val="일위대가목록"/>
      <sheetName val="1,2공구원가계산서"/>
      <sheetName val="2공구산출내역"/>
      <sheetName val="1공구산출내역서"/>
      <sheetName val="노임단가"/>
      <sheetName val="전입"/>
      <sheetName val="하수급견적대비"/>
      <sheetName val="청천내"/>
      <sheetName val="입찰"/>
      <sheetName val="일위대가"/>
      <sheetName val="데이타"/>
      <sheetName val="집계표"/>
      <sheetName val="고유코드_설계"/>
      <sheetName val="4.2유효폭의 계산"/>
      <sheetName val="내역"/>
      <sheetName val="연습"/>
      <sheetName val="장비 (2)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부표(010427)"/>
      <sheetName val="200"/>
      <sheetName val="장비집계"/>
      <sheetName val="MAIN_TABLE"/>
      <sheetName val="일대-1"/>
      <sheetName val="VXXXXX"/>
      <sheetName val="조경"/>
      <sheetName val="Index"/>
      <sheetName val="추가예산"/>
      <sheetName val="2.대외공문"/>
      <sheetName val="총괄표"/>
      <sheetName val="단가조사-2"/>
      <sheetName val="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2-246"/>
      <sheetName val="소2-249"/>
      <sheetName val="소2-251"/>
      <sheetName val="소2-252"/>
      <sheetName val="소3-127"/>
      <sheetName val="소3-130"/>
      <sheetName val="소3-132"/>
      <sheetName val="소3-133"/>
      <sheetName val="소3-134"/>
      <sheetName val="소3-135"/>
      <sheetName val="기존구조물깨기"/>
      <sheetName val="조명시설"/>
      <sheetName val="JUM"/>
      <sheetName val="직노"/>
      <sheetName val="손익분석"/>
      <sheetName val="구조물공"/>
      <sheetName val="산출근거"/>
      <sheetName val="데리네이타현황"/>
      <sheetName val="입찰안"/>
      <sheetName val="200"/>
      <sheetName val="실행내역"/>
      <sheetName val="공문"/>
      <sheetName val="식생블럭단위수량"/>
      <sheetName val="일위대가표"/>
      <sheetName val="총괄표"/>
      <sheetName val="내역"/>
      <sheetName val="Sheet1"/>
      <sheetName val="설계예산서"/>
      <sheetName val="101동"/>
      <sheetName val="집계표"/>
      <sheetName val="골재산출"/>
      <sheetName val="제안서"/>
      <sheetName val="행정표준(1)"/>
      <sheetName val="행정표준(2)"/>
      <sheetName val="총괄"/>
      <sheetName val="산근"/>
      <sheetName val="내역서"/>
      <sheetName val="2.대외공문"/>
      <sheetName val="노임단가"/>
      <sheetName val="조명율표"/>
      <sheetName val="바닥판"/>
      <sheetName val="입력DATA"/>
      <sheetName val="일위대가1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인사자료총집계"/>
      <sheetName val="총괄표"/>
      <sheetName val="증감집계"/>
      <sheetName val="신규집계"/>
      <sheetName val="증감내역"/>
      <sheetName val="신규내역"/>
      <sheetName val="증감노임산출"/>
      <sheetName val="신규노임산출"/>
      <sheetName val="신규산출조서"/>
      <sheetName val="설변내용"/>
      <sheetName val="5사남"/>
      <sheetName val="인사관~1"/>
      <sheetName val="원본"/>
      <sheetName val="내역서"/>
      <sheetName val="경비"/>
      <sheetName val="Total"/>
      <sheetName val="변경후-SHEET"/>
      <sheetName val="정부노임단가"/>
      <sheetName val="현금흐름"/>
      <sheetName val="BID"/>
      <sheetName val="일위대가"/>
      <sheetName val="설계"/>
      <sheetName val="SIL98"/>
      <sheetName val="01"/>
      <sheetName val="장비"/>
      <sheetName val="산근1"/>
      <sheetName val="노무"/>
      <sheetName val="자재"/>
      <sheetName val="FORM-0"/>
      <sheetName val="품셈TABLE"/>
      <sheetName val="200"/>
      <sheetName val="토목주소"/>
      <sheetName val="프랜트면허"/>
      <sheetName val="Sheet1"/>
      <sheetName val="태안9)3-2)원내역"/>
      <sheetName val="템플릿"/>
      <sheetName val="품셈(기초)"/>
      <sheetName val="실행철강하도"/>
      <sheetName val="#REF"/>
      <sheetName val="갑지"/>
      <sheetName val="C1ㅇ"/>
      <sheetName val="수입"/>
      <sheetName val="적용토목"/>
      <sheetName val="1.취수장"/>
      <sheetName val="설 계"/>
      <sheetName val="건축내역"/>
      <sheetName val="차액보증"/>
      <sheetName val="광통신 견적내역서1"/>
      <sheetName val="도급"/>
      <sheetName val="최종견"/>
      <sheetName val="경성자금"/>
      <sheetName val="공사개요"/>
      <sheetName val="매입세율"/>
      <sheetName val="하수급견적대비"/>
      <sheetName val="FAX"/>
      <sheetName val="옥외"/>
      <sheetName val="동원인원계획표"/>
      <sheetName val="배수공"/>
      <sheetName val="SUB일위대가"/>
      <sheetName val="심사"/>
      <sheetName val="당진1,2호기전선관설치및접지4차공사내역서-을지"/>
      <sheetName val="수문일1"/>
      <sheetName val="조건표"/>
      <sheetName val="9GNG운반"/>
      <sheetName val="통신물량"/>
      <sheetName val="JUCKEYK"/>
      <sheetName val="정렬"/>
      <sheetName val="품셈표"/>
      <sheetName val="관급"/>
      <sheetName val="장비가동"/>
      <sheetName val="내역표지"/>
      <sheetName val="현대물량"/>
      <sheetName val="6공구(당초)"/>
      <sheetName val="건축"/>
      <sheetName val="수리결과"/>
      <sheetName val="BREAKDOWN(철거설치)"/>
      <sheetName val="비목별 투입비"/>
      <sheetName val="예상공사비 (2)"/>
      <sheetName val="내부마감공사비"/>
      <sheetName val="내부마감공사비 (2)"/>
      <sheetName val="현장별평당금액"/>
      <sheetName val="단위당물량"/>
      <sheetName val="자체현장통합"/>
      <sheetName val="현장별품명통일"/>
      <sheetName val="추정공사비"/>
      <sheetName val="예상자재투입량"/>
      <sheetName val="현장별인원투입"/>
      <sheetName val="월별투입"/>
      <sheetName val="누계투입"/>
      <sheetName val="현장집계"/>
      <sheetName val="Sheet3"/>
      <sheetName val="Sheet18"/>
      <sheetName val="현장별평당공사비"/>
      <sheetName val="평당금액"/>
      <sheetName val="타사동향"/>
      <sheetName val="공종별공사비분석"/>
      <sheetName val="33평형"/>
      <sheetName val="Sheet8"/>
      <sheetName val="대공정,중공정"/>
      <sheetName val="유형별공사투입비"/>
      <sheetName val="Sheet10"/>
      <sheetName val="Sheet11"/>
      <sheetName val="Sheet12"/>
      <sheetName val="Sheet13"/>
      <sheetName val="Sheet15"/>
      <sheetName val="Sheet14"/>
      <sheetName val="Sheet16"/>
      <sheetName val="Sheet17"/>
      <sheetName val="TEST1"/>
      <sheetName val="CTEMCOST"/>
      <sheetName val="BJJIN"/>
      <sheetName val="공조기"/>
      <sheetName val="보차도경계석"/>
      <sheetName val="입찰안"/>
      <sheetName val="조명시설"/>
      <sheetName val="제안서"/>
      <sheetName val="행정표준(1)"/>
      <sheetName val="행정표준(2)"/>
      <sheetName val="교각1"/>
      <sheetName val="DB"/>
      <sheetName val="A-4"/>
      <sheetName val="6PILE  (돌출)"/>
      <sheetName val="선정요령"/>
      <sheetName val="오억미만"/>
      <sheetName val="2.대외공문"/>
      <sheetName val="견적서"/>
      <sheetName val="별표 "/>
      <sheetName val="주관사업"/>
      <sheetName val="점수계산1-2"/>
      <sheetName val=" ｹ-ﾌﾞﾙ"/>
      <sheetName val="원가계산서"/>
      <sheetName val="추가예산"/>
      <sheetName val="부서코드표"/>
      <sheetName val="증감분석"/>
      <sheetName val="표건"/>
      <sheetName val="유림골조"/>
      <sheetName val="70%"/>
      <sheetName val="견적의뢰"/>
      <sheetName val="재개발"/>
      <sheetName val="wall"/>
      <sheetName val="Front"/>
      <sheetName val="ATM기초철가"/>
      <sheetName val="품목단가"/>
      <sheetName val="Y-WORK"/>
      <sheetName val="용소리교"/>
      <sheetName val="EJ"/>
      <sheetName val="ELECTRIC"/>
      <sheetName val="MAT"/>
      <sheetName val="스포회원매출"/>
      <sheetName val="참조자료"/>
      <sheetName val="내역"/>
      <sheetName val="45,46"/>
      <sheetName val="매입세"/>
      <sheetName val="투찰(하수)"/>
      <sheetName val="총괄-1"/>
      <sheetName val="설계내역서"/>
      <sheetName val="data(일반항습)"/>
      <sheetName val="배수통관(좌)"/>
      <sheetName val="노임이"/>
      <sheetName val="단가표"/>
      <sheetName val="물량표"/>
      <sheetName val="자재집계표"/>
      <sheetName val="FAB별"/>
      <sheetName val="O＆P"/>
      <sheetName val="일위대가(1)"/>
      <sheetName val="1공구산출내역서"/>
      <sheetName val="토공사"/>
      <sheetName val="삭제금지단가"/>
      <sheetName val="갑지(추정)"/>
      <sheetName val="NOMUBI"/>
      <sheetName val="sw1"/>
      <sheetName val="양식0202"/>
      <sheetName val="현장명"/>
      <sheetName val="실행내역"/>
      <sheetName val="관리,공감"/>
      <sheetName val="2.1"/>
      <sheetName val="수량산출내역1115"/>
      <sheetName val=" 토목 처리장도급내역서 "/>
      <sheetName val="세부내역"/>
      <sheetName val="소화"/>
      <sheetName val="A1내역_총괄표"/>
      <sheetName val="Lr"/>
      <sheetName val="변경후원본2"/>
      <sheetName val="간접경상비"/>
      <sheetName val="TCDB"/>
      <sheetName val="설계명세서"/>
      <sheetName val="천공배관"/>
      <sheetName val="기계실주위배관"/>
      <sheetName val="히트펌프"/>
      <sheetName val="7.경제성결과"/>
      <sheetName val="작성"/>
      <sheetName val="98수문일위"/>
      <sheetName val="일위_파일"/>
      <sheetName val="을지"/>
      <sheetName val="카니발(자105노60)"/>
      <sheetName val="안양1공구_건축"/>
      <sheetName val="맨홀"/>
      <sheetName val="퇴직금(울산천상)"/>
      <sheetName val="구분자"/>
      <sheetName val="그림"/>
      <sheetName val="그림2"/>
      <sheetName val=" 견적서"/>
      <sheetName val="일위대가표"/>
      <sheetName val="PI"/>
      <sheetName val="경영계획1월"/>
      <sheetName val="견적의뢰서"/>
      <sheetName val="터파기및재료"/>
      <sheetName val="특판제외"/>
      <sheetName val="ABUT수량-A1"/>
      <sheetName val="DATE"/>
      <sheetName val="예가표"/>
      <sheetName val="DATA2000"/>
      <sheetName val="전신환매도율"/>
      <sheetName val="단가"/>
      <sheetName val="평가데이터"/>
      <sheetName val="SCHEDULE"/>
      <sheetName val="음료실행"/>
      <sheetName val="기본사항"/>
      <sheetName val="표준건축비"/>
      <sheetName val="N賃率-職"/>
      <sheetName val="Baby일위대가"/>
      <sheetName val="연습"/>
      <sheetName val="내역(설계)"/>
      <sheetName val="archi(본사)"/>
      <sheetName val="교통대책내역"/>
      <sheetName val="공문"/>
      <sheetName val="관급자재"/>
      <sheetName val="우배수"/>
      <sheetName val="F4-F7"/>
      <sheetName val="결재판(삭제하지말아주세요)"/>
      <sheetName val="99년신청"/>
      <sheetName val="소방 "/>
      <sheetName val="견적조건"/>
      <sheetName val="환산"/>
      <sheetName val="정화조동내역"/>
      <sheetName val="본부소개"/>
      <sheetName val="콘크리트"/>
      <sheetName val="95MAKER"/>
      <sheetName val="총괄갑 "/>
      <sheetName val="남양시작동자105노65기1.3화1.2"/>
      <sheetName val="우석토건변경대비표.xlsx"/>
      <sheetName val="등록자료"/>
      <sheetName val="금융비용"/>
      <sheetName val="시화점실행"/>
      <sheetName val="조명율표"/>
      <sheetName val="월별수입"/>
      <sheetName val="토공"/>
      <sheetName val="지질조사"/>
      <sheetName val="단가일람"/>
      <sheetName val="조경일람"/>
      <sheetName val="J"/>
      <sheetName val="설계예산서"/>
      <sheetName val="원가계산"/>
      <sheetName val="원가계산서(변경)"/>
      <sheetName val="실행-자재"/>
      <sheetName val="2000년 공정표"/>
      <sheetName val="평3"/>
      <sheetName val="예산서"/>
      <sheetName val="전산품의"/>
      <sheetName val="DATA"/>
      <sheetName val="98지급계획"/>
      <sheetName val="RE9604"/>
      <sheetName val="부대내역"/>
      <sheetName val="일위대가(계측기설치)"/>
      <sheetName val="배수공_base"/>
      <sheetName val="입찰품의서"/>
      <sheetName val="일위대가모음"/>
      <sheetName val="토공사_반영"/>
      <sheetName val="일위대가_호표"/>
      <sheetName val="일위대가_호표 (2)"/>
      <sheetName val="인건비"/>
      <sheetName val="차량별점검"/>
      <sheetName val="우수맨홀공제단위수량"/>
      <sheetName val="재료표"/>
      <sheetName val="별첨10.하자보증수수료"/>
      <sheetName val="자재 집계표"/>
      <sheetName val="BOQ"/>
      <sheetName val="COVER"/>
      <sheetName val="장기차입금"/>
      <sheetName val="토목품셈"/>
      <sheetName val="지급자재"/>
      <sheetName val="옥외외등집계표"/>
      <sheetName val="설직재-1"/>
      <sheetName val="일위"/>
      <sheetName val="J直材4"/>
      <sheetName val="협가표"/>
      <sheetName val="노임단가"/>
      <sheetName val="데이타"/>
      <sheetName val="Sheet5"/>
      <sheetName val="직노"/>
      <sheetName val="구간산출"/>
      <sheetName val="Source"/>
      <sheetName val="Preface"/>
      <sheetName val="총괄"/>
      <sheetName val="방수몰탈"/>
      <sheetName val="준공평가"/>
      <sheetName val="위치조서"/>
      <sheetName val="골조시행"/>
      <sheetName val="직재"/>
      <sheetName val="소비자가"/>
      <sheetName val="She_x0009__x0000_Y_x0000_"/>
      <sheetName val="_x0000__x000a__x0000_Y"/>
      <sheetName val="She _x0000_Y_x0000_"/>
      <sheetName val="노무비계"/>
      <sheetName val="AHU-1"/>
      <sheetName val="급탕설비"/>
      <sheetName val="화장실배기팬"/>
      <sheetName val="을"/>
      <sheetName val="Ring"/>
      <sheetName val="금액내역서"/>
      <sheetName val="TYPE-A"/>
      <sheetName val="1차설계변경내역"/>
      <sheetName val="E총"/>
      <sheetName val="공정코드"/>
      <sheetName val="가격조사서"/>
      <sheetName val="입찰내역"/>
      <sheetName val="개요"/>
      <sheetName val="내역1"/>
      <sheetName val="Sheet1 (2)"/>
      <sheetName val="건축공사실행"/>
      <sheetName val="unit 4"/>
      <sheetName val="데리네이타현황"/>
      <sheetName val="쌍송교"/>
      <sheetName val="FORM_0"/>
      <sheetName val="일위대가(가설)"/>
      <sheetName val="확산동"/>
      <sheetName val="She _x005f_x0000_Y_x005f_x0000_"/>
      <sheetName val="_x005f_x0000__x005f_x000a__x005f_x0000_Y"/>
      <sheetName val="She_x005f_x0009__x005f_x0000_Y_x005f_x0000_"/>
      <sheetName val="EQT-ESTN"/>
      <sheetName val="건축원가"/>
      <sheetName val="투찰금액"/>
      <sheetName val="3.공통공사대비"/>
      <sheetName val="매매"/>
      <sheetName val="She_x0009_"/>
      <sheetName val=""/>
      <sheetName val="She "/>
      <sheetName val="토공(우물통,기타) "/>
      <sheetName val="1.우편집중내역서"/>
      <sheetName val="SALE"/>
      <sheetName val="변경내역"/>
      <sheetName val="일위목록"/>
      <sheetName val="집 계 표"/>
      <sheetName val="Sheet2"/>
      <sheetName val="절취및터파기"/>
      <sheetName val="사업부배부A"/>
      <sheetName val="노임"/>
      <sheetName val="기계내역서"/>
      <sheetName val="계측기"/>
      <sheetName val="UEC영화관본공사내역"/>
      <sheetName val="패널"/>
      <sheetName val="급탕순환펌프"/>
      <sheetName val="노무비단가"/>
      <sheetName val="단가조사"/>
      <sheetName val="자판실행"/>
      <sheetName val="EACT10"/>
      <sheetName val="연결임시"/>
      <sheetName val="TOWER 12TON"/>
      <sheetName val="TOWER 10TON"/>
      <sheetName val="수량3"/>
      <sheetName val="관람석제출"/>
      <sheetName val="수량산출근거(본선)"/>
      <sheetName val="단가산출서"/>
      <sheetName val="매출금액"/>
      <sheetName val="SCH"/>
      <sheetName val="절점(04-R1)"/>
      <sheetName val="건1"/>
      <sheetName val="data1"/>
      <sheetName val="MAT_N048"/>
      <sheetName val="지우기"/>
      <sheetName val="R,BLOCK 세부일정"/>
      <sheetName val="ASPHALT TANK"/>
      <sheetName val="E,ROOM 세부일정"/>
      <sheetName val="LPG TANK"/>
      <sheetName val="9.10곡B(대조립)"/>
      <sheetName val="15.B.S"/>
      <sheetName val="13.B.W"/>
      <sheetName val="8.BLT"/>
      <sheetName val="16.C.L"/>
      <sheetName val="11.H.C"/>
      <sheetName val="14.S.T"/>
      <sheetName val="12.T.W"/>
      <sheetName val="1004"/>
      <sheetName val="검사현황"/>
      <sheetName val="상선"/>
      <sheetName val="S1099기장선행WOP"/>
      <sheetName val="REV.0822"/>
      <sheetName val="매출"/>
      <sheetName val="고장MASTER"/>
      <sheetName val="첨부1. 장비별고장"/>
      <sheetName val="첨부2. 장비별원인"/>
      <sheetName val="작업자성명"/>
      <sheetName val="투입자재"/>
      <sheetName val="원형1호맨홀토공수량"/>
      <sheetName val="견적"/>
      <sheetName val="일반공사"/>
      <sheetName val="LIQUIDMETAL-경보설비"/>
      <sheetName val="토공사(흙막이)"/>
      <sheetName val="천안IP공장자100노100물량110할증"/>
      <sheetName val="QandAJunior"/>
      <sheetName val="품의"/>
      <sheetName val="항목등록"/>
      <sheetName val="산근"/>
      <sheetName val="대로근거"/>
      <sheetName val="중로근거"/>
      <sheetName val="접속도로1"/>
      <sheetName val="부대공Ⅱ"/>
      <sheetName val="인건-측정"/>
      <sheetName val="실행"/>
      <sheetName val="Customer Databas"/>
      <sheetName val="손익분석"/>
      <sheetName val="현경"/>
      <sheetName val="항목코드"/>
      <sheetName val="단가대비"/>
      <sheetName val="지구단위계획"/>
      <sheetName val="집계표"/>
      <sheetName val="약품공급2"/>
      <sheetName val="2000년1차"/>
      <sheetName val="PANEL"/>
      <sheetName val="전기내역"/>
      <sheetName val="인원조직표"/>
      <sheetName val="Resource2"/>
      <sheetName val="원가서"/>
      <sheetName val="수량산출서"/>
      <sheetName val="득점현황"/>
      <sheetName val="장비사양"/>
      <sheetName val="원가총괄"/>
      <sheetName val="0207집계"/>
      <sheetName val="POL6차-PIPING"/>
      <sheetName val="GAEYO"/>
      <sheetName val="(C)원내역"/>
      <sheetName val="내역(전력)"/>
      <sheetName val="총물량"/>
      <sheetName val="날개벽수량표"/>
      <sheetName val="5.경상직원"/>
      <sheetName val="간접1"/>
      <sheetName val="소방사항"/>
      <sheetName val="표지"/>
      <sheetName val="인테리어공사 내역"/>
      <sheetName val="변경명신물량 (2)"/>
      <sheetName val="4.전기"/>
      <sheetName val="4공철탑검토"/>
      <sheetName val="대비표"/>
      <sheetName val="일위수량"/>
      <sheetName val="시설물기초"/>
      <sheetName val="입력"/>
      <sheetName val="인부신상자료"/>
      <sheetName val="파이프류"/>
      <sheetName val="콘크리트타설집계표"/>
      <sheetName val="개산공사비"/>
      <sheetName val="문10"/>
      <sheetName val="기성내역"/>
      <sheetName val="공사비 내역 (가)"/>
      <sheetName val="현대.전주화산"/>
      <sheetName val="이자율"/>
      <sheetName val="마산방향"/>
      <sheetName val="입찰보고"/>
      <sheetName val="토지조서(원본)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기계실"/>
      <sheetName val="공조배관"/>
      <sheetName val="공조닥트"/>
      <sheetName val="위생배관"/>
      <sheetName val="연도"/>
      <sheetName val="방진"/>
      <sheetName val="수영장"/>
      <sheetName val="MYENGBU"/>
      <sheetName val="아파트 기성내역서"/>
      <sheetName val="마산월령동골조물량변경"/>
      <sheetName val="재료"/>
      <sheetName val="노임적용"/>
      <sheetName val="노무비"/>
      <sheetName val="관리현장"/>
      <sheetName val="할증 "/>
      <sheetName val="TG9504"/>
      <sheetName val="산3_4"/>
      <sheetName val="소방"/>
      <sheetName val="시멘트"/>
      <sheetName val="Macro(MCC)"/>
      <sheetName val="상품입고집계"/>
      <sheetName val="구조물공"/>
      <sheetName val="건축내역서"/>
      <sheetName val="배수내역"/>
      <sheetName val="국내"/>
      <sheetName val="하조서"/>
      <sheetName val="정산내역서"/>
      <sheetName val="LG제품"/>
      <sheetName val="은행"/>
      <sheetName val="코드표"/>
      <sheetName val="골조"/>
      <sheetName val="건축공사"/>
      <sheetName val="할빙수"/>
      <sheetName val="단양 00 아파트-세부내역"/>
      <sheetName val="변경비교-을"/>
      <sheetName val="969910( R)"/>
      <sheetName val="승인요청(협조)"/>
      <sheetName val="현장관리비세부내역 "/>
      <sheetName val="조직도"/>
      <sheetName val="인력운영계획"/>
      <sheetName val="급여산출"/>
      <sheetName val="숙소및미화원계획"/>
      <sheetName val="네트워크및냉난방기"/>
      <sheetName val="감가상각"/>
      <sheetName val="취득세"/>
      <sheetName val="인지세"/>
      <sheetName val="자산비품투입계획"/>
      <sheetName val="보험료"/>
      <sheetName val="기타복리후생비산출내역"/>
      <sheetName val="피복지급계획"/>
      <sheetName val="부동산수수료"/>
      <sheetName val="하자보험료"/>
      <sheetName val="견적서(네크워크설치비)-가설사무실"/>
      <sheetName val="견적서(네트워크설치비)-상가"/>
      <sheetName val="설_계"/>
      <sheetName val="별표_"/>
      <sheetName val="광통신_견적내역서1"/>
      <sheetName val="1_취수장"/>
      <sheetName val="_ｹ-ﾌﾞﾙ"/>
      <sheetName val="비목별_투입비"/>
      <sheetName val="예상공사비_(2)"/>
      <sheetName val="내부마감공사비_(2)"/>
      <sheetName val="101동"/>
      <sheetName val="조건"/>
      <sheetName val="견적서갑지연속"/>
      <sheetName val="선급비용"/>
      <sheetName val="6동"/>
      <sheetName val="산출서(변경후_RACK)"/>
      <sheetName val="소야공정계획표"/>
      <sheetName val="수량산출"/>
      <sheetName val="현장명입력,결재란"/>
      <sheetName val="교수설계"/>
      <sheetName val="base"/>
      <sheetName val="WING3"/>
      <sheetName val="COVER-P"/>
      <sheetName val="현장"/>
      <sheetName val="선홈통"/>
      <sheetName val="Code"/>
      <sheetName val="사용현황"/>
      <sheetName val="현장관리비"/>
      <sheetName val="05월 기성청구서"/>
      <sheetName val="하자보증수수료"/>
      <sheetName val="자료입력"/>
      <sheetName val="산출내역서집계표"/>
      <sheetName val="예산총괄"/>
      <sheetName val="자재일람"/>
      <sheetName val="선수금"/>
      <sheetName val="견"/>
      <sheetName val="서산일위대가수정분010603"/>
      <sheetName val="투자-국내2"/>
      <sheetName val="XXXXXX"/>
      <sheetName val="전체기준Data"/>
      <sheetName val="사유서제출현황-2"/>
      <sheetName val="자재근거"/>
      <sheetName val="중기근거"/>
      <sheetName val="건축비목군분류"/>
      <sheetName val="INPUT"/>
      <sheetName val="횡배수관토공수량"/>
      <sheetName val="배수"/>
      <sheetName val="FAB4생산"/>
      <sheetName val="견적을지"/>
      <sheetName val="Xunit"/>
      <sheetName val="초등학교내역서"/>
      <sheetName val="현장식당(1)"/>
      <sheetName val="기초"/>
      <sheetName val="단위량당중기"/>
      <sheetName val="토목공사"/>
      <sheetName val="공량산출근거서"/>
      <sheetName val="IMPEADENCE MAP 취수장"/>
      <sheetName val="2-1.4 공조기 측정"/>
      <sheetName val="집계"/>
      <sheetName val="종가"/>
      <sheetName val="설명"/>
      <sheetName val="2-3.35평형부하계산(최대부하)"/>
      <sheetName val="2-3.1평형부하계산(최대부하)"/>
      <sheetName val="2-3.2평형부하계산(최대부하)"/>
      <sheetName val="2-3.3평형부하계산(최대부하)"/>
      <sheetName val="2-3.4평형부하계산(최대부하)"/>
      <sheetName val="2-3.5평형부하계산(최대부하)"/>
      <sheetName val="She _x005f_x005f_x005f_x0000_Y_x005f_x005f_x005f_x0000_"/>
      <sheetName val="_x005f_x005f_x005f_x0000__x005f_x005f_x005f_x000a__x005"/>
      <sheetName val="She_x005f_x005f_x005f_x0009__x005f_x005f_x005f_x0000_Y_"/>
      <sheetName val="She_x005f_x0009_"/>
      <sheetName val="품목"/>
      <sheetName val="수정시산표"/>
      <sheetName val="대림경상68억"/>
      <sheetName val="문학간접"/>
      <sheetName val="가로내역"/>
      <sheetName val="말뚝지지력산정"/>
      <sheetName val=" "/>
      <sheetName val="총괄수지표"/>
      <sheetName val="퍼스트"/>
      <sheetName val="0Title"/>
      <sheetName val="사업장관리번호"/>
      <sheetName val="제직재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AAFE-C9CD-419A-89FC-5966E7D9A58E}">
  <sheetPr>
    <pageSetUpPr fitToPage="1"/>
  </sheetPr>
  <dimension ref="A1:K58"/>
  <sheetViews>
    <sheetView zoomScaleNormal="100" zoomScaleSheetLayoutView="55" workbookViewId="0">
      <pane xSplit="1" ySplit="5" topLeftCell="B6" activePane="bottomRight" state="frozen"/>
      <selection activeCell="D7" sqref="D7:I25"/>
      <selection pane="topRight" activeCell="D7" sqref="D7:I25"/>
      <selection pane="bottomLeft" activeCell="D7" sqref="D7:I25"/>
      <selection pane="bottomRight" activeCell="B12" sqref="B12:C12"/>
    </sheetView>
  </sheetViews>
  <sheetFormatPr defaultRowHeight="16.5" x14ac:dyDescent="0.3"/>
  <cols>
    <col min="1" max="1" width="9.25" style="110" customWidth="1"/>
    <col min="2" max="2" width="9.125" style="110" customWidth="1"/>
    <col min="3" max="7" width="9.625" style="110" customWidth="1"/>
    <col min="8" max="16384" width="9" style="110"/>
  </cols>
  <sheetData>
    <row r="1" spans="1:11" ht="26.25" x14ac:dyDescent="0.3">
      <c r="A1" s="140"/>
      <c r="B1" s="139"/>
      <c r="C1" s="139"/>
      <c r="D1" s="139"/>
      <c r="E1" s="139"/>
      <c r="F1" s="139"/>
      <c r="G1" s="139"/>
    </row>
    <row r="2" spans="1:11" ht="15" customHeight="1" thickBot="1" x14ac:dyDescent="0.35">
      <c r="A2" s="138"/>
      <c r="B2" s="138"/>
      <c r="C2" s="138"/>
      <c r="D2" s="138"/>
      <c r="E2" s="138"/>
      <c r="F2" s="138"/>
      <c r="G2" s="138"/>
    </row>
    <row r="3" spans="1:11" s="129" customFormat="1" ht="64.5" customHeight="1" x14ac:dyDescent="0.3">
      <c r="A3" s="143" t="s">
        <v>87</v>
      </c>
      <c r="B3" s="142" t="s">
        <v>86</v>
      </c>
      <c r="C3" s="142"/>
      <c r="D3" s="142"/>
      <c r="E3" s="142"/>
      <c r="F3" s="142"/>
      <c r="G3" s="142"/>
    </row>
    <row r="4" spans="1:11" s="132" customFormat="1" ht="33" customHeight="1" x14ac:dyDescent="0.3">
      <c r="A4" s="144"/>
      <c r="B4" s="137" t="s">
        <v>85</v>
      </c>
      <c r="C4" s="136" t="s">
        <v>84</v>
      </c>
      <c r="D4" s="136" t="s">
        <v>83</v>
      </c>
      <c r="E4" s="135" t="s">
        <v>82</v>
      </c>
      <c r="F4" s="134" t="s">
        <v>81</v>
      </c>
      <c r="G4" s="133" t="s">
        <v>80</v>
      </c>
    </row>
    <row r="5" spans="1:11" s="129" customFormat="1" ht="33" customHeight="1" x14ac:dyDescent="0.3">
      <c r="A5" s="144"/>
      <c r="B5" s="130" t="s">
        <v>79</v>
      </c>
      <c r="C5" s="130" t="s">
        <v>79</v>
      </c>
      <c r="D5" s="130" t="s">
        <v>79</v>
      </c>
      <c r="E5" s="130" t="s">
        <v>78</v>
      </c>
      <c r="F5" s="131" t="s">
        <v>77</v>
      </c>
      <c r="G5" s="130" t="s">
        <v>76</v>
      </c>
    </row>
    <row r="6" spans="1:11" s="129" customFormat="1" ht="24.95" customHeight="1" x14ac:dyDescent="0.3">
      <c r="A6" s="124" t="s">
        <v>35</v>
      </c>
      <c r="B6" s="125"/>
      <c r="C6" s="125"/>
      <c r="D6" s="125">
        <v>40</v>
      </c>
      <c r="E6" s="125"/>
      <c r="F6" s="122"/>
      <c r="G6" s="125">
        <f>85.63+142.437</f>
        <v>228.06700000000001</v>
      </c>
    </row>
    <row r="7" spans="1:11" s="129" customFormat="1" ht="24.95" customHeight="1" x14ac:dyDescent="0.3">
      <c r="A7" s="124" t="s">
        <v>88</v>
      </c>
      <c r="B7" s="125"/>
      <c r="C7" s="125"/>
      <c r="D7" s="125">
        <f>260+56.18+58.289</f>
        <v>374.46899999999999</v>
      </c>
      <c r="E7" s="125">
        <f>D7</f>
        <v>374.46899999999999</v>
      </c>
      <c r="F7" s="122">
        <f>47.07+63.554</f>
        <v>110.624</v>
      </c>
      <c r="G7" s="125">
        <v>1643.33</v>
      </c>
    </row>
    <row r="8" spans="1:11" ht="24.95" customHeight="1" x14ac:dyDescent="0.3">
      <c r="A8" s="124" t="s">
        <v>75</v>
      </c>
      <c r="B8" s="125"/>
      <c r="C8" s="125"/>
      <c r="D8" s="125">
        <f>2997.597+1856.972</f>
        <v>4854.5690000000004</v>
      </c>
      <c r="E8" s="125">
        <f>D8</f>
        <v>4854.5690000000004</v>
      </c>
      <c r="F8" s="122">
        <f>52.45+65.564</f>
        <v>118.014</v>
      </c>
      <c r="G8" s="125">
        <f>309.62+472.732</f>
        <v>782.35200000000009</v>
      </c>
    </row>
    <row r="9" spans="1:11" ht="24.95" customHeight="1" x14ac:dyDescent="0.3">
      <c r="A9" s="124" t="s">
        <v>74</v>
      </c>
      <c r="B9" s="128"/>
      <c r="C9" s="128"/>
      <c r="D9" s="128">
        <f>3419.37+1652.227</f>
        <v>5071.5969999999998</v>
      </c>
      <c r="E9" s="125">
        <f>D9</f>
        <v>5071.5969999999998</v>
      </c>
      <c r="F9" s="122">
        <f>74.71+77.545</f>
        <v>152.255</v>
      </c>
      <c r="G9" s="128">
        <f>563.5+683.818</f>
        <v>1247.318</v>
      </c>
    </row>
    <row r="10" spans="1:11" ht="24.95" customHeight="1" x14ac:dyDescent="0.3">
      <c r="A10" s="124" t="s">
        <v>73</v>
      </c>
      <c r="B10" s="121">
        <v>651</v>
      </c>
      <c r="C10" s="121">
        <v>796</v>
      </c>
      <c r="D10" s="121">
        <v>215.69</v>
      </c>
      <c r="E10" s="125">
        <f>D10</f>
        <v>215.69</v>
      </c>
      <c r="F10" s="122">
        <v>28.57</v>
      </c>
      <c r="G10" s="121">
        <v>209.36</v>
      </c>
      <c r="I10" s="127"/>
    </row>
    <row r="11" spans="1:11" ht="24.95" customHeight="1" x14ac:dyDescent="0.3">
      <c r="A11" s="124" t="s">
        <v>72</v>
      </c>
      <c r="B11" s="121">
        <v>654</v>
      </c>
      <c r="C11" s="121">
        <v>800</v>
      </c>
      <c r="D11" s="121">
        <v>326.61</v>
      </c>
      <c r="E11" s="125">
        <f>D11</f>
        <v>326.61</v>
      </c>
      <c r="F11" s="122">
        <v>26.41</v>
      </c>
      <c r="G11" s="121">
        <v>236.35</v>
      </c>
      <c r="I11" s="127"/>
    </row>
    <row r="12" spans="1:11" ht="24.95" customHeight="1" x14ac:dyDescent="0.3">
      <c r="A12" s="124" t="s">
        <v>71</v>
      </c>
      <c r="B12" s="121">
        <v>780</v>
      </c>
      <c r="C12" s="121">
        <v>954</v>
      </c>
      <c r="D12" s="121"/>
      <c r="E12" s="121"/>
      <c r="F12" s="122">
        <v>21.38</v>
      </c>
      <c r="G12" s="121">
        <v>224.32</v>
      </c>
      <c r="I12" s="127"/>
      <c r="K12" s="141">
        <f>(C12+B12)</f>
        <v>1734</v>
      </c>
    </row>
    <row r="13" spans="1:11" ht="24.95" customHeight="1" x14ac:dyDescent="0.3">
      <c r="A13" s="124" t="s">
        <v>70</v>
      </c>
      <c r="B13" s="121">
        <v>779</v>
      </c>
      <c r="C13" s="121">
        <v>952</v>
      </c>
      <c r="D13" s="121"/>
      <c r="E13" s="121"/>
      <c r="F13" s="122">
        <v>18.829999999999998</v>
      </c>
      <c r="G13" s="121">
        <v>224.29</v>
      </c>
      <c r="I13" s="127"/>
    </row>
    <row r="14" spans="1:11" ht="24.95" customHeight="1" x14ac:dyDescent="0.3">
      <c r="A14" s="124" t="s">
        <v>69</v>
      </c>
      <c r="B14" s="121">
        <v>779</v>
      </c>
      <c r="C14" s="121">
        <v>952</v>
      </c>
      <c r="D14" s="121"/>
      <c r="E14" s="121"/>
      <c r="F14" s="122">
        <v>18.13</v>
      </c>
      <c r="G14" s="121">
        <v>224.37</v>
      </c>
      <c r="I14" s="127"/>
    </row>
    <row r="15" spans="1:11" ht="24.95" customHeight="1" x14ac:dyDescent="0.3">
      <c r="A15" s="124" t="s">
        <v>68</v>
      </c>
      <c r="B15" s="121">
        <v>779</v>
      </c>
      <c r="C15" s="121">
        <v>952</v>
      </c>
      <c r="D15" s="121"/>
      <c r="E15" s="121"/>
      <c r="F15" s="122">
        <v>18.04</v>
      </c>
      <c r="G15" s="121">
        <v>224.38</v>
      </c>
      <c r="I15" s="127"/>
    </row>
    <row r="16" spans="1:11" ht="24.95" customHeight="1" x14ac:dyDescent="0.3">
      <c r="A16" s="124" t="s">
        <v>67</v>
      </c>
      <c r="B16" s="121">
        <v>779</v>
      </c>
      <c r="C16" s="121">
        <v>952</v>
      </c>
      <c r="D16" s="121"/>
      <c r="E16" s="121"/>
      <c r="F16" s="122">
        <v>16.78</v>
      </c>
      <c r="G16" s="121">
        <v>224.53</v>
      </c>
      <c r="I16" s="127"/>
    </row>
    <row r="17" spans="1:9" ht="24.95" customHeight="1" x14ac:dyDescent="0.3">
      <c r="A17" s="124" t="s">
        <v>66</v>
      </c>
      <c r="B17" s="121">
        <v>779</v>
      </c>
      <c r="C17" s="121">
        <v>952</v>
      </c>
      <c r="D17" s="121"/>
      <c r="E17" s="121"/>
      <c r="F17" s="122">
        <v>16.68</v>
      </c>
      <c r="G17" s="121">
        <v>224.55</v>
      </c>
      <c r="I17" s="127"/>
    </row>
    <row r="18" spans="1:9" ht="24.95" customHeight="1" x14ac:dyDescent="0.3">
      <c r="A18" s="124" t="s">
        <v>65</v>
      </c>
      <c r="B18" s="121">
        <v>779</v>
      </c>
      <c r="C18" s="121">
        <v>952</v>
      </c>
      <c r="D18" s="121"/>
      <c r="E18" s="121"/>
      <c r="F18" s="122">
        <v>16.510000000000002</v>
      </c>
      <c r="G18" s="121">
        <v>224.57</v>
      </c>
      <c r="I18" s="127"/>
    </row>
    <row r="19" spans="1:9" ht="24.95" customHeight="1" x14ac:dyDescent="0.3">
      <c r="A19" s="124" t="s">
        <v>64</v>
      </c>
      <c r="B19" s="121">
        <v>779</v>
      </c>
      <c r="C19" s="121">
        <v>952</v>
      </c>
      <c r="D19" s="121"/>
      <c r="E19" s="121"/>
      <c r="F19" s="122">
        <v>16.440000000000001</v>
      </c>
      <c r="G19" s="121">
        <v>224.58</v>
      </c>
      <c r="I19" s="127"/>
    </row>
    <row r="20" spans="1:9" ht="24.95" customHeight="1" x14ac:dyDescent="0.3">
      <c r="A20" s="124" t="s">
        <v>63</v>
      </c>
      <c r="B20" s="121">
        <v>779</v>
      </c>
      <c r="C20" s="121">
        <v>952</v>
      </c>
      <c r="D20" s="121"/>
      <c r="E20" s="121"/>
      <c r="F20" s="122">
        <v>16.39</v>
      </c>
      <c r="G20" s="121">
        <v>224.58</v>
      </c>
      <c r="I20" s="127"/>
    </row>
    <row r="21" spans="1:9" ht="24.95" customHeight="1" x14ac:dyDescent="0.3">
      <c r="A21" s="124" t="s">
        <v>62</v>
      </c>
      <c r="B21" s="121">
        <v>779</v>
      </c>
      <c r="C21" s="121">
        <v>952</v>
      </c>
      <c r="D21" s="121"/>
      <c r="E21" s="121"/>
      <c r="F21" s="122">
        <v>16.37</v>
      </c>
      <c r="G21" s="121">
        <v>224.58</v>
      </c>
      <c r="I21" s="127"/>
    </row>
    <row r="22" spans="1:9" ht="24.95" customHeight="1" x14ac:dyDescent="0.3">
      <c r="A22" s="124" t="s">
        <v>61</v>
      </c>
      <c r="B22" s="121">
        <v>779</v>
      </c>
      <c r="C22" s="121">
        <v>952</v>
      </c>
      <c r="D22" s="121"/>
      <c r="E22" s="121"/>
      <c r="F22" s="122">
        <v>16.38</v>
      </c>
      <c r="G22" s="121">
        <v>224.58</v>
      </c>
      <c r="I22" s="127"/>
    </row>
    <row r="23" spans="1:9" ht="24.95" customHeight="1" x14ac:dyDescent="0.3">
      <c r="A23" s="124" t="s">
        <v>60</v>
      </c>
      <c r="B23" s="121">
        <v>812</v>
      </c>
      <c r="C23" s="121">
        <v>992</v>
      </c>
      <c r="D23" s="121"/>
      <c r="E23" s="121"/>
      <c r="F23" s="122">
        <v>16.309999999999999</v>
      </c>
      <c r="G23" s="121">
        <v>224.59</v>
      </c>
      <c r="I23" s="127"/>
    </row>
    <row r="24" spans="1:9" ht="24.95" customHeight="1" x14ac:dyDescent="0.3">
      <c r="A24" s="124" t="s">
        <v>59</v>
      </c>
      <c r="B24" s="121">
        <v>762</v>
      </c>
      <c r="C24" s="121">
        <v>931</v>
      </c>
      <c r="D24" s="121"/>
      <c r="E24" s="121"/>
      <c r="F24" s="122">
        <v>16.52</v>
      </c>
      <c r="G24" s="121">
        <v>195.56</v>
      </c>
      <c r="I24" s="126"/>
    </row>
    <row r="25" spans="1:9" ht="24.95" customHeight="1" x14ac:dyDescent="0.3">
      <c r="A25" s="124" t="s">
        <v>58</v>
      </c>
      <c r="B25" s="121"/>
      <c r="C25" s="121"/>
      <c r="D25" s="121">
        <v>354.47399999999999</v>
      </c>
      <c r="E25" s="125">
        <f>D25</f>
        <v>354.47399999999999</v>
      </c>
      <c r="F25" s="122">
        <v>9.93</v>
      </c>
      <c r="G25" s="121">
        <v>101.54</v>
      </c>
    </row>
    <row r="26" spans="1:9" ht="24.95" customHeight="1" x14ac:dyDescent="0.3">
      <c r="A26" s="124" t="s">
        <v>57</v>
      </c>
      <c r="B26" s="121"/>
      <c r="C26" s="121"/>
      <c r="D26" s="121">
        <v>337.262</v>
      </c>
      <c r="E26" s="125">
        <f>D26</f>
        <v>337.262</v>
      </c>
      <c r="F26" s="122">
        <v>2.52</v>
      </c>
      <c r="G26" s="121">
        <v>40.25</v>
      </c>
    </row>
    <row r="27" spans="1:9" ht="24.95" customHeight="1" x14ac:dyDescent="0.3">
      <c r="A27" s="124"/>
      <c r="B27" s="121"/>
      <c r="C27" s="121"/>
      <c r="D27" s="121"/>
      <c r="E27" s="121"/>
      <c r="F27" s="122"/>
      <c r="G27" s="121"/>
    </row>
    <row r="28" spans="1:9" ht="24.95" customHeight="1" x14ac:dyDescent="0.3">
      <c r="A28" s="124"/>
      <c r="B28" s="121"/>
      <c r="C28" s="121"/>
      <c r="D28" s="121"/>
      <c r="E28" s="121"/>
      <c r="F28" s="122"/>
      <c r="G28" s="121"/>
    </row>
    <row r="29" spans="1:9" ht="24.95" customHeight="1" x14ac:dyDescent="0.3">
      <c r="A29" s="124"/>
      <c r="B29" s="121"/>
      <c r="C29" s="121"/>
      <c r="D29" s="121"/>
      <c r="E29" s="121"/>
      <c r="F29" s="122"/>
      <c r="G29" s="121"/>
    </row>
    <row r="30" spans="1:9" ht="24.95" customHeight="1" x14ac:dyDescent="0.3">
      <c r="A30" s="124"/>
      <c r="B30" s="121"/>
      <c r="C30" s="121"/>
      <c r="D30" s="121"/>
      <c r="E30" s="121"/>
      <c r="F30" s="122"/>
      <c r="G30" s="121"/>
    </row>
    <row r="31" spans="1:9" ht="24.95" customHeight="1" x14ac:dyDescent="0.3">
      <c r="A31" s="124"/>
      <c r="B31" s="121"/>
      <c r="C31" s="121"/>
      <c r="D31" s="121"/>
      <c r="E31" s="121"/>
      <c r="F31" s="122"/>
      <c r="G31" s="121"/>
    </row>
    <row r="32" spans="1:9" ht="24.95" customHeight="1" x14ac:dyDescent="0.3">
      <c r="A32" s="124"/>
      <c r="B32" s="121"/>
      <c r="C32" s="121"/>
      <c r="D32" s="121"/>
      <c r="E32" s="121"/>
      <c r="F32" s="122"/>
      <c r="G32" s="121"/>
    </row>
    <row r="33" spans="1:7" ht="24.95" customHeight="1" x14ac:dyDescent="0.3">
      <c r="A33" s="124"/>
      <c r="B33" s="121"/>
      <c r="C33" s="121"/>
      <c r="D33" s="121"/>
      <c r="E33" s="121"/>
      <c r="F33" s="122"/>
      <c r="G33" s="121"/>
    </row>
    <row r="34" spans="1:7" ht="24.95" customHeight="1" x14ac:dyDescent="0.3">
      <c r="A34" s="124"/>
      <c r="B34" s="121"/>
      <c r="C34" s="121"/>
      <c r="D34" s="121"/>
      <c r="E34" s="121"/>
      <c r="F34" s="122"/>
      <c r="G34" s="121"/>
    </row>
    <row r="35" spans="1:7" ht="24.95" customHeight="1" x14ac:dyDescent="0.3">
      <c r="A35" s="124"/>
      <c r="B35" s="121"/>
      <c r="C35" s="121"/>
      <c r="D35" s="121"/>
      <c r="E35" s="121"/>
      <c r="F35" s="122"/>
      <c r="G35" s="121"/>
    </row>
    <row r="36" spans="1:7" ht="24.95" customHeight="1" x14ac:dyDescent="0.3">
      <c r="A36" s="124"/>
      <c r="B36" s="121"/>
      <c r="C36" s="121"/>
      <c r="D36" s="121"/>
      <c r="E36" s="121"/>
      <c r="F36" s="122"/>
      <c r="G36" s="121"/>
    </row>
    <row r="37" spans="1:7" ht="24.95" customHeight="1" x14ac:dyDescent="0.3">
      <c r="A37" s="124"/>
      <c r="B37" s="121"/>
      <c r="C37" s="121"/>
      <c r="D37" s="121"/>
      <c r="E37" s="121"/>
      <c r="F37" s="122"/>
      <c r="G37" s="121"/>
    </row>
    <row r="38" spans="1:7" ht="24.95" customHeight="1" x14ac:dyDescent="0.3">
      <c r="A38" s="124"/>
      <c r="B38" s="121"/>
      <c r="C38" s="121"/>
      <c r="D38" s="121"/>
      <c r="E38" s="121"/>
      <c r="F38" s="122"/>
      <c r="G38" s="121"/>
    </row>
    <row r="39" spans="1:7" ht="24.95" customHeight="1" x14ac:dyDescent="0.3">
      <c r="A39" s="124"/>
      <c r="B39" s="121"/>
      <c r="C39" s="121"/>
      <c r="D39" s="121"/>
      <c r="E39" s="123"/>
      <c r="F39" s="122"/>
      <c r="G39" s="121"/>
    </row>
    <row r="40" spans="1:7" ht="24.95" customHeight="1" x14ac:dyDescent="0.3">
      <c r="A40" s="124"/>
      <c r="B40" s="121"/>
      <c r="C40" s="121"/>
      <c r="D40" s="121"/>
      <c r="E40" s="123"/>
      <c r="F40" s="122"/>
      <c r="G40" s="121"/>
    </row>
    <row r="41" spans="1:7" ht="24.95" customHeight="1" x14ac:dyDescent="0.3">
      <c r="A41" s="120"/>
      <c r="B41" s="117"/>
      <c r="C41" s="117"/>
      <c r="D41" s="117"/>
      <c r="E41" s="119"/>
      <c r="F41" s="118"/>
      <c r="G41" s="117"/>
    </row>
    <row r="42" spans="1:7" ht="24.95" customHeight="1" x14ac:dyDescent="0.3">
      <c r="A42" s="120"/>
      <c r="B42" s="117"/>
      <c r="C42" s="117"/>
      <c r="D42" s="117"/>
      <c r="E42" s="119"/>
      <c r="F42" s="118"/>
      <c r="G42" s="117"/>
    </row>
    <row r="43" spans="1:7" ht="24.95" customHeight="1" x14ac:dyDescent="0.3">
      <c r="A43" s="120"/>
      <c r="B43" s="117"/>
      <c r="C43" s="117"/>
      <c r="D43" s="117"/>
      <c r="E43" s="119"/>
      <c r="F43" s="118"/>
      <c r="G43" s="117"/>
    </row>
    <row r="44" spans="1:7" ht="24.95" customHeight="1" x14ac:dyDescent="0.3">
      <c r="A44" s="120"/>
      <c r="B44" s="117"/>
      <c r="C44" s="117"/>
      <c r="D44" s="117"/>
      <c r="E44" s="119"/>
      <c r="F44" s="118"/>
      <c r="G44" s="117"/>
    </row>
    <row r="45" spans="1:7" ht="24.95" customHeight="1" x14ac:dyDescent="0.3">
      <c r="A45" s="120"/>
      <c r="B45" s="117"/>
      <c r="C45" s="117"/>
      <c r="D45" s="117"/>
      <c r="E45" s="119"/>
      <c r="F45" s="118"/>
      <c r="G45" s="117"/>
    </row>
    <row r="46" spans="1:7" ht="24.95" customHeight="1" x14ac:dyDescent="0.3">
      <c r="A46" s="120"/>
      <c r="B46" s="117"/>
      <c r="C46" s="117"/>
      <c r="D46" s="117"/>
      <c r="E46" s="119"/>
      <c r="F46" s="118"/>
      <c r="G46" s="117"/>
    </row>
    <row r="47" spans="1:7" ht="24.95" customHeight="1" x14ac:dyDescent="0.3">
      <c r="A47" s="120"/>
      <c r="B47" s="117"/>
      <c r="C47" s="117"/>
      <c r="D47" s="117"/>
      <c r="E47" s="119"/>
      <c r="F47" s="118"/>
      <c r="G47" s="117"/>
    </row>
    <row r="48" spans="1:7" ht="24.95" customHeight="1" x14ac:dyDescent="0.3">
      <c r="A48" s="120"/>
      <c r="B48" s="117"/>
      <c r="C48" s="117"/>
      <c r="D48" s="117"/>
      <c r="E48" s="119"/>
      <c r="F48" s="118"/>
      <c r="G48" s="117"/>
    </row>
    <row r="49" spans="1:7" s="113" customFormat="1" ht="24.95" customHeight="1" thickBot="1" x14ac:dyDescent="0.35">
      <c r="A49" s="116"/>
      <c r="B49" s="114">
        <f>SUM(B6:B48)</f>
        <v>11449</v>
      </c>
      <c r="C49" s="114">
        <f>SUM(C6:C48)</f>
        <v>13993</v>
      </c>
      <c r="D49" s="114">
        <f>SUM(D6:D48)</f>
        <v>11574.671000000002</v>
      </c>
      <c r="E49" s="114">
        <f>SUM(E6:E48)</f>
        <v>11534.671000000002</v>
      </c>
      <c r="F49" s="115">
        <f>SUM(F7:F26)</f>
        <v>673.08299999999974</v>
      </c>
      <c r="G49" s="114">
        <f>SUM(G6:G48)</f>
        <v>7378.0469999999996</v>
      </c>
    </row>
    <row r="50" spans="1:7" x14ac:dyDescent="0.3">
      <c r="B50" s="112"/>
      <c r="C50" s="112"/>
      <c r="D50" s="112"/>
      <c r="E50" s="112"/>
      <c r="F50" s="112"/>
      <c r="G50" s="112"/>
    </row>
    <row r="51" spans="1:7" ht="39.950000000000003" customHeight="1" x14ac:dyDescent="0.3">
      <c r="F51" s="111"/>
    </row>
    <row r="52" spans="1:7" ht="39.950000000000003" customHeight="1" x14ac:dyDescent="0.3"/>
    <row r="53" spans="1:7" ht="39.950000000000003" customHeight="1" x14ac:dyDescent="0.3"/>
    <row r="54" spans="1:7" ht="39.950000000000003" customHeight="1" x14ac:dyDescent="0.3"/>
    <row r="55" spans="1:7" ht="39.950000000000003" customHeight="1" x14ac:dyDescent="0.3"/>
    <row r="56" spans="1:7" ht="39.950000000000003" customHeight="1" x14ac:dyDescent="0.3"/>
    <row r="57" spans="1:7" ht="39.950000000000003" customHeight="1" x14ac:dyDescent="0.3"/>
    <row r="58" spans="1:7" ht="39.950000000000003" customHeight="1" x14ac:dyDescent="0.3"/>
  </sheetData>
  <mergeCells count="2">
    <mergeCell ref="B3:G3"/>
    <mergeCell ref="A3:A5"/>
  </mergeCells>
  <phoneticPr fontId="1" type="noConversion"/>
  <printOptions horizontalCentered="1"/>
  <pageMargins left="0.25" right="0.25" top="0.75" bottom="0.75" header="0.3" footer="0.3"/>
  <pageSetup paperSize="8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32BB-BBA9-4D29-A495-ABB1A3E5FF90}">
  <dimension ref="A1:Z64"/>
  <sheetViews>
    <sheetView zoomScale="85" zoomScaleNormal="85" workbookViewId="0">
      <pane ySplit="3" topLeftCell="A7" activePane="bottomLeft" state="frozen"/>
      <selection pane="bottomLeft" activeCell="E23" sqref="E23"/>
    </sheetView>
  </sheetViews>
  <sheetFormatPr defaultRowHeight="16.5" x14ac:dyDescent="0.3"/>
  <cols>
    <col min="1" max="2" width="22.625" customWidth="1"/>
    <col min="3" max="3" width="21.25" bestFit="1" customWidth="1"/>
    <col min="6" max="8" width="17.125" customWidth="1"/>
    <col min="9" max="9" width="28.75" customWidth="1"/>
    <col min="10" max="10" width="15.875" bestFit="1" customWidth="1"/>
    <col min="12" max="12" width="15" customWidth="1"/>
    <col min="14" max="14" width="10.375" customWidth="1"/>
    <col min="15" max="15" width="16.5" bestFit="1" customWidth="1"/>
    <col min="16" max="16" width="16.5" customWidth="1"/>
    <col min="17" max="17" width="115.5" customWidth="1"/>
    <col min="18" max="18" width="14.375" customWidth="1"/>
    <col min="19" max="19" width="11.875" customWidth="1"/>
    <col min="20" max="21" width="9.25" customWidth="1"/>
    <col min="23" max="23" width="13.25" customWidth="1"/>
    <col min="24" max="24" width="13.75" customWidth="1"/>
    <col min="25" max="25" width="13.375" customWidth="1"/>
    <col min="26" max="26" width="16.5" customWidth="1"/>
    <col min="28" max="28" width="116.5" bestFit="1" customWidth="1"/>
    <col min="30" max="30" width="16" bestFit="1" customWidth="1"/>
    <col min="32" max="32" width="100.75" bestFit="1" customWidth="1"/>
  </cols>
  <sheetData>
    <row r="1" spans="1:26" ht="31.5" x14ac:dyDescent="0.3">
      <c r="A1" s="6"/>
      <c r="B1" s="6"/>
    </row>
    <row r="2" spans="1:26" ht="17.25" thickBot="1" x14ac:dyDescent="0.35">
      <c r="F2" s="20"/>
      <c r="G2" s="21"/>
      <c r="H2" s="21"/>
      <c r="L2" s="2"/>
    </row>
    <row r="3" spans="1:26" x14ac:dyDescent="0.3">
      <c r="A3" s="4" t="s">
        <v>14</v>
      </c>
      <c r="B3" s="4" t="s">
        <v>98</v>
      </c>
      <c r="C3" s="8" t="s">
        <v>95</v>
      </c>
      <c r="D3" s="4" t="s">
        <v>0</v>
      </c>
      <c r="E3" s="4" t="s">
        <v>1</v>
      </c>
      <c r="F3" s="10" t="s">
        <v>37</v>
      </c>
      <c r="G3" s="12" t="s">
        <v>33</v>
      </c>
      <c r="H3" s="12" t="s">
        <v>54</v>
      </c>
      <c r="I3" s="8" t="s">
        <v>49</v>
      </c>
      <c r="J3" s="4" t="s">
        <v>9</v>
      </c>
      <c r="K3" s="4" t="s">
        <v>10</v>
      </c>
      <c r="L3" s="8" t="s">
        <v>34</v>
      </c>
      <c r="M3" s="4" t="s">
        <v>2</v>
      </c>
      <c r="N3" s="8" t="s">
        <v>50</v>
      </c>
      <c r="O3" s="4" t="s">
        <v>51</v>
      </c>
      <c r="P3" s="5"/>
    </row>
    <row r="4" spans="1:26" x14ac:dyDescent="0.3">
      <c r="A4" s="154" t="s">
        <v>35</v>
      </c>
      <c r="B4" s="147" t="s">
        <v>99</v>
      </c>
      <c r="C4" s="75" t="s">
        <v>15</v>
      </c>
      <c r="D4" s="77" t="s">
        <v>7</v>
      </c>
      <c r="E4" s="78">
        <f>'동,층별물량표'!D6</f>
        <v>40</v>
      </c>
      <c r="F4" s="79">
        <v>10</v>
      </c>
      <c r="G4" s="80">
        <f>E4/F4</f>
        <v>4</v>
      </c>
      <c r="H4" s="81">
        <f>ROUNDUP(G4/L4,0)</f>
        <v>4</v>
      </c>
      <c r="I4" s="75" t="s">
        <v>55</v>
      </c>
      <c r="J4" s="76"/>
      <c r="K4" s="77"/>
      <c r="L4" s="82">
        <v>1</v>
      </c>
      <c r="M4" s="11"/>
      <c r="N4" s="22">
        <f t="shared" ref="N4:N9" si="0">ROUNDUP(L4+M4, 0)</f>
        <v>1</v>
      </c>
      <c r="O4" s="7"/>
      <c r="Q4" s="3"/>
      <c r="R4" s="3"/>
      <c r="S4" s="19"/>
    </row>
    <row r="5" spans="1:26" x14ac:dyDescent="0.3">
      <c r="A5" s="153"/>
      <c r="B5" s="148"/>
      <c r="C5" s="39" t="s">
        <v>16</v>
      </c>
      <c r="D5" s="48" t="s">
        <v>8</v>
      </c>
      <c r="E5" s="49">
        <f>'동,층별물량표'!G6</f>
        <v>228.06700000000001</v>
      </c>
      <c r="F5" s="36">
        <v>130</v>
      </c>
      <c r="G5" s="54">
        <f>H5*L5</f>
        <v>5</v>
      </c>
      <c r="H5" s="53">
        <f>K5*5</f>
        <v>5</v>
      </c>
      <c r="I5" s="38" t="s">
        <v>39</v>
      </c>
      <c r="J5" s="47" t="s">
        <v>12</v>
      </c>
      <c r="K5" s="51">
        <f>CEILING(MIN(2, E5/I11), 1)</f>
        <v>1</v>
      </c>
      <c r="L5" s="35">
        <f>MAX(1,
    IF(E5/(F5*H5) - INT(E5/(F5*H5)) &lt; 0.5,
        ROUNDDOWN(E5/(F5*H5),0),
        ROUNDUP(E5/(F5*H5),0)
    )
)</f>
        <v>1</v>
      </c>
      <c r="M5" s="11">
        <v>1</v>
      </c>
      <c r="N5" s="22">
        <f t="shared" si="0"/>
        <v>2</v>
      </c>
      <c r="O5" s="7" t="s">
        <v>5</v>
      </c>
      <c r="Q5" s="3"/>
      <c r="R5" s="3"/>
      <c r="S5" s="19"/>
    </row>
    <row r="6" spans="1:26" x14ac:dyDescent="0.3">
      <c r="A6" s="154" t="s">
        <v>88</v>
      </c>
      <c r="B6" s="147" t="s">
        <v>99</v>
      </c>
      <c r="C6" s="28" t="s">
        <v>20</v>
      </c>
      <c r="D6" s="70"/>
      <c r="E6" s="71"/>
      <c r="F6" s="60"/>
      <c r="G6" s="61"/>
      <c r="H6" s="62">
        <v>3</v>
      </c>
      <c r="I6" s="28" t="s">
        <v>55</v>
      </c>
      <c r="J6" s="69"/>
      <c r="K6" s="70"/>
      <c r="L6" s="72">
        <v>1</v>
      </c>
      <c r="M6" s="11"/>
      <c r="N6" s="22">
        <f t="shared" si="0"/>
        <v>1</v>
      </c>
      <c r="O6" s="7"/>
      <c r="Q6" s="3"/>
      <c r="R6" s="3"/>
      <c r="S6" s="19"/>
      <c r="T6" s="5"/>
    </row>
    <row r="7" spans="1:26" x14ac:dyDescent="0.3">
      <c r="A7" s="152"/>
      <c r="B7" s="149"/>
      <c r="C7" s="40" t="s">
        <v>17</v>
      </c>
      <c r="D7" s="43" t="s">
        <v>6</v>
      </c>
      <c r="E7" s="44">
        <f>'동,층별물량표'!F7</f>
        <v>110.624</v>
      </c>
      <c r="F7" s="41">
        <v>1.1000000000000001</v>
      </c>
      <c r="G7" s="55">
        <f>ROUNDUP(E7/F7,0)</f>
        <v>101</v>
      </c>
      <c r="H7" s="45">
        <f>ROUNDUP(G7/L7,0)</f>
        <v>17</v>
      </c>
      <c r="I7" s="40" t="s">
        <v>55</v>
      </c>
      <c r="J7" s="42"/>
      <c r="K7" s="43"/>
      <c r="L7" s="46">
        <v>6</v>
      </c>
      <c r="M7" s="11">
        <v>0.5</v>
      </c>
      <c r="N7" s="22">
        <f t="shared" si="0"/>
        <v>7</v>
      </c>
      <c r="O7" s="7" t="s">
        <v>3</v>
      </c>
      <c r="Q7" s="3"/>
      <c r="R7" s="3"/>
      <c r="S7" s="19"/>
      <c r="T7" s="5"/>
    </row>
    <row r="8" spans="1:26" x14ac:dyDescent="0.3">
      <c r="A8" s="152"/>
      <c r="B8" s="149"/>
      <c r="C8" s="75" t="s">
        <v>18</v>
      </c>
      <c r="D8" s="77" t="s">
        <v>7</v>
      </c>
      <c r="E8" s="78">
        <f>'동,층별물량표'!D7</f>
        <v>374.46899999999999</v>
      </c>
      <c r="F8" s="79">
        <v>10</v>
      </c>
      <c r="G8" s="80">
        <f>ROUNDUP(E8/F8,0)</f>
        <v>38</v>
      </c>
      <c r="H8" s="81">
        <f>ROUNDUP(G8/L8,0)</f>
        <v>19</v>
      </c>
      <c r="I8" s="75" t="s">
        <v>55</v>
      </c>
      <c r="J8" s="76"/>
      <c r="K8" s="77"/>
      <c r="L8" s="82">
        <v>2</v>
      </c>
      <c r="M8" s="11">
        <v>0.5</v>
      </c>
      <c r="N8" s="22">
        <f t="shared" si="0"/>
        <v>3</v>
      </c>
      <c r="O8" s="7" t="s">
        <v>3</v>
      </c>
      <c r="Q8" s="3"/>
      <c r="R8" s="3"/>
      <c r="S8" s="19"/>
      <c r="T8" s="5"/>
    </row>
    <row r="9" spans="1:26" x14ac:dyDescent="0.3">
      <c r="A9" s="155"/>
      <c r="B9" s="150"/>
      <c r="C9" s="38" t="s">
        <v>19</v>
      </c>
      <c r="D9" s="50" t="s">
        <v>8</v>
      </c>
      <c r="E9" s="52">
        <f>'동,층별물량표'!G7</f>
        <v>1643.33</v>
      </c>
      <c r="F9" s="36">
        <v>130</v>
      </c>
      <c r="G9" s="54">
        <f>H9*L9</f>
        <v>10</v>
      </c>
      <c r="H9" s="53">
        <f>K9*5</f>
        <v>10</v>
      </c>
      <c r="I9" s="38" t="s">
        <v>38</v>
      </c>
      <c r="J9" s="47" t="s">
        <v>11</v>
      </c>
      <c r="K9" s="51">
        <f>CEILING(MIN(2, E9/I10), 1)</f>
        <v>2</v>
      </c>
      <c r="L9" s="35">
        <f>MAX(1,
    IF(E9/(F9*H9) - INT(E9/(F9*H9)) &lt; 0.5,
        ROUNDDOWN(E9/(F9*H9),0),
        ROUNDUP(E9/(F9*H9),0)
    )
)</f>
        <v>1</v>
      </c>
      <c r="M9" s="25">
        <v>3</v>
      </c>
      <c r="N9" s="22">
        <f t="shared" si="0"/>
        <v>4</v>
      </c>
      <c r="O9" s="24" t="s">
        <v>5</v>
      </c>
      <c r="Q9" s="3"/>
      <c r="R9" s="3"/>
      <c r="S9" s="19"/>
      <c r="T9" s="5"/>
    </row>
    <row r="10" spans="1:26" x14ac:dyDescent="0.3">
      <c r="C10" s="9"/>
      <c r="E10" s="19"/>
      <c r="F10" s="31"/>
      <c r="G10" s="56"/>
      <c r="H10" s="57" t="s">
        <v>48</v>
      </c>
      <c r="I10" s="33">
        <v>650</v>
      </c>
      <c r="K10" t="s">
        <v>52</v>
      </c>
      <c r="L10" s="13"/>
      <c r="M10" s="1"/>
      <c r="N10" s="14"/>
      <c r="Q10" s="3"/>
      <c r="R10" s="3"/>
      <c r="S10" s="19"/>
      <c r="T10" s="5"/>
    </row>
    <row r="11" spans="1:26" x14ac:dyDescent="0.3">
      <c r="C11" s="9"/>
      <c r="E11" s="19"/>
      <c r="F11" s="31"/>
      <c r="G11" s="1"/>
      <c r="H11" s="58" t="s">
        <v>35</v>
      </c>
      <c r="I11" s="34">
        <v>650</v>
      </c>
      <c r="L11" s="13"/>
      <c r="M11" s="1"/>
      <c r="N11" s="14"/>
      <c r="S11" s="19"/>
    </row>
    <row r="12" spans="1:26" x14ac:dyDescent="0.3">
      <c r="A12" s="154" t="s">
        <v>101</v>
      </c>
      <c r="B12" s="149" t="s">
        <v>99</v>
      </c>
      <c r="C12" s="29" t="s">
        <v>53</v>
      </c>
      <c r="D12" s="64"/>
      <c r="E12" s="65"/>
      <c r="F12" s="66"/>
      <c r="G12" s="67"/>
      <c r="H12" s="62">
        <v>3</v>
      </c>
      <c r="I12" s="28" t="s">
        <v>55</v>
      </c>
      <c r="J12" s="63"/>
      <c r="K12" s="64"/>
      <c r="L12" s="68">
        <v>1</v>
      </c>
      <c r="M12" s="27"/>
      <c r="N12" s="22">
        <f>ROUNDUP(L12+M12, 0)</f>
        <v>1</v>
      </c>
      <c r="O12" s="26"/>
      <c r="S12" s="19"/>
    </row>
    <row r="13" spans="1:26" x14ac:dyDescent="0.3">
      <c r="A13" s="152"/>
      <c r="B13" s="149"/>
      <c r="C13" s="40" t="s">
        <v>21</v>
      </c>
      <c r="D13" s="43" t="s">
        <v>6</v>
      </c>
      <c r="E13" s="44">
        <f>'동,층별물량표'!F8*0.45</f>
        <v>53.106299999999997</v>
      </c>
      <c r="F13" s="41">
        <v>0.8</v>
      </c>
      <c r="G13" s="55">
        <f>ROUNDUP(E13/F13,0)</f>
        <v>67</v>
      </c>
      <c r="H13" s="45">
        <f>ROUNDUP(G13/L13,0)</f>
        <v>14</v>
      </c>
      <c r="I13" s="40" t="s">
        <v>55</v>
      </c>
      <c r="J13" s="42"/>
      <c r="K13" s="43"/>
      <c r="L13" s="46">
        <v>5</v>
      </c>
      <c r="M13" s="11">
        <v>0.5</v>
      </c>
      <c r="N13" s="22">
        <f>ROUNDUP(L13+M13, 0)</f>
        <v>6</v>
      </c>
      <c r="O13" s="7" t="s">
        <v>3</v>
      </c>
      <c r="S13" s="19"/>
    </row>
    <row r="14" spans="1:26" x14ac:dyDescent="0.3">
      <c r="A14" s="152"/>
      <c r="B14" s="149"/>
      <c r="C14" s="75" t="s">
        <v>22</v>
      </c>
      <c r="D14" s="77" t="s">
        <v>7</v>
      </c>
      <c r="E14" s="78">
        <f>'동,층별물량표'!D8*0.95</f>
        <v>4611.8405499999999</v>
      </c>
      <c r="F14" s="79">
        <v>11</v>
      </c>
      <c r="G14" s="80">
        <f>ROUNDUP(E14/F14,0)</f>
        <v>420</v>
      </c>
      <c r="H14" s="81">
        <f>ROUNDUP(G14/L14,0)</f>
        <v>25</v>
      </c>
      <c r="I14" s="75" t="s">
        <v>55</v>
      </c>
      <c r="J14" s="76"/>
      <c r="K14" s="77"/>
      <c r="L14" s="82">
        <v>17</v>
      </c>
      <c r="M14" s="11">
        <v>1</v>
      </c>
      <c r="N14" s="22">
        <f>ROUNDUP(L14+M14, 0)</f>
        <v>18</v>
      </c>
      <c r="O14" s="7" t="s">
        <v>4</v>
      </c>
      <c r="S14" s="19"/>
      <c r="T14" s="5"/>
    </row>
    <row r="15" spans="1:26" x14ac:dyDescent="0.3">
      <c r="A15" s="152"/>
      <c r="B15" s="149"/>
      <c r="C15" s="40" t="s">
        <v>23</v>
      </c>
      <c r="D15" s="43" t="s">
        <v>6</v>
      </c>
      <c r="E15" s="44">
        <f>'동,층별물량표'!F8*0.55</f>
        <v>64.907700000000006</v>
      </c>
      <c r="F15" s="41">
        <v>0.8</v>
      </c>
      <c r="G15" s="55">
        <f>ROUNDUP(E15/F15,0)</f>
        <v>82</v>
      </c>
      <c r="H15" s="45">
        <f>ROUNDUP(G15/L15,0)</f>
        <v>17</v>
      </c>
      <c r="I15" s="40" t="s">
        <v>55</v>
      </c>
      <c r="J15" s="42"/>
      <c r="K15" s="43"/>
      <c r="L15" s="46">
        <v>5</v>
      </c>
      <c r="M15" s="11">
        <v>0.5</v>
      </c>
      <c r="N15" s="22">
        <f t="shared" ref="N15:N27" si="1">ROUNDUP(L15+M15, 0)</f>
        <v>6</v>
      </c>
      <c r="O15" s="7" t="s">
        <v>3</v>
      </c>
      <c r="S15" s="19"/>
      <c r="T15" s="5"/>
    </row>
    <row r="16" spans="1:26" x14ac:dyDescent="0.3">
      <c r="A16" s="152"/>
      <c r="B16" s="149"/>
      <c r="C16" s="75" t="s">
        <v>24</v>
      </c>
      <c r="D16" s="77"/>
      <c r="E16" s="78">
        <f>'동,층별물량표'!D8*0.05</f>
        <v>242.72845000000004</v>
      </c>
      <c r="F16" s="79">
        <v>11</v>
      </c>
      <c r="G16" s="80">
        <f>ROUNDUP(E16/F16,0)</f>
        <v>23</v>
      </c>
      <c r="H16" s="81">
        <f>ROUNDUP(G16/L16,0)</f>
        <v>12</v>
      </c>
      <c r="I16" s="75" t="s">
        <v>55</v>
      </c>
      <c r="J16" s="76"/>
      <c r="K16" s="77"/>
      <c r="L16" s="82">
        <v>2</v>
      </c>
      <c r="M16" s="11">
        <v>0.5</v>
      </c>
      <c r="N16" s="22">
        <f t="shared" si="1"/>
        <v>3</v>
      </c>
      <c r="O16" s="7" t="s">
        <v>3</v>
      </c>
      <c r="S16" s="19"/>
      <c r="W16" s="4"/>
      <c r="X16" s="4"/>
      <c r="Y16" s="4"/>
      <c r="Z16" s="4"/>
    </row>
    <row r="17" spans="1:26" x14ac:dyDescent="0.3">
      <c r="A17" s="152"/>
      <c r="B17" s="149"/>
      <c r="C17" s="39" t="s">
        <v>25</v>
      </c>
      <c r="D17" s="48" t="s">
        <v>8</v>
      </c>
      <c r="E17" s="49">
        <f>'동,층별물량표'!G8</f>
        <v>782.35200000000009</v>
      </c>
      <c r="F17" s="36">
        <v>130</v>
      </c>
      <c r="G17" s="54">
        <f>H17*L17</f>
        <v>10</v>
      </c>
      <c r="H17" s="53">
        <f>K17*5</f>
        <v>10</v>
      </c>
      <c r="I17" s="38" t="s">
        <v>40</v>
      </c>
      <c r="J17" s="47" t="s">
        <v>11</v>
      </c>
      <c r="K17" s="51">
        <f>CEILING(MIN(2, E17/I28), 1)</f>
        <v>2</v>
      </c>
      <c r="L17" s="35">
        <f>MAX(1,
    IF(E17/(F17*H17) - INT(E17/(F17*H17)) &lt; 0.5,
        ROUNDDOWN(E17/(F17*H17),0),
        ROUNDUP(E17/(F17*H17),0)
    )
)</f>
        <v>1</v>
      </c>
      <c r="M17" s="11">
        <v>3</v>
      </c>
      <c r="N17" s="22">
        <f t="shared" si="1"/>
        <v>4</v>
      </c>
      <c r="O17" s="7" t="s">
        <v>5</v>
      </c>
      <c r="S17" s="19"/>
      <c r="T17" s="5"/>
      <c r="W17" s="4"/>
      <c r="X17" s="4"/>
      <c r="Y17" s="4"/>
      <c r="Z17" s="4"/>
    </row>
    <row r="18" spans="1:26" x14ac:dyDescent="0.3">
      <c r="A18" s="152"/>
      <c r="B18" s="149"/>
      <c r="C18" s="99" t="s">
        <v>26</v>
      </c>
      <c r="D18" s="101"/>
      <c r="E18" s="102">
        <f>E14+E16</f>
        <v>4854.5689999999995</v>
      </c>
      <c r="F18" s="103">
        <v>50</v>
      </c>
      <c r="G18" s="104">
        <f>ROUNDUP(E18/F18,0)</f>
        <v>98</v>
      </c>
      <c r="H18" s="105">
        <f>ROUNDUP(G18/L18,0)</f>
        <v>7</v>
      </c>
      <c r="I18" s="99" t="s">
        <v>55</v>
      </c>
      <c r="J18" s="100"/>
      <c r="K18" s="101"/>
      <c r="L18" s="106">
        <v>16</v>
      </c>
      <c r="M18" s="11"/>
      <c r="N18" s="22">
        <f t="shared" si="1"/>
        <v>16</v>
      </c>
      <c r="O18" s="7"/>
      <c r="S18" s="19"/>
      <c r="T18" s="5"/>
    </row>
    <row r="19" spans="1:26" x14ac:dyDescent="0.3">
      <c r="A19" s="152" t="s">
        <v>102</v>
      </c>
      <c r="B19" s="149" t="s">
        <v>99</v>
      </c>
      <c r="C19" s="28" t="s">
        <v>56</v>
      </c>
      <c r="D19" s="70"/>
      <c r="E19" s="71"/>
      <c r="F19" s="60"/>
      <c r="G19" s="61"/>
      <c r="H19" s="62">
        <v>3</v>
      </c>
      <c r="I19" s="28" t="s">
        <v>55</v>
      </c>
      <c r="J19" s="69"/>
      <c r="K19" s="70"/>
      <c r="L19" s="72"/>
      <c r="M19" s="11">
        <v>1</v>
      </c>
      <c r="N19" s="22">
        <f t="shared" si="1"/>
        <v>1</v>
      </c>
      <c r="O19" s="7"/>
      <c r="S19" s="19"/>
      <c r="T19" s="5"/>
    </row>
    <row r="20" spans="1:26" x14ac:dyDescent="0.3">
      <c r="A20" s="152"/>
      <c r="B20" s="149"/>
      <c r="C20" s="40" t="s">
        <v>89</v>
      </c>
      <c r="D20" s="43" t="s">
        <v>6</v>
      </c>
      <c r="E20" s="44">
        <f>'동,층별물량표'!F9*0.45</f>
        <v>68.514750000000006</v>
      </c>
      <c r="F20" s="41">
        <v>0.7</v>
      </c>
      <c r="G20" s="55">
        <f>ROUNDUP(E20/F20,0)</f>
        <v>98</v>
      </c>
      <c r="H20" s="45">
        <f>ROUNDUP(G20/L20,0)</f>
        <v>20</v>
      </c>
      <c r="I20" s="40" t="s">
        <v>55</v>
      </c>
      <c r="J20" s="42"/>
      <c r="K20" s="43"/>
      <c r="L20" s="46">
        <v>5</v>
      </c>
      <c r="M20" s="11">
        <v>0.5</v>
      </c>
      <c r="N20" s="22">
        <f t="shared" si="1"/>
        <v>6</v>
      </c>
      <c r="O20" s="7" t="s">
        <v>3</v>
      </c>
      <c r="S20" s="19"/>
      <c r="T20" s="5"/>
    </row>
    <row r="21" spans="1:26" x14ac:dyDescent="0.3">
      <c r="A21" s="152"/>
      <c r="B21" s="149"/>
      <c r="C21" s="75" t="s">
        <v>90</v>
      </c>
      <c r="D21" s="77" t="s">
        <v>7</v>
      </c>
      <c r="E21" s="78">
        <f>'동,층별물량표'!D9*0.9</f>
        <v>4564.4372999999996</v>
      </c>
      <c r="F21" s="79">
        <v>9</v>
      </c>
      <c r="G21" s="80">
        <f>ROUNDUP(E21/F21,0)</f>
        <v>508</v>
      </c>
      <c r="H21" s="81">
        <f>ROUNDUP(G21/L21,0)</f>
        <v>27</v>
      </c>
      <c r="I21" s="75" t="s">
        <v>55</v>
      </c>
      <c r="J21" s="76"/>
      <c r="K21" s="77"/>
      <c r="L21" s="82">
        <v>19</v>
      </c>
      <c r="M21" s="11">
        <v>0.5</v>
      </c>
      <c r="N21" s="22">
        <f t="shared" si="1"/>
        <v>20</v>
      </c>
      <c r="O21" s="7" t="s">
        <v>3</v>
      </c>
      <c r="S21" s="19"/>
      <c r="T21" s="5"/>
    </row>
    <row r="22" spans="1:26" x14ac:dyDescent="0.3">
      <c r="A22" s="152"/>
      <c r="B22" s="149"/>
      <c r="C22" s="40" t="s">
        <v>91</v>
      </c>
      <c r="D22" s="43" t="s">
        <v>6</v>
      </c>
      <c r="E22" s="44">
        <f>'동,층별물량표'!F9*0.55</f>
        <v>83.740250000000003</v>
      </c>
      <c r="F22" s="41">
        <v>0.7</v>
      </c>
      <c r="G22" s="55">
        <f>ROUNDUP(E22/F22,0)</f>
        <v>120</v>
      </c>
      <c r="H22" s="45">
        <f>ROUNDUP(G22/L22,0)</f>
        <v>24</v>
      </c>
      <c r="I22" s="40" t="s">
        <v>55</v>
      </c>
      <c r="J22" s="42"/>
      <c r="K22" s="43"/>
      <c r="L22" s="46">
        <v>5</v>
      </c>
      <c r="M22" s="11">
        <v>0.5</v>
      </c>
      <c r="N22" s="22">
        <f t="shared" si="1"/>
        <v>6</v>
      </c>
      <c r="O22" s="7" t="s">
        <v>3</v>
      </c>
      <c r="Q22" s="107"/>
      <c r="R22" s="107"/>
      <c r="S22" s="19"/>
    </row>
    <row r="23" spans="1:26" x14ac:dyDescent="0.3">
      <c r="A23" s="152"/>
      <c r="B23" s="149"/>
      <c r="C23" s="75" t="s">
        <v>92</v>
      </c>
      <c r="D23" s="77" t="s">
        <v>7</v>
      </c>
      <c r="E23" s="78">
        <f>'동,층별물량표'!D9*0.05</f>
        <v>253.57984999999999</v>
      </c>
      <c r="F23" s="79">
        <v>10</v>
      </c>
      <c r="G23" s="80">
        <f>ROUNDUP(E23/F23,0)</f>
        <v>26</v>
      </c>
      <c r="H23" s="81">
        <f>ROUNDUP(G23/L23,0)</f>
        <v>13</v>
      </c>
      <c r="I23" s="75" t="s">
        <v>55</v>
      </c>
      <c r="J23" s="76"/>
      <c r="K23" s="77"/>
      <c r="L23" s="82">
        <v>2</v>
      </c>
      <c r="M23" s="11">
        <v>0.5</v>
      </c>
      <c r="N23" s="22">
        <f t="shared" si="1"/>
        <v>3</v>
      </c>
      <c r="O23" s="7" t="s">
        <v>3</v>
      </c>
      <c r="Q23" s="107"/>
      <c r="R23" s="107"/>
      <c r="S23" s="19"/>
    </row>
    <row r="24" spans="1:26" x14ac:dyDescent="0.3">
      <c r="A24" s="152"/>
      <c r="B24" s="149"/>
      <c r="C24" s="39" t="s">
        <v>93</v>
      </c>
      <c r="D24" s="48" t="s">
        <v>8</v>
      </c>
      <c r="E24" s="49">
        <f>'동,층별물량표'!G9*0.6</f>
        <v>748.39080000000001</v>
      </c>
      <c r="F24" s="36">
        <v>130</v>
      </c>
      <c r="G24" s="54">
        <f>H24*L24</f>
        <v>10</v>
      </c>
      <c r="H24" s="53">
        <f>K24*5</f>
        <v>10</v>
      </c>
      <c r="I24" s="38" t="s">
        <v>40</v>
      </c>
      <c r="J24" s="47" t="s">
        <v>11</v>
      </c>
      <c r="K24" s="51">
        <f>CEILING(MIN(2, E24/I28), 1)</f>
        <v>2</v>
      </c>
      <c r="L24" s="35">
        <f>MAX(1,
    IF(E24/(F24*H24) - INT(E24/(F24*H24)) &lt; 0.5,
        ROUNDDOWN(E24/(F24*H24),0),
        ROUNDUP(E24/(F24*H24),0)
    )
)</f>
        <v>1</v>
      </c>
      <c r="M24" s="11">
        <v>3</v>
      </c>
      <c r="N24" s="22">
        <f t="shared" si="1"/>
        <v>4</v>
      </c>
      <c r="O24" s="7" t="s">
        <v>5</v>
      </c>
      <c r="Q24" s="108"/>
      <c r="R24" s="108"/>
      <c r="S24" s="19"/>
    </row>
    <row r="25" spans="1:26" x14ac:dyDescent="0.3">
      <c r="A25" s="152"/>
      <c r="B25" s="149"/>
      <c r="C25" s="75" t="s">
        <v>27</v>
      </c>
      <c r="D25" s="77" t="s">
        <v>7</v>
      </c>
      <c r="E25" s="78">
        <f>'동,층별물량표'!D9*0.05</f>
        <v>253.57984999999999</v>
      </c>
      <c r="F25" s="79">
        <v>10</v>
      </c>
      <c r="G25" s="80">
        <f>ROUNDUP(E25/F25,0)</f>
        <v>26</v>
      </c>
      <c r="H25" s="81">
        <f>ROUNDUP(G25/L25,0)</f>
        <v>13</v>
      </c>
      <c r="I25" s="75" t="s">
        <v>55</v>
      </c>
      <c r="J25" s="76"/>
      <c r="K25" s="77"/>
      <c r="L25" s="82">
        <v>2</v>
      </c>
      <c r="M25" s="11">
        <v>0.5</v>
      </c>
      <c r="N25" s="22">
        <f t="shared" si="1"/>
        <v>3</v>
      </c>
      <c r="O25" s="7" t="s">
        <v>3</v>
      </c>
      <c r="Q25" s="108"/>
      <c r="R25" s="108"/>
      <c r="S25" s="19"/>
    </row>
    <row r="26" spans="1:26" x14ac:dyDescent="0.3">
      <c r="A26" s="152"/>
      <c r="B26" s="149"/>
      <c r="C26" s="39" t="s">
        <v>28</v>
      </c>
      <c r="D26" s="48" t="s">
        <v>8</v>
      </c>
      <c r="E26" s="49">
        <f>'동,층별물량표'!G9*0.4</f>
        <v>498.92720000000003</v>
      </c>
      <c r="F26" s="36">
        <v>130</v>
      </c>
      <c r="G26" s="54">
        <f>H26*L26</f>
        <v>5</v>
      </c>
      <c r="H26" s="53">
        <f>K26*5</f>
        <v>5</v>
      </c>
      <c r="I26" s="38" t="s">
        <v>40</v>
      </c>
      <c r="J26" s="47" t="s">
        <v>11</v>
      </c>
      <c r="K26" s="51">
        <f>CEILING(MIN(2, E26/I28), 1)</f>
        <v>1</v>
      </c>
      <c r="L26" s="35">
        <f>MAX(1,
    IF(E26/(F26*H26) - INT(E26/(F26*H26)) &lt; 0.5,
        ROUNDDOWN(E26/(F26*H26),0),
        ROUNDUP(E26/(F26*H26),0)
    )
)</f>
        <v>1</v>
      </c>
      <c r="M26" s="11">
        <v>3</v>
      </c>
      <c r="N26" s="22">
        <f t="shared" si="1"/>
        <v>4</v>
      </c>
      <c r="O26" s="7" t="s">
        <v>5</v>
      </c>
      <c r="Q26" s="108"/>
      <c r="R26" s="108"/>
      <c r="S26" s="19"/>
    </row>
    <row r="27" spans="1:26" x14ac:dyDescent="0.3">
      <c r="A27" s="153"/>
      <c r="B27" s="148"/>
      <c r="C27" s="99" t="s">
        <v>26</v>
      </c>
      <c r="D27" s="101" t="s">
        <v>7</v>
      </c>
      <c r="E27" s="102">
        <f>E21+E23+E25</f>
        <v>5071.5969999999998</v>
      </c>
      <c r="F27" s="103">
        <v>50</v>
      </c>
      <c r="G27" s="104">
        <f>ROUNDUP(E27/F27,0)</f>
        <v>102</v>
      </c>
      <c r="H27" s="105">
        <f>ROUNDUP(G27/L27,0)</f>
        <v>5</v>
      </c>
      <c r="I27" s="99" t="s">
        <v>55</v>
      </c>
      <c r="J27" s="100"/>
      <c r="K27" s="101"/>
      <c r="L27" s="106">
        <v>22</v>
      </c>
      <c r="M27" s="11"/>
      <c r="N27" s="22">
        <f t="shared" si="1"/>
        <v>22</v>
      </c>
      <c r="O27" s="7"/>
      <c r="Q27" s="108"/>
      <c r="R27" s="108"/>
      <c r="S27" s="19"/>
    </row>
    <row r="28" spans="1:26" x14ac:dyDescent="0.3">
      <c r="C28" s="9"/>
      <c r="E28" s="19"/>
      <c r="F28" s="31"/>
      <c r="G28" s="56"/>
      <c r="H28" s="57" t="s">
        <v>47</v>
      </c>
      <c r="I28" s="33">
        <v>500</v>
      </c>
      <c r="L28" s="15"/>
      <c r="N28" s="9"/>
      <c r="S28" s="19"/>
    </row>
    <row r="29" spans="1:26" x14ac:dyDescent="0.3">
      <c r="C29" s="9"/>
      <c r="E29" s="19"/>
      <c r="F29" s="31"/>
      <c r="G29" s="1"/>
      <c r="H29" s="57"/>
      <c r="I29" s="33"/>
      <c r="L29" s="13"/>
      <c r="M29" s="1"/>
      <c r="N29" s="14"/>
      <c r="S29" s="19"/>
    </row>
    <row r="30" spans="1:26" x14ac:dyDescent="0.3">
      <c r="A30" s="154" t="s">
        <v>96</v>
      </c>
      <c r="B30" s="149" t="s">
        <v>99</v>
      </c>
      <c r="C30" s="29" t="s">
        <v>53</v>
      </c>
      <c r="D30" s="64"/>
      <c r="E30" s="65"/>
      <c r="F30" s="66"/>
      <c r="G30" s="61"/>
      <c r="H30" s="62">
        <v>3</v>
      </c>
      <c r="I30" s="28"/>
      <c r="J30" s="63"/>
      <c r="K30" s="64"/>
      <c r="L30" s="68"/>
      <c r="M30" s="26">
        <v>1</v>
      </c>
      <c r="N30" s="22">
        <f>ROUNDUP(L30+M30, 0)</f>
        <v>1</v>
      </c>
      <c r="O30" s="26" t="s">
        <v>3</v>
      </c>
      <c r="S30" s="19"/>
    </row>
    <row r="31" spans="1:26" x14ac:dyDescent="0.3">
      <c r="A31" s="152"/>
      <c r="B31" s="149"/>
      <c r="C31" s="83" t="s">
        <v>29</v>
      </c>
      <c r="D31" s="85" t="s">
        <v>7</v>
      </c>
      <c r="E31" s="86">
        <f>'동,층별물량표'!B10</f>
        <v>651</v>
      </c>
      <c r="F31" s="87">
        <v>30</v>
      </c>
      <c r="G31" s="88">
        <f>ROUNDUP(E31/F31,0)</f>
        <v>22</v>
      </c>
      <c r="H31" s="89">
        <f>ROUNDUP(G31/L31,0)</f>
        <v>11</v>
      </c>
      <c r="I31" s="83" t="s">
        <v>55</v>
      </c>
      <c r="J31" s="84"/>
      <c r="K31" s="85"/>
      <c r="L31" s="90">
        <v>2</v>
      </c>
      <c r="M31" s="11">
        <v>6</v>
      </c>
      <c r="N31" s="22">
        <f>ROUNDUP(L31+M31, 0)</f>
        <v>8</v>
      </c>
      <c r="O31" s="7" t="s">
        <v>13</v>
      </c>
      <c r="S31" s="19"/>
    </row>
    <row r="32" spans="1:26" x14ac:dyDescent="0.3">
      <c r="A32" s="152"/>
      <c r="B32" s="149"/>
      <c r="C32" s="40" t="s">
        <v>32</v>
      </c>
      <c r="D32" s="43" t="s">
        <v>6</v>
      </c>
      <c r="E32" s="44">
        <f>'동,층별물량표'!F10*0.5</f>
        <v>14.285</v>
      </c>
      <c r="F32" s="41">
        <v>0.8</v>
      </c>
      <c r="G32" s="55">
        <f>ROUNDUP(E32/F32,0)</f>
        <v>18</v>
      </c>
      <c r="H32" s="45">
        <f>ROUNDUP(G32/L32,0)</f>
        <v>9</v>
      </c>
      <c r="I32" s="40" t="s">
        <v>55</v>
      </c>
      <c r="J32" s="42"/>
      <c r="K32" s="43"/>
      <c r="L32" s="46">
        <v>2</v>
      </c>
      <c r="M32" s="11">
        <v>0.5</v>
      </c>
      <c r="N32" s="22">
        <v>2</v>
      </c>
      <c r="O32" s="7" t="s">
        <v>3</v>
      </c>
      <c r="Q32" s="3"/>
      <c r="R32" s="3"/>
      <c r="S32" s="19"/>
      <c r="T32" s="5"/>
    </row>
    <row r="33" spans="1:20" x14ac:dyDescent="0.3">
      <c r="A33" s="152"/>
      <c r="B33" s="149"/>
      <c r="C33" s="91" t="s">
        <v>30</v>
      </c>
      <c r="D33" s="93" t="s">
        <v>7</v>
      </c>
      <c r="E33" s="94">
        <f>'동,층별물량표'!C10</f>
        <v>796</v>
      </c>
      <c r="F33" s="95">
        <v>30</v>
      </c>
      <c r="G33" s="96">
        <f>ROUNDUP(E33/F33,0)</f>
        <v>27</v>
      </c>
      <c r="H33" s="97">
        <f>ROUNDUP(G33/L33,0)</f>
        <v>7</v>
      </c>
      <c r="I33" s="91" t="s">
        <v>55</v>
      </c>
      <c r="J33" s="92"/>
      <c r="K33" s="93"/>
      <c r="L33" s="98">
        <v>4</v>
      </c>
      <c r="M33" s="11">
        <v>0.5</v>
      </c>
      <c r="N33" s="22">
        <v>4</v>
      </c>
      <c r="O33" s="7" t="s">
        <v>3</v>
      </c>
      <c r="S33" s="19"/>
      <c r="T33" s="5"/>
    </row>
    <row r="34" spans="1:20" x14ac:dyDescent="0.3">
      <c r="A34" s="152"/>
      <c r="B34" s="149"/>
      <c r="C34" s="40" t="s">
        <v>31</v>
      </c>
      <c r="D34" s="43" t="s">
        <v>6</v>
      </c>
      <c r="E34" s="44">
        <f>'동,층별물량표'!F10*0.5</f>
        <v>14.285</v>
      </c>
      <c r="F34" s="41">
        <v>0.9</v>
      </c>
      <c r="G34" s="55">
        <f>ROUNDUP(E34/F34,0)</f>
        <v>16</v>
      </c>
      <c r="H34" s="45">
        <f>ROUNDUP(G34/L34,0)</f>
        <v>8</v>
      </c>
      <c r="I34" s="40" t="s">
        <v>55</v>
      </c>
      <c r="J34" s="42"/>
      <c r="K34" s="43"/>
      <c r="L34" s="46">
        <v>2</v>
      </c>
      <c r="M34" s="11">
        <v>0.5</v>
      </c>
      <c r="N34" s="22">
        <v>2</v>
      </c>
      <c r="O34" s="7" t="s">
        <v>3</v>
      </c>
      <c r="S34" s="19"/>
      <c r="T34" s="5"/>
    </row>
    <row r="35" spans="1:20" x14ac:dyDescent="0.3">
      <c r="A35" s="155"/>
      <c r="B35" s="150"/>
      <c r="C35" s="38" t="s">
        <v>25</v>
      </c>
      <c r="D35" s="50" t="s">
        <v>8</v>
      </c>
      <c r="E35" s="52">
        <f>'동,층별물량표'!G10</f>
        <v>209.36</v>
      </c>
      <c r="F35" s="36">
        <v>130</v>
      </c>
      <c r="G35" s="54">
        <f>H35*L35</f>
        <v>5</v>
      </c>
      <c r="H35" s="53">
        <f>K35*5</f>
        <v>5</v>
      </c>
      <c r="I35" s="38" t="s">
        <v>42</v>
      </c>
      <c r="J35" s="47" t="s">
        <v>11</v>
      </c>
      <c r="K35" s="51">
        <f>CEILING(MIN(2, E35/I36), 1)</f>
        <v>1</v>
      </c>
      <c r="L35" s="35">
        <f>MAX(1,
    IF(E35/(F35*H35) - INT(E35/(F35*H35)) &lt; 0.5,
        ROUNDDOWN(E35/(F35*H35),0),
        ROUNDUP(E35/(F35*H35),0)
    )
)</f>
        <v>1</v>
      </c>
      <c r="M35" s="25">
        <v>2</v>
      </c>
      <c r="N35" s="22">
        <f>ROUNDUP(L35+M35, 0)</f>
        <v>3</v>
      </c>
      <c r="O35" s="24" t="s">
        <v>5</v>
      </c>
      <c r="S35" s="19"/>
      <c r="T35" s="5"/>
    </row>
    <row r="36" spans="1:20" x14ac:dyDescent="0.3">
      <c r="C36" s="9"/>
      <c r="E36" s="19"/>
      <c r="F36" s="31"/>
      <c r="G36" s="56"/>
      <c r="H36" s="57" t="s">
        <v>46</v>
      </c>
      <c r="I36" s="33">
        <v>400</v>
      </c>
      <c r="L36" s="13"/>
      <c r="M36" s="1"/>
      <c r="N36" s="14"/>
      <c r="S36" s="19"/>
    </row>
    <row r="37" spans="1:20" x14ac:dyDescent="0.3">
      <c r="C37" s="9"/>
      <c r="E37" s="19"/>
      <c r="F37" s="31"/>
      <c r="G37" s="1"/>
      <c r="H37" s="57"/>
      <c r="I37" s="33"/>
      <c r="L37" s="13"/>
      <c r="M37" s="1"/>
      <c r="N37" s="14"/>
      <c r="S37" s="19"/>
    </row>
    <row r="38" spans="1:20" x14ac:dyDescent="0.3">
      <c r="A38" s="151" t="s">
        <v>97</v>
      </c>
      <c r="B38" s="146" t="s">
        <v>100</v>
      </c>
      <c r="C38" s="29" t="s">
        <v>53</v>
      </c>
      <c r="D38" s="64"/>
      <c r="E38" s="65"/>
      <c r="F38" s="66"/>
      <c r="G38" s="67"/>
      <c r="H38" s="62">
        <v>3</v>
      </c>
      <c r="I38" s="28"/>
      <c r="J38" s="63"/>
      <c r="K38" s="64"/>
      <c r="L38" s="73"/>
      <c r="M38" s="26">
        <v>1</v>
      </c>
      <c r="N38" s="22">
        <f t="shared" ref="N38:N43" si="2">ROUNDUP(L38+M38, 0)</f>
        <v>1</v>
      </c>
      <c r="O38" s="26" t="s">
        <v>3</v>
      </c>
      <c r="S38" s="19"/>
    </row>
    <row r="39" spans="1:20" x14ac:dyDescent="0.3">
      <c r="A39" s="152"/>
      <c r="B39" s="146"/>
      <c r="C39" s="83" t="s">
        <v>29</v>
      </c>
      <c r="D39" s="85" t="s">
        <v>7</v>
      </c>
      <c r="E39" s="86">
        <f>'동,층별물량표'!B13</f>
        <v>779</v>
      </c>
      <c r="F39" s="87">
        <v>60</v>
      </c>
      <c r="G39" s="88">
        <f>ROUNDUP(E39/F39,0)</f>
        <v>13</v>
      </c>
      <c r="H39" s="89">
        <f>ROUNDUP(G39/L39,0)</f>
        <v>13</v>
      </c>
      <c r="I39" s="83" t="s">
        <v>55</v>
      </c>
      <c r="J39" s="84"/>
      <c r="K39" s="85"/>
      <c r="L39" s="90">
        <v>1</v>
      </c>
      <c r="M39" s="11">
        <v>1</v>
      </c>
      <c r="N39" s="22">
        <f t="shared" si="2"/>
        <v>2</v>
      </c>
      <c r="O39" s="7" t="s">
        <v>4</v>
      </c>
      <c r="S39" s="19"/>
    </row>
    <row r="40" spans="1:20" x14ac:dyDescent="0.3">
      <c r="A40" s="152"/>
      <c r="B40" s="146"/>
      <c r="C40" s="40" t="s">
        <v>32</v>
      </c>
      <c r="D40" s="43" t="s">
        <v>6</v>
      </c>
      <c r="E40" s="44">
        <f>18.83*0.5</f>
        <v>9.4149999999999991</v>
      </c>
      <c r="F40" s="41">
        <v>0.8</v>
      </c>
      <c r="G40" s="55">
        <f>ROUNDUP(E40/F40,0)</f>
        <v>12</v>
      </c>
      <c r="H40" s="45">
        <f>ROUNDUP(G40/L40,0)</f>
        <v>12</v>
      </c>
      <c r="I40" s="40" t="s">
        <v>55</v>
      </c>
      <c r="J40" s="42"/>
      <c r="K40" s="43"/>
      <c r="L40" s="46">
        <v>1</v>
      </c>
      <c r="M40" s="11">
        <v>0.5</v>
      </c>
      <c r="N40" s="22">
        <f t="shared" si="2"/>
        <v>2</v>
      </c>
      <c r="O40" s="7" t="s">
        <v>3</v>
      </c>
      <c r="Q40" s="3"/>
      <c r="R40" s="3"/>
      <c r="S40" s="19"/>
      <c r="T40" s="5"/>
    </row>
    <row r="41" spans="1:20" x14ac:dyDescent="0.3">
      <c r="A41" s="152"/>
      <c r="B41" s="146"/>
      <c r="C41" s="91" t="s">
        <v>30</v>
      </c>
      <c r="D41" s="93" t="s">
        <v>7</v>
      </c>
      <c r="E41" s="94">
        <f>1731*0.55</f>
        <v>952.05000000000007</v>
      </c>
      <c r="F41" s="95">
        <v>60</v>
      </c>
      <c r="G41" s="96">
        <f>ROUNDUP(E41/F41,0)</f>
        <v>16</v>
      </c>
      <c r="H41" s="97">
        <f>ROUNDUP(G41/L41,0)</f>
        <v>16</v>
      </c>
      <c r="I41" s="91" t="s">
        <v>55</v>
      </c>
      <c r="J41" s="92"/>
      <c r="K41" s="93"/>
      <c r="L41" s="98">
        <v>1</v>
      </c>
      <c r="M41" s="11">
        <v>0.5</v>
      </c>
      <c r="N41" s="22">
        <f t="shared" si="2"/>
        <v>2</v>
      </c>
      <c r="O41" s="7" t="s">
        <v>3</v>
      </c>
      <c r="S41" s="19"/>
      <c r="T41" s="5"/>
    </row>
    <row r="42" spans="1:20" x14ac:dyDescent="0.3">
      <c r="A42" s="152"/>
      <c r="B42" s="146"/>
      <c r="C42" s="40" t="s">
        <v>31</v>
      </c>
      <c r="D42" s="43" t="s">
        <v>6</v>
      </c>
      <c r="E42" s="44">
        <f>18.83*0.5</f>
        <v>9.4149999999999991</v>
      </c>
      <c r="F42" s="41">
        <v>0.9</v>
      </c>
      <c r="G42" s="55">
        <f>ROUNDUP(E42/F42,0)</f>
        <v>11</v>
      </c>
      <c r="H42" s="45">
        <f>ROUNDUP(G42/L42,0)</f>
        <v>11</v>
      </c>
      <c r="I42" s="40" t="s">
        <v>55</v>
      </c>
      <c r="J42" s="42"/>
      <c r="K42" s="43"/>
      <c r="L42" s="46">
        <v>1</v>
      </c>
      <c r="M42" s="11">
        <v>0.5</v>
      </c>
      <c r="N42" s="22">
        <f t="shared" si="2"/>
        <v>2</v>
      </c>
      <c r="O42" s="7" t="s">
        <v>3</v>
      </c>
      <c r="S42" s="19"/>
      <c r="T42" s="5"/>
    </row>
    <row r="43" spans="1:20" ht="17.25" thickBot="1" x14ac:dyDescent="0.35">
      <c r="A43" s="153"/>
      <c r="B43" s="146"/>
      <c r="C43" s="37" t="s">
        <v>25</v>
      </c>
      <c r="D43" s="48" t="s">
        <v>8</v>
      </c>
      <c r="E43" s="49">
        <f>'동,층별물량표'!G13</f>
        <v>224.29</v>
      </c>
      <c r="F43" s="36">
        <v>130</v>
      </c>
      <c r="G43" s="54">
        <f>H43*L43</f>
        <v>5</v>
      </c>
      <c r="H43" s="53">
        <f>K43*5</f>
        <v>5</v>
      </c>
      <c r="I43" s="38" t="s">
        <v>43</v>
      </c>
      <c r="J43" s="47" t="s">
        <v>11</v>
      </c>
      <c r="K43" s="51">
        <f>CEILING(MIN(2, E43/I44), 1)</f>
        <v>1</v>
      </c>
      <c r="L43" s="35">
        <f>MAX(1,
    IF(E43/(F43*H43) - INT(E43/(F43*H43)) &lt; 0.5,
        ROUNDDOWN(E43/(F43*H43),0),
        ROUNDUP(E43/(F43*H43),0)
    )
)</f>
        <v>1</v>
      </c>
      <c r="M43" s="11">
        <v>2</v>
      </c>
      <c r="N43" s="22">
        <f t="shared" si="2"/>
        <v>3</v>
      </c>
      <c r="O43" s="7" t="s">
        <v>5</v>
      </c>
      <c r="S43" s="19"/>
      <c r="T43" s="5"/>
    </row>
    <row r="44" spans="1:20" ht="16.5" customHeight="1" x14ac:dyDescent="0.3">
      <c r="C44" s="9"/>
      <c r="E44" s="19"/>
      <c r="F44" s="31"/>
      <c r="G44" s="56"/>
      <c r="H44" s="57" t="s">
        <v>45</v>
      </c>
      <c r="I44" s="33">
        <v>320</v>
      </c>
      <c r="L44" s="9"/>
      <c r="N44" s="9"/>
      <c r="Q44" s="109"/>
      <c r="R44" s="109"/>
      <c r="S44" s="19"/>
    </row>
    <row r="45" spans="1:20" ht="16.5" customHeight="1" x14ac:dyDescent="0.3">
      <c r="C45" s="9"/>
      <c r="E45" s="19"/>
      <c r="F45" s="32"/>
      <c r="G45" s="59"/>
      <c r="H45" s="57"/>
      <c r="I45" s="33"/>
      <c r="L45" s="9"/>
      <c r="N45" s="9"/>
      <c r="S45" s="19"/>
    </row>
    <row r="46" spans="1:20" x14ac:dyDescent="0.3">
      <c r="A46" s="151" t="s">
        <v>94</v>
      </c>
      <c r="B46" s="145" t="s">
        <v>99</v>
      </c>
      <c r="C46" s="28" t="s">
        <v>53</v>
      </c>
      <c r="D46" s="70"/>
      <c r="E46" s="71"/>
      <c r="F46" s="60"/>
      <c r="G46" s="61"/>
      <c r="H46" s="62">
        <v>3</v>
      </c>
      <c r="I46" s="28"/>
      <c r="J46" s="69"/>
      <c r="K46" s="70"/>
      <c r="L46" s="74"/>
      <c r="M46" s="7">
        <v>1</v>
      </c>
      <c r="N46" s="22">
        <f>ROUNDUP(L46+M46, 0)</f>
        <v>1</v>
      </c>
      <c r="O46" s="7" t="s">
        <v>3</v>
      </c>
      <c r="S46" s="19"/>
    </row>
    <row r="47" spans="1:20" x14ac:dyDescent="0.3">
      <c r="A47" s="152"/>
      <c r="B47" s="146"/>
      <c r="C47" s="40" t="s">
        <v>32</v>
      </c>
      <c r="D47" s="43" t="s">
        <v>6</v>
      </c>
      <c r="E47" s="44">
        <f>'동,층별물량표'!F25*0.5</f>
        <v>4.9649999999999999</v>
      </c>
      <c r="F47" s="41">
        <v>0.7</v>
      </c>
      <c r="G47" s="55">
        <f>ROUNDUP(E47/F47,0)</f>
        <v>8</v>
      </c>
      <c r="H47" s="45">
        <f>ROUNDUP(G47/L47,0)</f>
        <v>8</v>
      </c>
      <c r="I47" s="40" t="s">
        <v>55</v>
      </c>
      <c r="J47" s="42"/>
      <c r="K47" s="43"/>
      <c r="L47" s="46">
        <v>1</v>
      </c>
      <c r="M47" s="11">
        <v>0.5</v>
      </c>
      <c r="N47" s="22">
        <f>ROUNDUP(L47+M47, 0)</f>
        <v>2</v>
      </c>
      <c r="O47" s="7" t="s">
        <v>3</v>
      </c>
      <c r="S47" s="19"/>
    </row>
    <row r="48" spans="1:20" x14ac:dyDescent="0.3">
      <c r="A48" s="152"/>
      <c r="B48" s="146"/>
      <c r="C48" s="75" t="s">
        <v>36</v>
      </c>
      <c r="D48" s="77" t="s">
        <v>7</v>
      </c>
      <c r="E48" s="78">
        <f>'동,층별물량표'!D25</f>
        <v>354.47399999999999</v>
      </c>
      <c r="F48" s="79">
        <v>9</v>
      </c>
      <c r="G48" s="80">
        <f>ROUNDUP(E48/F48,0)</f>
        <v>40</v>
      </c>
      <c r="H48" s="81">
        <f>ROUNDUP(G48/L48,0)</f>
        <v>7</v>
      </c>
      <c r="I48" s="75" t="s">
        <v>55</v>
      </c>
      <c r="J48" s="76"/>
      <c r="K48" s="77"/>
      <c r="L48" s="82">
        <v>6</v>
      </c>
      <c r="M48" s="11">
        <v>0.5</v>
      </c>
      <c r="N48" s="22">
        <f>ROUNDUP(L48+M48, 0)</f>
        <v>7</v>
      </c>
      <c r="O48" s="7" t="s">
        <v>3</v>
      </c>
      <c r="S48" s="19"/>
    </row>
    <row r="49" spans="1:21" x14ac:dyDescent="0.3">
      <c r="A49" s="152"/>
      <c r="B49" s="146"/>
      <c r="C49" s="40" t="s">
        <v>31</v>
      </c>
      <c r="D49" s="43" t="s">
        <v>6</v>
      </c>
      <c r="E49" s="44">
        <f>'동,층별물량표'!F25*0.5</f>
        <v>4.9649999999999999</v>
      </c>
      <c r="F49" s="41">
        <v>0.6</v>
      </c>
      <c r="G49" s="55">
        <f>ROUNDUP(E49/F49,0)</f>
        <v>9</v>
      </c>
      <c r="H49" s="45">
        <f>ROUNDUP(G49/L49,0)</f>
        <v>9</v>
      </c>
      <c r="I49" s="40" t="s">
        <v>55</v>
      </c>
      <c r="J49" s="42"/>
      <c r="K49" s="43"/>
      <c r="L49" s="46">
        <v>1</v>
      </c>
      <c r="M49" s="11">
        <v>0.5</v>
      </c>
      <c r="N49" s="22">
        <f>ROUNDUP(L49+M49, 0)</f>
        <v>2</v>
      </c>
      <c r="O49" s="7" t="s">
        <v>3</v>
      </c>
      <c r="S49" s="19"/>
    </row>
    <row r="50" spans="1:21" ht="17.25" thickBot="1" x14ac:dyDescent="0.35">
      <c r="A50" s="153"/>
      <c r="B50" s="146"/>
      <c r="C50" s="37" t="s">
        <v>25</v>
      </c>
      <c r="D50" s="48" t="s">
        <v>8</v>
      </c>
      <c r="E50" s="49">
        <f>'동,층별물량표'!G25</f>
        <v>101.54</v>
      </c>
      <c r="F50" s="36">
        <v>130</v>
      </c>
      <c r="G50" s="54">
        <f>H50*L50</f>
        <v>5</v>
      </c>
      <c r="H50" s="53">
        <f>K50*5</f>
        <v>5</v>
      </c>
      <c r="I50" s="37" t="s">
        <v>41</v>
      </c>
      <c r="J50" s="47" t="s">
        <v>11</v>
      </c>
      <c r="K50" s="51">
        <f>CEILING(MIN(2, E50/I51), 1)</f>
        <v>1</v>
      </c>
      <c r="L50" s="35">
        <f>MAX(1,
    IF(E50/(F50*H50) - INT(E50/(F50*H50)) &lt; 0.5,
        ROUNDDOWN(E50/(F50*H50),0),
        ROUNDUP(E50/(F50*H50),0)
    )
)</f>
        <v>1</v>
      </c>
      <c r="M50" s="11">
        <v>2</v>
      </c>
      <c r="N50" s="30">
        <f>ROUNDUP(L50+M50, 0)</f>
        <v>3</v>
      </c>
      <c r="O50" s="7" t="s">
        <v>5</v>
      </c>
      <c r="S50" s="19"/>
    </row>
    <row r="51" spans="1:21" x14ac:dyDescent="0.3">
      <c r="G51" s="23"/>
      <c r="H51" s="17" t="s">
        <v>44</v>
      </c>
      <c r="I51" s="18">
        <v>230</v>
      </c>
    </row>
    <row r="52" spans="1:21" x14ac:dyDescent="0.3">
      <c r="H52" s="17"/>
      <c r="I52" s="18"/>
    </row>
    <row r="55" spans="1:21" x14ac:dyDescent="0.3">
      <c r="P55" s="16"/>
      <c r="Q55" s="16"/>
    </row>
    <row r="56" spans="1:21" x14ac:dyDescent="0.3">
      <c r="P56" s="17"/>
      <c r="Q56" s="17"/>
    </row>
    <row r="57" spans="1:21" x14ac:dyDescent="0.3">
      <c r="P57" s="17"/>
      <c r="Q57" s="17"/>
      <c r="T57" s="3"/>
      <c r="U57" s="3"/>
    </row>
    <row r="58" spans="1:21" x14ac:dyDescent="0.3">
      <c r="P58" s="17"/>
      <c r="Q58" s="17"/>
    </row>
    <row r="59" spans="1:21" x14ac:dyDescent="0.3">
      <c r="P59" s="17"/>
      <c r="Q59" s="17"/>
    </row>
    <row r="60" spans="1:21" x14ac:dyDescent="0.3">
      <c r="P60" s="17"/>
      <c r="Q60" s="17"/>
    </row>
    <row r="61" spans="1:21" x14ac:dyDescent="0.3">
      <c r="P61" s="17"/>
      <c r="Q61" s="17"/>
    </row>
    <row r="62" spans="1:21" x14ac:dyDescent="0.3">
      <c r="P62" s="17"/>
      <c r="Q62" s="17"/>
    </row>
    <row r="63" spans="1:21" x14ac:dyDescent="0.3">
      <c r="P63" s="17"/>
      <c r="Q63" s="17"/>
    </row>
    <row r="64" spans="1:21" x14ac:dyDescent="0.3">
      <c r="P64" s="17"/>
      <c r="Q64" s="17"/>
    </row>
  </sheetData>
  <mergeCells count="14">
    <mergeCell ref="A46:A50"/>
    <mergeCell ref="A4:A5"/>
    <mergeCell ref="A6:A9"/>
    <mergeCell ref="A30:A35"/>
    <mergeCell ref="A38:A43"/>
    <mergeCell ref="A12:A18"/>
    <mergeCell ref="A19:A27"/>
    <mergeCell ref="B46:B50"/>
    <mergeCell ref="B4:B5"/>
    <mergeCell ref="B6:B9"/>
    <mergeCell ref="B30:B35"/>
    <mergeCell ref="B38:B43"/>
    <mergeCell ref="B12:B18"/>
    <mergeCell ref="B19:B2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E74D-9E5F-4608-A1B2-A0F3C02CC776}">
  <dimension ref="A1:Y64"/>
  <sheetViews>
    <sheetView tabSelected="1" zoomScaleNormal="100" workbookViewId="0">
      <pane ySplit="3" topLeftCell="A19" activePane="bottomLeft" state="frozen"/>
      <selection pane="bottomLeft" activeCell="J26" sqref="J26"/>
    </sheetView>
  </sheetViews>
  <sheetFormatPr defaultRowHeight="16.5" x14ac:dyDescent="0.3"/>
  <cols>
    <col min="1" max="2" width="22.625" customWidth="1"/>
    <col min="3" max="3" width="21.25" bestFit="1" customWidth="1"/>
    <col min="6" max="8" width="17.125" customWidth="1"/>
    <col min="9" max="9" width="28.75" customWidth="1"/>
    <col min="11" max="11" width="15" customWidth="1"/>
    <col min="13" max="13" width="10.375" customWidth="1"/>
    <col min="14" max="14" width="16.5" bestFit="1" customWidth="1"/>
    <col min="15" max="15" width="16.5" customWidth="1"/>
    <col min="16" max="16" width="17.5" customWidth="1"/>
    <col min="17" max="17" width="14.375" customWidth="1"/>
    <col min="18" max="18" width="11.875" customWidth="1"/>
    <col min="19" max="20" width="9.25" customWidth="1"/>
    <col min="22" max="22" width="13.25" customWidth="1"/>
    <col min="23" max="23" width="13.75" customWidth="1"/>
    <col min="24" max="24" width="13.375" customWidth="1"/>
    <col min="25" max="25" width="16.5" customWidth="1"/>
    <col min="27" max="27" width="116.5" bestFit="1" customWidth="1"/>
    <col min="29" max="29" width="16" bestFit="1" customWidth="1"/>
    <col min="31" max="31" width="100.75" bestFit="1" customWidth="1"/>
  </cols>
  <sheetData>
    <row r="1" spans="1:25" ht="31.5" x14ac:dyDescent="0.3">
      <c r="A1" s="6"/>
      <c r="B1" s="6"/>
    </row>
    <row r="2" spans="1:25" ht="17.25" thickBot="1" x14ac:dyDescent="0.35">
      <c r="F2" s="20"/>
      <c r="G2" s="21"/>
      <c r="H2" s="21"/>
      <c r="K2" s="2"/>
    </row>
    <row r="3" spans="1:25" x14ac:dyDescent="0.3">
      <c r="A3" s="4" t="s">
        <v>14</v>
      </c>
      <c r="B3" s="4" t="s">
        <v>98</v>
      </c>
      <c r="C3" s="8" t="s">
        <v>95</v>
      </c>
      <c r="D3" s="4" t="s">
        <v>0</v>
      </c>
      <c r="E3" s="4" t="s">
        <v>1</v>
      </c>
      <c r="F3" s="10" t="s">
        <v>105</v>
      </c>
      <c r="G3" s="12" t="s">
        <v>104</v>
      </c>
      <c r="H3" s="12" t="s">
        <v>54</v>
      </c>
      <c r="I3" s="8" t="s">
        <v>49</v>
      </c>
      <c r="J3" s="4" t="s">
        <v>10</v>
      </c>
      <c r="K3" s="8" t="s">
        <v>103</v>
      </c>
      <c r="L3" s="4" t="s">
        <v>2</v>
      </c>
      <c r="M3" s="8" t="s">
        <v>50</v>
      </c>
      <c r="N3" s="4" t="s">
        <v>51</v>
      </c>
      <c r="O3" s="5"/>
    </row>
    <row r="4" spans="1:25" x14ac:dyDescent="0.3">
      <c r="A4" s="154" t="s">
        <v>35</v>
      </c>
      <c r="B4" s="147" t="s">
        <v>99</v>
      </c>
      <c r="C4" s="75" t="s">
        <v>15</v>
      </c>
      <c r="D4" s="77" t="s">
        <v>7</v>
      </c>
      <c r="E4" s="78">
        <f>'동,층별물량표'!D6</f>
        <v>40</v>
      </c>
      <c r="F4" s="79">
        <v>10</v>
      </c>
      <c r="G4" s="80">
        <f>E4/F4</f>
        <v>4</v>
      </c>
      <c r="H4" s="81">
        <f>ROUNDUP(G4/K4,0)</f>
        <v>4</v>
      </c>
      <c r="I4" s="75" t="s">
        <v>55</v>
      </c>
      <c r="J4" s="77"/>
      <c r="K4" s="82">
        <v>1</v>
      </c>
      <c r="L4" s="11"/>
      <c r="M4" s="22">
        <f t="shared" ref="M4:M9" si="0">ROUNDUP(K4+L4, 0)</f>
        <v>1</v>
      </c>
      <c r="N4" s="7"/>
      <c r="P4" s="3"/>
      <c r="Q4" s="3"/>
      <c r="R4" s="19"/>
    </row>
    <row r="5" spans="1:25" x14ac:dyDescent="0.3">
      <c r="A5" s="153"/>
      <c r="B5" s="148"/>
      <c r="C5" s="39" t="s">
        <v>16</v>
      </c>
      <c r="D5" s="48" t="s">
        <v>8</v>
      </c>
      <c r="E5" s="49">
        <f>'동,층별물량표'!G6</f>
        <v>228.06700000000001</v>
      </c>
      <c r="F5" s="36">
        <v>130</v>
      </c>
      <c r="G5" s="54">
        <f>H5*K5</f>
        <v>5</v>
      </c>
      <c r="H5" s="53">
        <f>J5*5</f>
        <v>5</v>
      </c>
      <c r="I5" s="38" t="s">
        <v>39</v>
      </c>
      <c r="J5" s="51">
        <f>CEILING(MIN(2, E5/I11), 1)</f>
        <v>1</v>
      </c>
      <c r="K5" s="35">
        <f>MAX(1,
    IF(E5/(F5*H5) - INT(E5/(F5*H5)) &lt; 0.5,
        ROUNDDOWN(E5/(F5*H5),0),
        ROUNDUP(E5/(F5*H5),0)
    )
)</f>
        <v>1</v>
      </c>
      <c r="L5" s="11">
        <v>1</v>
      </c>
      <c r="M5" s="22">
        <f t="shared" si="0"/>
        <v>2</v>
      </c>
      <c r="N5" s="7" t="s">
        <v>5</v>
      </c>
      <c r="P5" s="3"/>
      <c r="Q5" s="3"/>
      <c r="R5" s="19"/>
    </row>
    <row r="6" spans="1:25" x14ac:dyDescent="0.3">
      <c r="A6" s="154" t="s">
        <v>88</v>
      </c>
      <c r="B6" s="147" t="s">
        <v>99</v>
      </c>
      <c r="C6" s="28" t="s">
        <v>20</v>
      </c>
      <c r="D6" s="70"/>
      <c r="E6" s="71"/>
      <c r="F6" s="60"/>
      <c r="G6" s="61"/>
      <c r="H6" s="62">
        <v>3</v>
      </c>
      <c r="I6" s="28" t="s">
        <v>55</v>
      </c>
      <c r="J6" s="70"/>
      <c r="K6" s="72">
        <v>1</v>
      </c>
      <c r="L6" s="11"/>
      <c r="M6" s="22">
        <f t="shared" si="0"/>
        <v>1</v>
      </c>
      <c r="N6" s="7"/>
      <c r="P6" s="3"/>
      <c r="Q6" s="3"/>
      <c r="R6" s="19"/>
      <c r="S6" s="5"/>
    </row>
    <row r="7" spans="1:25" x14ac:dyDescent="0.3">
      <c r="A7" s="152"/>
      <c r="B7" s="149"/>
      <c r="C7" s="40" t="s">
        <v>17</v>
      </c>
      <c r="D7" s="43" t="s">
        <v>6</v>
      </c>
      <c r="E7" s="44">
        <f>'동,층별물량표'!F7</f>
        <v>110.624</v>
      </c>
      <c r="F7" s="41">
        <v>1.1000000000000001</v>
      </c>
      <c r="G7" s="55">
        <f>ROUNDUP(E7/F7,0)</f>
        <v>101</v>
      </c>
      <c r="H7" s="45">
        <f>ROUNDUP(G7/K7,0)</f>
        <v>17</v>
      </c>
      <c r="I7" s="40" t="s">
        <v>55</v>
      </c>
      <c r="J7" s="43"/>
      <c r="K7" s="46">
        <v>6</v>
      </c>
      <c r="L7" s="11">
        <v>0.5</v>
      </c>
      <c r="M7" s="22">
        <f t="shared" si="0"/>
        <v>7</v>
      </c>
      <c r="N7" s="7" t="s">
        <v>3</v>
      </c>
      <c r="P7" s="3"/>
      <c r="Q7" s="3"/>
      <c r="R7" s="19"/>
      <c r="S7" s="5"/>
    </row>
    <row r="8" spans="1:25" x14ac:dyDescent="0.3">
      <c r="A8" s="152"/>
      <c r="B8" s="149"/>
      <c r="C8" s="75" t="s">
        <v>18</v>
      </c>
      <c r="D8" s="77" t="s">
        <v>7</v>
      </c>
      <c r="E8" s="78">
        <f>'동,층별물량표'!D7</f>
        <v>374.46899999999999</v>
      </c>
      <c r="F8" s="79">
        <v>10</v>
      </c>
      <c r="G8" s="80">
        <f>ROUNDUP(E8/F8,0)</f>
        <v>38</v>
      </c>
      <c r="H8" s="81">
        <f>ROUNDUP(G8/K8,0)</f>
        <v>19</v>
      </c>
      <c r="I8" s="75" t="s">
        <v>55</v>
      </c>
      <c r="J8" s="77"/>
      <c r="K8" s="82">
        <v>2</v>
      </c>
      <c r="L8" s="11">
        <v>0.5</v>
      </c>
      <c r="M8" s="22">
        <f t="shared" si="0"/>
        <v>3</v>
      </c>
      <c r="N8" s="7" t="s">
        <v>3</v>
      </c>
      <c r="P8" s="3"/>
      <c r="Q8" s="3"/>
      <c r="R8" s="19"/>
      <c r="S8" s="5"/>
    </row>
    <row r="9" spans="1:25" x14ac:dyDescent="0.3">
      <c r="A9" s="155"/>
      <c r="B9" s="150"/>
      <c r="C9" s="38" t="s">
        <v>19</v>
      </c>
      <c r="D9" s="50" t="s">
        <v>8</v>
      </c>
      <c r="E9" s="52">
        <f>'동,층별물량표'!G7</f>
        <v>1643.33</v>
      </c>
      <c r="F9" s="36">
        <v>130</v>
      </c>
      <c r="G9" s="54">
        <f>H9*K9</f>
        <v>10</v>
      </c>
      <c r="H9" s="53">
        <f>J9*5</f>
        <v>10</v>
      </c>
      <c r="I9" s="38" t="s">
        <v>38</v>
      </c>
      <c r="J9" s="51">
        <f>CEILING(MIN(2, E9/I10), 1)</f>
        <v>2</v>
      </c>
      <c r="K9" s="35">
        <f>MAX(1,
    IF(E9/(F9*H9) - INT(E9/(F9*H9)) &lt; 0.5,
        ROUNDDOWN(E9/(F9*H9),0),
        ROUNDUP(E9/(F9*H9),0)
    )
)</f>
        <v>1</v>
      </c>
      <c r="L9" s="25">
        <v>3</v>
      </c>
      <c r="M9" s="22">
        <f t="shared" si="0"/>
        <v>4</v>
      </c>
      <c r="N9" s="24" t="s">
        <v>5</v>
      </c>
      <c r="P9" s="58" t="s">
        <v>106</v>
      </c>
      <c r="Q9" s="34">
        <v>650</v>
      </c>
      <c r="R9" s="19"/>
      <c r="S9" s="5"/>
    </row>
    <row r="10" spans="1:25" x14ac:dyDescent="0.3">
      <c r="C10" s="9"/>
      <c r="E10" s="19"/>
      <c r="F10" s="31"/>
      <c r="G10" s="56"/>
      <c r="H10" s="57" t="s">
        <v>48</v>
      </c>
      <c r="I10" s="33">
        <v>650</v>
      </c>
      <c r="J10" t="s">
        <v>52</v>
      </c>
      <c r="K10" s="13"/>
      <c r="L10" s="1"/>
      <c r="M10" s="14"/>
      <c r="P10" s="57" t="s">
        <v>48</v>
      </c>
      <c r="Q10" s="33">
        <v>650</v>
      </c>
      <c r="R10" s="19"/>
      <c r="S10" s="5"/>
    </row>
    <row r="11" spans="1:25" x14ac:dyDescent="0.3">
      <c r="C11" s="9"/>
      <c r="E11" s="19"/>
      <c r="F11" s="31"/>
      <c r="G11" s="1"/>
      <c r="H11" s="58" t="s">
        <v>35</v>
      </c>
      <c r="I11" s="34">
        <v>650</v>
      </c>
      <c r="K11" s="13"/>
      <c r="L11" s="1"/>
      <c r="M11" s="14"/>
      <c r="P11" s="57" t="s">
        <v>47</v>
      </c>
      <c r="Q11" s="33">
        <v>500</v>
      </c>
      <c r="R11" s="19"/>
    </row>
    <row r="12" spans="1:25" x14ac:dyDescent="0.3">
      <c r="A12" s="154" t="s">
        <v>101</v>
      </c>
      <c r="B12" s="149" t="s">
        <v>99</v>
      </c>
      <c r="C12" s="29" t="s">
        <v>53</v>
      </c>
      <c r="D12" s="64"/>
      <c r="E12" s="65"/>
      <c r="F12" s="66"/>
      <c r="G12" s="67"/>
      <c r="H12" s="62">
        <v>3</v>
      </c>
      <c r="I12" s="28" t="s">
        <v>55</v>
      </c>
      <c r="J12" s="64"/>
      <c r="K12" s="68">
        <v>1</v>
      </c>
      <c r="L12" s="27"/>
      <c r="M12" s="22">
        <f>ROUNDUP(K12+L12, 0)</f>
        <v>1</v>
      </c>
      <c r="N12" s="26"/>
      <c r="P12" s="57" t="s">
        <v>45</v>
      </c>
      <c r="Q12" s="33">
        <v>400</v>
      </c>
      <c r="R12" s="19"/>
    </row>
    <row r="13" spans="1:25" x14ac:dyDescent="0.3">
      <c r="A13" s="152"/>
      <c r="B13" s="149"/>
      <c r="C13" s="40" t="s">
        <v>21</v>
      </c>
      <c r="D13" s="43" t="s">
        <v>6</v>
      </c>
      <c r="E13" s="44">
        <f>'동,층별물량표'!F8*0.45</f>
        <v>53.106299999999997</v>
      </c>
      <c r="F13" s="41">
        <v>0.8</v>
      </c>
      <c r="G13" s="55">
        <f>ROUNDUP(E13/F13,0)</f>
        <v>67</v>
      </c>
      <c r="H13" s="45">
        <f>ROUNDUP(G13/K13,0)</f>
        <v>14</v>
      </c>
      <c r="I13" s="40" t="s">
        <v>55</v>
      </c>
      <c r="J13" s="43"/>
      <c r="K13" s="46">
        <v>5</v>
      </c>
      <c r="L13" s="11">
        <v>0.5</v>
      </c>
      <c r="M13" s="22">
        <f>ROUNDUP(K13+L13, 0)</f>
        <v>6</v>
      </c>
      <c r="N13" s="7" t="s">
        <v>3</v>
      </c>
      <c r="P13" s="57" t="s">
        <v>107</v>
      </c>
      <c r="Q13" s="33">
        <v>400</v>
      </c>
      <c r="R13" s="19"/>
    </row>
    <row r="14" spans="1:25" x14ac:dyDescent="0.3">
      <c r="A14" s="152"/>
      <c r="B14" s="149"/>
      <c r="C14" s="75" t="s">
        <v>22</v>
      </c>
      <c r="D14" s="77" t="s">
        <v>7</v>
      </c>
      <c r="E14" s="78">
        <f>'동,층별물량표'!D8*0.95</f>
        <v>4611.8405499999999</v>
      </c>
      <c r="F14" s="79">
        <v>11</v>
      </c>
      <c r="G14" s="80">
        <f>ROUNDUP(E14/F14,0)</f>
        <v>420</v>
      </c>
      <c r="H14" s="81">
        <f>ROUNDUP(G14/K14,0)</f>
        <v>25</v>
      </c>
      <c r="I14" s="75" t="s">
        <v>55</v>
      </c>
      <c r="J14" s="77"/>
      <c r="K14" s="82">
        <v>17</v>
      </c>
      <c r="L14" s="11">
        <v>1</v>
      </c>
      <c r="M14" s="22">
        <f>ROUNDUP(K14+L14, 0)</f>
        <v>18</v>
      </c>
      <c r="N14" s="7" t="s">
        <v>4</v>
      </c>
      <c r="P14" s="57" t="s">
        <v>108</v>
      </c>
      <c r="Q14" s="33">
        <v>320</v>
      </c>
      <c r="R14" s="19"/>
      <c r="S14" s="5"/>
    </row>
    <row r="15" spans="1:25" x14ac:dyDescent="0.3">
      <c r="A15" s="152"/>
      <c r="B15" s="149"/>
      <c r="C15" s="40" t="s">
        <v>23</v>
      </c>
      <c r="D15" s="43" t="s">
        <v>6</v>
      </c>
      <c r="E15" s="44">
        <f>'동,층별물량표'!F8*0.55</f>
        <v>64.907700000000006</v>
      </c>
      <c r="F15" s="41">
        <v>0.8</v>
      </c>
      <c r="G15" s="55">
        <f>ROUNDUP(E15/F15,0)</f>
        <v>82</v>
      </c>
      <c r="H15" s="45">
        <f>ROUNDUP(G15/K15,0)</f>
        <v>17</v>
      </c>
      <c r="I15" s="40" t="s">
        <v>55</v>
      </c>
      <c r="J15" s="43"/>
      <c r="K15" s="46">
        <v>5</v>
      </c>
      <c r="L15" s="11">
        <v>0.5</v>
      </c>
      <c r="M15" s="22">
        <f t="shared" ref="M15:M27" si="1">ROUNDUP(K15+L15, 0)</f>
        <v>6</v>
      </c>
      <c r="N15" s="7" t="s">
        <v>3</v>
      </c>
      <c r="P15" s="17" t="s">
        <v>44</v>
      </c>
      <c r="Q15" s="18">
        <v>230</v>
      </c>
      <c r="R15" s="19"/>
      <c r="S15" s="5"/>
    </row>
    <row r="16" spans="1:25" x14ac:dyDescent="0.3">
      <c r="A16" s="152"/>
      <c r="B16" s="149"/>
      <c r="C16" s="75" t="s">
        <v>24</v>
      </c>
      <c r="D16" s="77"/>
      <c r="E16" s="78">
        <f>'동,층별물량표'!D8*0.05</f>
        <v>242.72845000000004</v>
      </c>
      <c r="F16" s="79">
        <v>11</v>
      </c>
      <c r="G16" s="80">
        <f>ROUNDUP(E16/F16,0)</f>
        <v>23</v>
      </c>
      <c r="H16" s="81">
        <f>ROUNDUP(G16/K16,0)</f>
        <v>12</v>
      </c>
      <c r="I16" s="75" t="s">
        <v>55</v>
      </c>
      <c r="J16" s="77"/>
      <c r="K16" s="82">
        <v>2</v>
      </c>
      <c r="L16" s="11">
        <v>0.5</v>
      </c>
      <c r="M16" s="22">
        <f t="shared" si="1"/>
        <v>3</v>
      </c>
      <c r="N16" s="7" t="s">
        <v>3</v>
      </c>
      <c r="R16" s="19"/>
      <c r="V16" s="4"/>
      <c r="W16" s="4"/>
      <c r="X16" s="4"/>
      <c r="Y16" s="4"/>
    </row>
    <row r="17" spans="1:25" x14ac:dyDescent="0.3">
      <c r="A17" s="152"/>
      <c r="B17" s="149"/>
      <c r="C17" s="39" t="s">
        <v>25</v>
      </c>
      <c r="D17" s="48" t="s">
        <v>8</v>
      </c>
      <c r="E17" s="49">
        <f>'동,층별물량표'!G8</f>
        <v>782.35200000000009</v>
      </c>
      <c r="F17" s="36">
        <v>130</v>
      </c>
      <c r="G17" s="54">
        <f>H17*K17</f>
        <v>10</v>
      </c>
      <c r="H17" s="53">
        <f>J17*5</f>
        <v>10</v>
      </c>
      <c r="I17" s="38" t="s">
        <v>40</v>
      </c>
      <c r="J17" s="51">
        <f>CEILING(MIN(2, E17/I28), 1)</f>
        <v>2</v>
      </c>
      <c r="K17" s="35">
        <f>MAX(1,
    IF(E17/(F17*H17) - INT(E17/(F17*H17)) &lt; 0.5,
        ROUNDDOWN(E17/(F17*H17),0),
        ROUNDUP(E17/(F17*H17),0)
    )
)</f>
        <v>1</v>
      </c>
      <c r="L17" s="11">
        <v>3</v>
      </c>
      <c r="M17" s="22">
        <f t="shared" si="1"/>
        <v>4</v>
      </c>
      <c r="N17" s="7" t="s">
        <v>5</v>
      </c>
      <c r="R17" s="19"/>
      <c r="S17" s="5"/>
      <c r="V17" s="4"/>
      <c r="W17" s="4"/>
      <c r="X17" s="4"/>
      <c r="Y17" s="4"/>
    </row>
    <row r="18" spans="1:25" x14ac:dyDescent="0.3">
      <c r="A18" s="152"/>
      <c r="B18" s="149"/>
      <c r="C18" s="99" t="s">
        <v>26</v>
      </c>
      <c r="D18" s="101"/>
      <c r="E18" s="102">
        <f>E14+E16</f>
        <v>4854.5689999999995</v>
      </c>
      <c r="F18" s="103">
        <v>50</v>
      </c>
      <c r="G18" s="104">
        <f>ROUNDUP(E18/F18,0)</f>
        <v>98</v>
      </c>
      <c r="H18" s="105">
        <f>ROUNDUP(G18/K18,0)</f>
        <v>7</v>
      </c>
      <c r="I18" s="99" t="s">
        <v>55</v>
      </c>
      <c r="J18" s="101"/>
      <c r="K18" s="106">
        <v>16</v>
      </c>
      <c r="L18" s="11"/>
      <c r="M18" s="22">
        <f t="shared" si="1"/>
        <v>16</v>
      </c>
      <c r="N18" s="7"/>
      <c r="R18" s="19"/>
      <c r="S18" s="5"/>
    </row>
    <row r="19" spans="1:25" x14ac:dyDescent="0.3">
      <c r="A19" s="152" t="s">
        <v>102</v>
      </c>
      <c r="B19" s="149" t="s">
        <v>99</v>
      </c>
      <c r="C19" s="28" t="s">
        <v>56</v>
      </c>
      <c r="D19" s="70"/>
      <c r="E19" s="71"/>
      <c r="F19" s="60"/>
      <c r="G19" s="61"/>
      <c r="H19" s="62">
        <v>3</v>
      </c>
      <c r="I19" s="28" t="s">
        <v>55</v>
      </c>
      <c r="J19" s="70"/>
      <c r="K19" s="72"/>
      <c r="L19" s="11">
        <v>1</v>
      </c>
      <c r="M19" s="22">
        <f t="shared" si="1"/>
        <v>1</v>
      </c>
      <c r="N19" s="7"/>
      <c r="R19" s="19"/>
      <c r="S19" s="5"/>
    </row>
    <row r="20" spans="1:25" x14ac:dyDescent="0.3">
      <c r="A20" s="152"/>
      <c r="B20" s="149"/>
      <c r="C20" s="40" t="s">
        <v>89</v>
      </c>
      <c r="D20" s="43" t="s">
        <v>6</v>
      </c>
      <c r="E20" s="44">
        <f>'동,층별물량표'!F9*0.45</f>
        <v>68.514750000000006</v>
      </c>
      <c r="F20" s="41">
        <v>0.7</v>
      </c>
      <c r="G20" s="55">
        <f>ROUNDUP(E20/F20,0)</f>
        <v>98</v>
      </c>
      <c r="H20" s="45">
        <f>ROUNDUP(G20/K20,0)</f>
        <v>20</v>
      </c>
      <c r="I20" s="40" t="s">
        <v>55</v>
      </c>
      <c r="J20" s="43"/>
      <c r="K20" s="46">
        <v>5</v>
      </c>
      <c r="L20" s="11">
        <v>0.5</v>
      </c>
      <c r="M20" s="22">
        <f t="shared" si="1"/>
        <v>6</v>
      </c>
      <c r="N20" s="7" t="s">
        <v>3</v>
      </c>
      <c r="R20" s="19"/>
      <c r="S20" s="5"/>
    </row>
    <row r="21" spans="1:25" x14ac:dyDescent="0.3">
      <c r="A21" s="152"/>
      <c r="B21" s="149"/>
      <c r="C21" s="75" t="s">
        <v>90</v>
      </c>
      <c r="D21" s="77" t="s">
        <v>7</v>
      </c>
      <c r="E21" s="78">
        <f>'동,층별물량표'!D9*0.9</f>
        <v>4564.4372999999996</v>
      </c>
      <c r="F21" s="79">
        <v>9</v>
      </c>
      <c r="G21" s="80">
        <f>ROUNDUP(E21/F21,0)</f>
        <v>508</v>
      </c>
      <c r="H21" s="81">
        <f>ROUNDUP(G21/K21,0)</f>
        <v>27</v>
      </c>
      <c r="I21" s="75" t="s">
        <v>55</v>
      </c>
      <c r="J21" s="77"/>
      <c r="K21" s="82">
        <v>19</v>
      </c>
      <c r="L21" s="11">
        <v>0.5</v>
      </c>
      <c r="M21" s="22">
        <f t="shared" si="1"/>
        <v>20</v>
      </c>
      <c r="N21" s="7" t="s">
        <v>3</v>
      </c>
      <c r="R21" s="19"/>
      <c r="S21" s="5"/>
    </row>
    <row r="22" spans="1:25" x14ac:dyDescent="0.3">
      <c r="A22" s="152"/>
      <c r="B22" s="149"/>
      <c r="C22" s="40" t="s">
        <v>91</v>
      </c>
      <c r="D22" s="43" t="s">
        <v>6</v>
      </c>
      <c r="E22" s="44">
        <f>'동,층별물량표'!F9*0.55</f>
        <v>83.740250000000003</v>
      </c>
      <c r="F22" s="41">
        <v>0.7</v>
      </c>
      <c r="G22" s="55">
        <f>ROUNDUP(E22/F22,0)</f>
        <v>120</v>
      </c>
      <c r="H22" s="45">
        <f>ROUNDUP(G22/K22,0)</f>
        <v>24</v>
      </c>
      <c r="I22" s="40" t="s">
        <v>55</v>
      </c>
      <c r="J22" s="43"/>
      <c r="K22" s="46">
        <v>5</v>
      </c>
      <c r="L22" s="11">
        <v>0.5</v>
      </c>
      <c r="M22" s="22">
        <f t="shared" si="1"/>
        <v>6</v>
      </c>
      <c r="N22" s="7" t="s">
        <v>3</v>
      </c>
      <c r="P22" s="107"/>
      <c r="Q22" s="107"/>
      <c r="R22" s="19"/>
    </row>
    <row r="23" spans="1:25" x14ac:dyDescent="0.3">
      <c r="A23" s="152"/>
      <c r="B23" s="149"/>
      <c r="C23" s="75" t="s">
        <v>92</v>
      </c>
      <c r="D23" s="77" t="s">
        <v>7</v>
      </c>
      <c r="E23" s="78">
        <f>'동,층별물량표'!D9*0.05</f>
        <v>253.57984999999999</v>
      </c>
      <c r="F23" s="79">
        <v>10</v>
      </c>
      <c r="G23" s="80">
        <f>ROUNDUP(E23/F23,0)</f>
        <v>26</v>
      </c>
      <c r="H23" s="81">
        <f>ROUNDUP(G23/K23,0)</f>
        <v>13</v>
      </c>
      <c r="I23" s="75" t="s">
        <v>55</v>
      </c>
      <c r="J23" s="77"/>
      <c r="K23" s="82">
        <v>2</v>
      </c>
      <c r="L23" s="11">
        <v>0.5</v>
      </c>
      <c r="M23" s="22">
        <f t="shared" si="1"/>
        <v>3</v>
      </c>
      <c r="N23" s="7" t="s">
        <v>3</v>
      </c>
      <c r="P23" s="107"/>
      <c r="Q23" s="107"/>
      <c r="R23" s="19"/>
    </row>
    <row r="24" spans="1:25" x14ac:dyDescent="0.3">
      <c r="A24" s="152"/>
      <c r="B24" s="149"/>
      <c r="C24" s="39" t="s">
        <v>93</v>
      </c>
      <c r="D24" s="48" t="s">
        <v>8</v>
      </c>
      <c r="E24" s="49">
        <f>'동,층별물량표'!G9*0.6</f>
        <v>748.39080000000001</v>
      </c>
      <c r="F24" s="36">
        <v>130</v>
      </c>
      <c r="G24" s="54">
        <f>H24*K24</f>
        <v>10</v>
      </c>
      <c r="H24" s="53">
        <f>J24*5</f>
        <v>10</v>
      </c>
      <c r="I24" s="38" t="s">
        <v>40</v>
      </c>
      <c r="J24" s="51">
        <f>CEILING(MIN(2, E24/I28), 1)</f>
        <v>2</v>
      </c>
      <c r="K24" s="35">
        <f>MAX(1,
    IF(E24/(F24*H24) - INT(E24/(F24*H24)) &lt; 0.5,
        ROUNDDOWN(E24/(F24*H24),0),
        ROUNDUP(E24/(F24*H24),0)
    )
)</f>
        <v>1</v>
      </c>
      <c r="L24" s="11">
        <v>3</v>
      </c>
      <c r="M24" s="22">
        <f t="shared" si="1"/>
        <v>4</v>
      </c>
      <c r="N24" s="7" t="s">
        <v>5</v>
      </c>
      <c r="P24" s="108"/>
      <c r="Q24" s="108"/>
      <c r="R24" s="19"/>
    </row>
    <row r="25" spans="1:25" x14ac:dyDescent="0.3">
      <c r="A25" s="152"/>
      <c r="B25" s="149"/>
      <c r="C25" s="75" t="s">
        <v>27</v>
      </c>
      <c r="D25" s="77" t="s">
        <v>7</v>
      </c>
      <c r="E25" s="78">
        <f>'동,층별물량표'!D9*0.05</f>
        <v>253.57984999999999</v>
      </c>
      <c r="F25" s="79">
        <v>10</v>
      </c>
      <c r="G25" s="80">
        <f>ROUNDUP(E25/F25,0)</f>
        <v>26</v>
      </c>
      <c r="H25" s="81">
        <f>ROUNDUP(G25/K25,0)</f>
        <v>13</v>
      </c>
      <c r="I25" s="75" t="s">
        <v>55</v>
      </c>
      <c r="J25" s="77"/>
      <c r="K25" s="82">
        <v>2</v>
      </c>
      <c r="L25" s="11">
        <v>0.5</v>
      </c>
      <c r="M25" s="22">
        <f t="shared" si="1"/>
        <v>3</v>
      </c>
      <c r="N25" s="7" t="s">
        <v>3</v>
      </c>
      <c r="P25" s="108"/>
      <c r="Q25" s="108"/>
      <c r="R25" s="19"/>
    </row>
    <row r="26" spans="1:25" x14ac:dyDescent="0.3">
      <c r="A26" s="152"/>
      <c r="B26" s="149"/>
      <c r="C26" s="39" t="s">
        <v>28</v>
      </c>
      <c r="D26" s="48" t="s">
        <v>8</v>
      </c>
      <c r="E26" s="49">
        <f>'동,층별물량표'!G9*0.4</f>
        <v>498.92720000000003</v>
      </c>
      <c r="F26" s="36">
        <v>130</v>
      </c>
      <c r="G26" s="54">
        <f>H26*K26</f>
        <v>5</v>
      </c>
      <c r="H26" s="53">
        <f>J26*5</f>
        <v>5</v>
      </c>
      <c r="I26" s="38" t="s">
        <v>40</v>
      </c>
      <c r="J26" s="51">
        <f>CEILING(MIN(2, E26/I28), 1)</f>
        <v>1</v>
      </c>
      <c r="K26" s="35">
        <f>MAX(1,
    IF(E26/(F26*H26) - INT(E26/(F26*H26)) &lt; 0.5,
        ROUNDDOWN(E26/(F26*H26),0),
        ROUNDUP(E26/(F26*H26),0)
    )
)</f>
        <v>1</v>
      </c>
      <c r="L26" s="11">
        <v>3</v>
      </c>
      <c r="M26" s="22">
        <f t="shared" si="1"/>
        <v>4</v>
      </c>
      <c r="N26" s="7" t="s">
        <v>5</v>
      </c>
      <c r="P26" s="108"/>
      <c r="Q26" s="108"/>
      <c r="R26" s="19"/>
    </row>
    <row r="27" spans="1:25" x14ac:dyDescent="0.3">
      <c r="A27" s="153"/>
      <c r="B27" s="148"/>
      <c r="C27" s="99" t="s">
        <v>26</v>
      </c>
      <c r="D27" s="101" t="s">
        <v>7</v>
      </c>
      <c r="E27" s="102">
        <f>E21+E23+E25</f>
        <v>5071.5969999999998</v>
      </c>
      <c r="F27" s="103">
        <v>50</v>
      </c>
      <c r="G27" s="104">
        <f>ROUNDUP(E27/F27,0)</f>
        <v>102</v>
      </c>
      <c r="H27" s="105">
        <f>ROUNDUP(G27/K27,0)</f>
        <v>5</v>
      </c>
      <c r="I27" s="99" t="s">
        <v>55</v>
      </c>
      <c r="J27" s="101"/>
      <c r="K27" s="106">
        <v>22</v>
      </c>
      <c r="L27" s="11"/>
      <c r="M27" s="22">
        <f t="shared" si="1"/>
        <v>22</v>
      </c>
      <c r="N27" s="7"/>
      <c r="P27" s="108"/>
      <c r="Q27" s="108"/>
      <c r="R27" s="19"/>
    </row>
    <row r="28" spans="1:25" x14ac:dyDescent="0.3">
      <c r="C28" s="9"/>
      <c r="E28" s="19"/>
      <c r="F28" s="31"/>
      <c r="G28" s="56"/>
      <c r="H28" s="57" t="s">
        <v>47</v>
      </c>
      <c r="I28" s="33">
        <v>500</v>
      </c>
      <c r="K28" s="15"/>
      <c r="M28" s="9"/>
      <c r="R28" s="19"/>
    </row>
    <row r="29" spans="1:25" x14ac:dyDescent="0.3">
      <c r="C29" s="9"/>
      <c r="E29" s="19"/>
      <c r="F29" s="31"/>
      <c r="G29" s="1"/>
      <c r="H29" s="57"/>
      <c r="I29" s="33"/>
      <c r="K29" s="13"/>
      <c r="L29" s="1"/>
      <c r="M29" s="14"/>
      <c r="R29" s="19"/>
    </row>
    <row r="30" spans="1:25" x14ac:dyDescent="0.3">
      <c r="A30" s="154" t="s">
        <v>96</v>
      </c>
      <c r="B30" s="149" t="s">
        <v>99</v>
      </c>
      <c r="C30" s="29" t="s">
        <v>53</v>
      </c>
      <c r="D30" s="64"/>
      <c r="E30" s="65"/>
      <c r="F30" s="66"/>
      <c r="G30" s="61"/>
      <c r="H30" s="62">
        <v>3</v>
      </c>
      <c r="I30" s="28"/>
      <c r="J30" s="64"/>
      <c r="K30" s="68"/>
      <c r="L30" s="26">
        <v>1</v>
      </c>
      <c r="M30" s="22">
        <f>ROUNDUP(K30+L30, 0)</f>
        <v>1</v>
      </c>
      <c r="N30" s="26" t="s">
        <v>3</v>
      </c>
      <c r="R30" s="19"/>
    </row>
    <row r="31" spans="1:25" x14ac:dyDescent="0.3">
      <c r="A31" s="152"/>
      <c r="B31" s="149"/>
      <c r="C31" s="83" t="s">
        <v>29</v>
      </c>
      <c r="D31" s="85" t="s">
        <v>7</v>
      </c>
      <c r="E31" s="86">
        <f>'동,층별물량표'!B10</f>
        <v>651</v>
      </c>
      <c r="F31" s="87">
        <v>30</v>
      </c>
      <c r="G31" s="88">
        <f>ROUNDUP(E31/F31,0)</f>
        <v>22</v>
      </c>
      <c r="H31" s="89">
        <f>ROUNDUP(G31/K31,0)</f>
        <v>11</v>
      </c>
      <c r="I31" s="83" t="s">
        <v>55</v>
      </c>
      <c r="J31" s="85"/>
      <c r="K31" s="90">
        <v>2</v>
      </c>
      <c r="L31" s="11">
        <v>6</v>
      </c>
      <c r="M31" s="22">
        <f>ROUNDUP(K31+L31, 0)</f>
        <v>8</v>
      </c>
      <c r="N31" s="7" t="s">
        <v>13</v>
      </c>
      <c r="R31" s="19"/>
    </row>
    <row r="32" spans="1:25" x14ac:dyDescent="0.3">
      <c r="A32" s="152"/>
      <c r="B32" s="149"/>
      <c r="C32" s="40" t="s">
        <v>32</v>
      </c>
      <c r="D32" s="43" t="s">
        <v>6</v>
      </c>
      <c r="E32" s="44">
        <f>'동,층별물량표'!F10*0.5</f>
        <v>14.285</v>
      </c>
      <c r="F32" s="41">
        <v>0.8</v>
      </c>
      <c r="G32" s="55">
        <f>ROUNDUP(E32/F32,0)</f>
        <v>18</v>
      </c>
      <c r="H32" s="45">
        <f>ROUNDUP(G32/K32,0)</f>
        <v>9</v>
      </c>
      <c r="I32" s="40" t="s">
        <v>55</v>
      </c>
      <c r="J32" s="43"/>
      <c r="K32" s="46">
        <v>2</v>
      </c>
      <c r="L32" s="11">
        <v>0.5</v>
      </c>
      <c r="M32" s="22">
        <v>2</v>
      </c>
      <c r="N32" s="7" t="s">
        <v>3</v>
      </c>
      <c r="P32" s="3"/>
      <c r="Q32" s="3"/>
      <c r="R32" s="19"/>
      <c r="S32" s="5"/>
    </row>
    <row r="33" spans="1:19" x14ac:dyDescent="0.3">
      <c r="A33" s="152"/>
      <c r="B33" s="149"/>
      <c r="C33" s="91" t="s">
        <v>30</v>
      </c>
      <c r="D33" s="93" t="s">
        <v>7</v>
      </c>
      <c r="E33" s="94">
        <f>'동,층별물량표'!C10</f>
        <v>796</v>
      </c>
      <c r="F33" s="95">
        <v>30</v>
      </c>
      <c r="G33" s="96">
        <f>ROUNDUP(E33/F33,0)</f>
        <v>27</v>
      </c>
      <c r="H33" s="97">
        <f>ROUNDUP(G33/K33,0)</f>
        <v>7</v>
      </c>
      <c r="I33" s="91" t="s">
        <v>55</v>
      </c>
      <c r="J33" s="93"/>
      <c r="K33" s="98">
        <v>4</v>
      </c>
      <c r="L33" s="11">
        <v>0.5</v>
      </c>
      <c r="M33" s="22">
        <v>4</v>
      </c>
      <c r="N33" s="7" t="s">
        <v>3</v>
      </c>
      <c r="R33" s="19"/>
      <c r="S33" s="5"/>
    </row>
    <row r="34" spans="1:19" x14ac:dyDescent="0.3">
      <c r="A34" s="152"/>
      <c r="B34" s="149"/>
      <c r="C34" s="40" t="s">
        <v>31</v>
      </c>
      <c r="D34" s="43" t="s">
        <v>6</v>
      </c>
      <c r="E34" s="44">
        <f>'동,층별물량표'!F10*0.5</f>
        <v>14.285</v>
      </c>
      <c r="F34" s="41">
        <v>0.9</v>
      </c>
      <c r="G34" s="55">
        <f>ROUNDUP(E34/F34,0)</f>
        <v>16</v>
      </c>
      <c r="H34" s="45">
        <f>ROUNDUP(G34/K34,0)</f>
        <v>8</v>
      </c>
      <c r="I34" s="40" t="s">
        <v>55</v>
      </c>
      <c r="J34" s="43"/>
      <c r="K34" s="46">
        <v>2</v>
      </c>
      <c r="L34" s="11">
        <v>0.5</v>
      </c>
      <c r="M34" s="22">
        <v>2</v>
      </c>
      <c r="N34" s="7" t="s">
        <v>3</v>
      </c>
      <c r="R34" s="19"/>
      <c r="S34" s="5"/>
    </row>
    <row r="35" spans="1:19" x14ac:dyDescent="0.3">
      <c r="A35" s="155"/>
      <c r="B35" s="150"/>
      <c r="C35" s="38" t="s">
        <v>25</v>
      </c>
      <c r="D35" s="50" t="s">
        <v>8</v>
      </c>
      <c r="E35" s="52">
        <f>'동,층별물량표'!G10</f>
        <v>209.36</v>
      </c>
      <c r="F35" s="36">
        <v>130</v>
      </c>
      <c r="G35" s="54">
        <f>H35*K35</f>
        <v>5</v>
      </c>
      <c r="H35" s="53">
        <f>J35*5</f>
        <v>5</v>
      </c>
      <c r="I35" s="38" t="s">
        <v>42</v>
      </c>
      <c r="J35" s="51">
        <f>CEILING(MIN(2, E35/I36), 1)</f>
        <v>1</v>
      </c>
      <c r="K35" s="35">
        <f>MAX(1,
    IF(E35/(F35*H35) - INT(E35/(F35*H35)) &lt; 0.5,
        ROUNDDOWN(E35/(F35*H35),0),
        ROUNDUP(E35/(F35*H35),0)
    )
)</f>
        <v>1</v>
      </c>
      <c r="L35" s="25">
        <v>2</v>
      </c>
      <c r="M35" s="22">
        <f>ROUNDUP(K35+L35, 0)</f>
        <v>3</v>
      </c>
      <c r="N35" s="24" t="s">
        <v>5</v>
      </c>
      <c r="R35" s="19"/>
      <c r="S35" s="5"/>
    </row>
    <row r="36" spans="1:19" x14ac:dyDescent="0.3">
      <c r="C36" s="9"/>
      <c r="E36" s="19"/>
      <c r="F36" s="31"/>
      <c r="G36" s="56"/>
      <c r="H36" s="57" t="s">
        <v>46</v>
      </c>
      <c r="I36" s="33">
        <v>400</v>
      </c>
      <c r="K36" s="13"/>
      <c r="L36" s="1"/>
      <c r="M36" s="14"/>
      <c r="R36" s="19"/>
    </row>
    <row r="37" spans="1:19" x14ac:dyDescent="0.3">
      <c r="C37" s="9"/>
      <c r="E37" s="19"/>
      <c r="F37" s="31"/>
      <c r="G37" s="1"/>
      <c r="H37" s="57"/>
      <c r="I37" s="33"/>
      <c r="K37" s="13"/>
      <c r="L37" s="1"/>
      <c r="M37" s="14"/>
      <c r="R37" s="19"/>
    </row>
    <row r="38" spans="1:19" x14ac:dyDescent="0.3">
      <c r="A38" s="151" t="s">
        <v>97</v>
      </c>
      <c r="B38" s="146" t="s">
        <v>100</v>
      </c>
      <c r="C38" s="29" t="s">
        <v>53</v>
      </c>
      <c r="D38" s="64"/>
      <c r="E38" s="65"/>
      <c r="F38" s="66"/>
      <c r="G38" s="67"/>
      <c r="H38" s="62">
        <v>3</v>
      </c>
      <c r="I38" s="28"/>
      <c r="J38" s="64"/>
      <c r="K38" s="73"/>
      <c r="L38" s="26">
        <v>1</v>
      </c>
      <c r="M38" s="22">
        <f t="shared" ref="M38:M43" si="2">ROUNDUP(K38+L38, 0)</f>
        <v>1</v>
      </c>
      <c r="N38" s="26" t="s">
        <v>3</v>
      </c>
      <c r="R38" s="19"/>
    </row>
    <row r="39" spans="1:19" x14ac:dyDescent="0.3">
      <c r="A39" s="152"/>
      <c r="B39" s="146"/>
      <c r="C39" s="83" t="s">
        <v>29</v>
      </c>
      <c r="D39" s="85" t="s">
        <v>7</v>
      </c>
      <c r="E39" s="86">
        <f>'동,층별물량표'!B13</f>
        <v>779</v>
      </c>
      <c r="F39" s="87">
        <v>60</v>
      </c>
      <c r="G39" s="88">
        <f>ROUNDUP(E39/F39,0)</f>
        <v>13</v>
      </c>
      <c r="H39" s="89">
        <f>ROUNDUP(G39/K39,0)</f>
        <v>13</v>
      </c>
      <c r="I39" s="83" t="s">
        <v>55</v>
      </c>
      <c r="J39" s="85"/>
      <c r="K39" s="90">
        <v>1</v>
      </c>
      <c r="L39" s="11">
        <v>1</v>
      </c>
      <c r="M39" s="22">
        <f t="shared" si="2"/>
        <v>2</v>
      </c>
      <c r="N39" s="7" t="s">
        <v>4</v>
      </c>
      <c r="R39" s="19"/>
    </row>
    <row r="40" spans="1:19" x14ac:dyDescent="0.3">
      <c r="A40" s="152"/>
      <c r="B40" s="146"/>
      <c r="C40" s="40" t="s">
        <v>32</v>
      </c>
      <c r="D40" s="43" t="s">
        <v>6</v>
      </c>
      <c r="E40" s="44">
        <f>18.83*0.5</f>
        <v>9.4149999999999991</v>
      </c>
      <c r="F40" s="41">
        <v>0.8</v>
      </c>
      <c r="G40" s="55">
        <f>ROUNDUP(E40/F40,0)</f>
        <v>12</v>
      </c>
      <c r="H40" s="45">
        <f>ROUNDUP(G40/K40,0)</f>
        <v>12</v>
      </c>
      <c r="I40" s="40" t="s">
        <v>55</v>
      </c>
      <c r="J40" s="43"/>
      <c r="K40" s="46">
        <v>1</v>
      </c>
      <c r="L40" s="11">
        <v>0.5</v>
      </c>
      <c r="M40" s="22">
        <f t="shared" si="2"/>
        <v>2</v>
      </c>
      <c r="N40" s="7" t="s">
        <v>3</v>
      </c>
      <c r="P40" s="3"/>
      <c r="Q40" s="3"/>
      <c r="R40" s="19"/>
      <c r="S40" s="5"/>
    </row>
    <row r="41" spans="1:19" x14ac:dyDescent="0.3">
      <c r="A41" s="152"/>
      <c r="B41" s="146"/>
      <c r="C41" s="91" t="s">
        <v>30</v>
      </c>
      <c r="D41" s="93" t="s">
        <v>7</v>
      </c>
      <c r="E41" s="94">
        <f>1731*0.55</f>
        <v>952.05000000000007</v>
      </c>
      <c r="F41" s="95">
        <v>60</v>
      </c>
      <c r="G41" s="96">
        <f>ROUNDUP(E41/F41,0)</f>
        <v>16</v>
      </c>
      <c r="H41" s="97">
        <f>ROUNDUP(G41/K41,0)</f>
        <v>16</v>
      </c>
      <c r="I41" s="91" t="s">
        <v>55</v>
      </c>
      <c r="J41" s="93"/>
      <c r="K41" s="98">
        <v>1</v>
      </c>
      <c r="L41" s="11">
        <v>0.5</v>
      </c>
      <c r="M41" s="22">
        <f t="shared" si="2"/>
        <v>2</v>
      </c>
      <c r="N41" s="7" t="s">
        <v>3</v>
      </c>
      <c r="R41" s="19"/>
      <c r="S41" s="5"/>
    </row>
    <row r="42" spans="1:19" x14ac:dyDescent="0.3">
      <c r="A42" s="152"/>
      <c r="B42" s="146"/>
      <c r="C42" s="40" t="s">
        <v>31</v>
      </c>
      <c r="D42" s="43" t="s">
        <v>6</v>
      </c>
      <c r="E42" s="44">
        <f>18.83*0.5</f>
        <v>9.4149999999999991</v>
      </c>
      <c r="F42" s="41">
        <v>0.9</v>
      </c>
      <c r="G42" s="55">
        <f>ROUNDUP(E42/F42,0)</f>
        <v>11</v>
      </c>
      <c r="H42" s="45">
        <f>ROUNDUP(G42/K42,0)</f>
        <v>11</v>
      </c>
      <c r="I42" s="40" t="s">
        <v>55</v>
      </c>
      <c r="J42" s="43"/>
      <c r="K42" s="46">
        <v>1</v>
      </c>
      <c r="L42" s="11">
        <v>0.5</v>
      </c>
      <c r="M42" s="22">
        <f t="shared" si="2"/>
        <v>2</v>
      </c>
      <c r="N42" s="7" t="s">
        <v>3</v>
      </c>
      <c r="R42" s="19"/>
      <c r="S42" s="5"/>
    </row>
    <row r="43" spans="1:19" ht="17.25" thickBot="1" x14ac:dyDescent="0.35">
      <c r="A43" s="153"/>
      <c r="B43" s="146"/>
      <c r="C43" s="37" t="s">
        <v>25</v>
      </c>
      <c r="D43" s="48" t="s">
        <v>8</v>
      </c>
      <c r="E43" s="49">
        <f>'동,층별물량표'!G13</f>
        <v>224.29</v>
      </c>
      <c r="F43" s="36">
        <v>130</v>
      </c>
      <c r="G43" s="54">
        <f>H43*K43</f>
        <v>5</v>
      </c>
      <c r="H43" s="53">
        <f>J43*5</f>
        <v>5</v>
      </c>
      <c r="I43" s="38" t="s">
        <v>43</v>
      </c>
      <c r="J43" s="51">
        <f>CEILING(MIN(2, E43/I44), 1)</f>
        <v>1</v>
      </c>
      <c r="K43" s="35">
        <f>MAX(1,
    IF(E43/(F43*H43) - INT(E43/(F43*H43)) &lt; 0.5,
        ROUNDDOWN(E43/(F43*H43),0),
        ROUNDUP(E43/(F43*H43),0)
    )
)</f>
        <v>1</v>
      </c>
      <c r="L43" s="11">
        <v>2</v>
      </c>
      <c r="M43" s="22">
        <f t="shared" si="2"/>
        <v>3</v>
      </c>
      <c r="N43" s="7" t="s">
        <v>5</v>
      </c>
      <c r="R43" s="19"/>
      <c r="S43" s="5"/>
    </row>
    <row r="44" spans="1:19" ht="16.5" customHeight="1" x14ac:dyDescent="0.3">
      <c r="C44" s="9"/>
      <c r="E44" s="19"/>
      <c r="F44" s="31"/>
      <c r="G44" s="56"/>
      <c r="H44" s="57" t="s">
        <v>45</v>
      </c>
      <c r="I44" s="33">
        <v>320</v>
      </c>
      <c r="K44" s="9"/>
      <c r="M44" s="9"/>
      <c r="P44" s="109"/>
      <c r="Q44" s="109"/>
      <c r="R44" s="19"/>
    </row>
    <row r="45" spans="1:19" ht="16.5" customHeight="1" x14ac:dyDescent="0.3">
      <c r="C45" s="9"/>
      <c r="E45" s="19"/>
      <c r="F45" s="32"/>
      <c r="G45" s="59"/>
      <c r="H45" s="57"/>
      <c r="I45" s="33"/>
      <c r="K45" s="9"/>
      <c r="M45" s="9"/>
      <c r="R45" s="19"/>
    </row>
    <row r="46" spans="1:19" x14ac:dyDescent="0.3">
      <c r="A46" s="151" t="s">
        <v>94</v>
      </c>
      <c r="B46" s="145" t="s">
        <v>99</v>
      </c>
      <c r="C46" s="28" t="s">
        <v>53</v>
      </c>
      <c r="D46" s="70"/>
      <c r="E46" s="71"/>
      <c r="F46" s="60"/>
      <c r="G46" s="61"/>
      <c r="H46" s="62">
        <v>3</v>
      </c>
      <c r="I46" s="28"/>
      <c r="J46" s="70"/>
      <c r="K46" s="74"/>
      <c r="L46" s="7">
        <v>1</v>
      </c>
      <c r="M46" s="22">
        <f>ROUNDUP(K46+L46, 0)</f>
        <v>1</v>
      </c>
      <c r="N46" s="7" t="s">
        <v>3</v>
      </c>
      <c r="R46" s="19"/>
    </row>
    <row r="47" spans="1:19" x14ac:dyDescent="0.3">
      <c r="A47" s="152"/>
      <c r="B47" s="146"/>
      <c r="C47" s="40" t="s">
        <v>32</v>
      </c>
      <c r="D47" s="43" t="s">
        <v>6</v>
      </c>
      <c r="E47" s="44">
        <f>'동,층별물량표'!F25*0.5</f>
        <v>4.9649999999999999</v>
      </c>
      <c r="F47" s="41">
        <v>0.7</v>
      </c>
      <c r="G47" s="55">
        <f>ROUNDUP(E47/F47,0)</f>
        <v>8</v>
      </c>
      <c r="H47" s="45">
        <f>ROUNDUP(G47/K47,0)</f>
        <v>8</v>
      </c>
      <c r="I47" s="40" t="s">
        <v>55</v>
      </c>
      <c r="J47" s="43"/>
      <c r="K47" s="46">
        <v>1</v>
      </c>
      <c r="L47" s="11">
        <v>0.5</v>
      </c>
      <c r="M47" s="22">
        <f>ROUNDUP(K47+L47, 0)</f>
        <v>2</v>
      </c>
      <c r="N47" s="7" t="s">
        <v>3</v>
      </c>
      <c r="R47" s="19"/>
    </row>
    <row r="48" spans="1:19" x14ac:dyDescent="0.3">
      <c r="A48" s="152"/>
      <c r="B48" s="146"/>
      <c r="C48" s="75" t="s">
        <v>36</v>
      </c>
      <c r="D48" s="77" t="s">
        <v>7</v>
      </c>
      <c r="E48" s="78">
        <f>'동,층별물량표'!D25</f>
        <v>354.47399999999999</v>
      </c>
      <c r="F48" s="79">
        <v>9</v>
      </c>
      <c r="G48" s="80">
        <f>ROUNDUP(E48/F48,0)</f>
        <v>40</v>
      </c>
      <c r="H48" s="81">
        <f>ROUNDUP(G48/K48,0)</f>
        <v>7</v>
      </c>
      <c r="I48" s="75" t="s">
        <v>55</v>
      </c>
      <c r="J48" s="77"/>
      <c r="K48" s="82">
        <v>6</v>
      </c>
      <c r="L48" s="11">
        <v>0.5</v>
      </c>
      <c r="M48" s="22">
        <f>ROUNDUP(K48+L48, 0)</f>
        <v>7</v>
      </c>
      <c r="N48" s="7" t="s">
        <v>3</v>
      </c>
      <c r="R48" s="19"/>
    </row>
    <row r="49" spans="1:20" x14ac:dyDescent="0.3">
      <c r="A49" s="152"/>
      <c r="B49" s="146"/>
      <c r="C49" s="40" t="s">
        <v>31</v>
      </c>
      <c r="D49" s="43" t="s">
        <v>6</v>
      </c>
      <c r="E49" s="44">
        <f>'동,층별물량표'!F25*0.5</f>
        <v>4.9649999999999999</v>
      </c>
      <c r="F49" s="41">
        <v>0.6</v>
      </c>
      <c r="G49" s="55">
        <f>ROUNDUP(E49/F49,0)</f>
        <v>9</v>
      </c>
      <c r="H49" s="45">
        <f>ROUNDUP(G49/K49,0)</f>
        <v>9</v>
      </c>
      <c r="I49" s="40" t="s">
        <v>55</v>
      </c>
      <c r="J49" s="43"/>
      <c r="K49" s="46">
        <v>1</v>
      </c>
      <c r="L49" s="11">
        <v>0.5</v>
      </c>
      <c r="M49" s="22">
        <f>ROUNDUP(K49+L49, 0)</f>
        <v>2</v>
      </c>
      <c r="N49" s="7" t="s">
        <v>3</v>
      </c>
      <c r="R49" s="19"/>
    </row>
    <row r="50" spans="1:20" ht="17.25" thickBot="1" x14ac:dyDescent="0.35">
      <c r="A50" s="153"/>
      <c r="B50" s="146"/>
      <c r="C50" s="37" t="s">
        <v>25</v>
      </c>
      <c r="D50" s="48" t="s">
        <v>8</v>
      </c>
      <c r="E50" s="49">
        <f>'동,층별물량표'!G25</f>
        <v>101.54</v>
      </c>
      <c r="F50" s="36">
        <v>130</v>
      </c>
      <c r="G50" s="54">
        <f>H50*K50</f>
        <v>5</v>
      </c>
      <c r="H50" s="53">
        <f>J50*5</f>
        <v>5</v>
      </c>
      <c r="I50" s="37" t="s">
        <v>41</v>
      </c>
      <c r="J50" s="51">
        <f>CEILING(MIN(2, E50/I51), 1)</f>
        <v>1</v>
      </c>
      <c r="K50" s="35">
        <f>MAX(1,
    IF(E50/(F50*H50) - INT(E50/(F50*H50)) &lt; 0.5,
        ROUNDDOWN(E50/(F50*H50),0),
        ROUNDUP(E50/(F50*H50),0)
    )
)</f>
        <v>1</v>
      </c>
      <c r="L50" s="11">
        <v>2</v>
      </c>
      <c r="M50" s="30">
        <f>ROUNDUP(K50+L50, 0)</f>
        <v>3</v>
      </c>
      <c r="N50" s="7" t="s">
        <v>5</v>
      </c>
      <c r="R50" s="19"/>
    </row>
    <row r="51" spans="1:20" x14ac:dyDescent="0.3">
      <c r="G51" s="23"/>
      <c r="H51" s="17" t="s">
        <v>44</v>
      </c>
      <c r="I51" s="18">
        <v>230</v>
      </c>
    </row>
    <row r="52" spans="1:20" x14ac:dyDescent="0.3">
      <c r="H52" s="17"/>
      <c r="I52" s="18"/>
    </row>
    <row r="55" spans="1:20" x14ac:dyDescent="0.3">
      <c r="O55" s="16"/>
      <c r="P55" s="16"/>
    </row>
    <row r="56" spans="1:20" x14ac:dyDescent="0.3">
      <c r="O56" s="17"/>
      <c r="P56" s="17"/>
    </row>
    <row r="57" spans="1:20" x14ac:dyDescent="0.3">
      <c r="O57" s="17"/>
      <c r="P57" s="17"/>
      <c r="S57" s="3"/>
      <c r="T57" s="3"/>
    </row>
    <row r="58" spans="1:20" x14ac:dyDescent="0.3">
      <c r="O58" s="17"/>
      <c r="P58" s="17"/>
    </row>
    <row r="59" spans="1:20" x14ac:dyDescent="0.3">
      <c r="O59" s="17"/>
      <c r="P59" s="17"/>
    </row>
    <row r="60" spans="1:20" x14ac:dyDescent="0.3">
      <c r="O60" s="17"/>
      <c r="P60" s="17"/>
    </row>
    <row r="61" spans="1:20" x14ac:dyDescent="0.3">
      <c r="O61" s="17"/>
      <c r="P61" s="17"/>
    </row>
    <row r="62" spans="1:20" x14ac:dyDescent="0.3">
      <c r="O62" s="17"/>
      <c r="P62" s="17"/>
    </row>
    <row r="63" spans="1:20" x14ac:dyDescent="0.3">
      <c r="O63" s="17"/>
      <c r="P63" s="17"/>
    </row>
    <row r="64" spans="1:20" x14ac:dyDescent="0.3">
      <c r="O64" s="17"/>
      <c r="P64" s="17"/>
    </row>
  </sheetData>
  <mergeCells count="14">
    <mergeCell ref="A4:A5"/>
    <mergeCell ref="B4:B5"/>
    <mergeCell ref="A6:A9"/>
    <mergeCell ref="B6:B9"/>
    <mergeCell ref="A12:A18"/>
    <mergeCell ref="B12:B18"/>
    <mergeCell ref="A46:A50"/>
    <mergeCell ref="B46:B50"/>
    <mergeCell ref="A19:A27"/>
    <mergeCell ref="B19:B27"/>
    <mergeCell ref="A30:A35"/>
    <mergeCell ref="B30:B35"/>
    <mergeCell ref="A38:A43"/>
    <mergeCell ref="B38:B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동,층별물량표</vt:lpstr>
      <vt:lpstr>골조표준공정 일수고정 산식표</vt:lpstr>
      <vt:lpstr>골조표준공정 일수고정 산식표 (2)</vt:lpstr>
      <vt:lpstr>'동,층별물량표'!Print_Titles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A2841</dc:creator>
  <cp:lastModifiedBy>A2841</cp:lastModifiedBy>
  <cp:lastPrinted>2025-12-02T04:25:27Z</cp:lastPrinted>
  <dcterms:created xsi:type="dcterms:W3CDTF">2025-10-29T06:46:05Z</dcterms:created>
  <dcterms:modified xsi:type="dcterms:W3CDTF">2025-12-10T23:36:55Z</dcterms:modified>
</cp:coreProperties>
</file>