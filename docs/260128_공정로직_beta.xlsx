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지상층" sheetId="1" r:id="rId5"/>
    <sheet name="주동지하" sheetId="2" r:id="rId6"/>
    <sheet name="지하주차장" sheetId="3" r:id="rId7"/>
    <sheet name="층고 6.5m 이상" sheetId="4" r:id="rId8"/>
    <sheet name="타설 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<sst xmlns="http://schemas.openxmlformats.org/spreadsheetml/2006/main" uniqueCount="77">
  <si>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>구분</t>
  </si>
  <si>
    <t>층수</t>
  </si>
  <si>
    <t>세부공종</t>
  </si>
  <si>
    <t>단위</t>
  </si>
  <si>
    <t>수량</t>
  </si>
  <si>
    <t>인당 생산성</t>
  </si>
  <si>
    <t>총 투입인원</t>
  </si>
  <si>
    <t>1일 투입인원</t>
  </si>
  <si>
    <t>산정 기준</t>
  </si>
  <si>
    <t>작업조 기준인원</t>
  </si>
  <si>
    <t>기준 인원</t>
  </si>
  <si>
    <t>최대 작업조</t>
  </si>
  <si>
    <t>부분별 보정계수</t>
  </si>
  <si>
    <t>최대투입인원</t>
  </si>
  <si>
    <t>투입장비명</t>
  </si>
  <si>
    <t>장비대수</t>
  </si>
  <si>
    <t xml:space="preserve"> 순작업일</t>
  </si>
  <si>
    <t>간접일</t>
  </si>
  <si>
    <t>총작업일수</t>
  </si>
  <si>
    <t>간접작업항목</t>
  </si>
  <si>
    <t>버림</t>
  </si>
  <si>
    <t>버림틀설치</t>
  </si>
  <si>
    <t>㎡</t>
  </si>
  <si>
    <t>일수고정</t>
  </si>
  <si>
    <t>버림타설</t>
  </si>
  <si>
    <t>㎥</t>
  </si>
  <si>
    <t>장비대수*4명 /버림부분</t>
  </si>
  <si>
    <t>콘크리트 펌프차</t>
  </si>
  <si>
    <t>양생</t>
  </si>
  <si>
    <t>기초</t>
  </si>
  <si>
    <t>먹매김</t>
  </si>
  <si>
    <t>기초철근조립</t>
  </si>
  <si>
    <t>ton</t>
  </si>
  <si>
    <t>검측</t>
  </si>
  <si>
    <t>끊어치기 작업</t>
  </si>
  <si>
    <t>기초타설</t>
  </si>
  <si>
    <t>장비대수*5명 /기초부분</t>
  </si>
  <si>
    <t>지하층</t>
  </si>
  <si>
    <t>B2</t>
  </si>
  <si>
    <t>벽 철근조립</t>
  </si>
  <si>
    <t>지하2층 거푸집설치</t>
  </si>
  <si>
    <t>보강/검측</t>
  </si>
  <si>
    <t>보슬라브 철근조립</t>
  </si>
  <si>
    <t>마감작업</t>
  </si>
  <si>
    <t>타설</t>
  </si>
  <si>
    <t>장비대수*5명 /지하골조부분</t>
  </si>
  <si>
    <t>거푸집 해체/정리</t>
  </si>
  <si>
    <t>B1</t>
  </si>
  <si>
    <t>지하1층 거푸집 설치</t>
  </si>
  <si>
    <t>피트층 거푸집 설치</t>
  </si>
  <si>
    <t>피트층 타설</t>
  </si>
  <si>
    <t>일반층</t>
  </si>
  <si>
    <t>유로폼 설치</t>
  </si>
  <si>
    <t>장비대수*4명 /최상층</t>
  </si>
  <si>
    <t>셋팅층</t>
  </si>
  <si>
    <t>갱폼 설치</t>
  </si>
  <si>
    <t>앵커/안전발판</t>
  </si>
  <si>
    <t>알폼 조립</t>
  </si>
  <si>
    <t>장비대수*6명 /셋팅층</t>
  </si>
  <si>
    <t>기준층</t>
  </si>
  <si>
    <t>장비대수*6명 /일반층</t>
  </si>
  <si>
    <t>최상층</t>
  </si>
  <si>
    <t>옥탑층</t>
  </si>
  <si>
    <t>지하2층 거푸집 설치</t>
  </si>
  <si>
    <t>층고 6.5m 이상</t>
  </si>
  <si>
    <t>시스템동바리</t>
  </si>
  <si>
    <t>거푸집 설치</t>
  </si>
  <si>
    <t>타설 항목</t>
  </si>
  <si>
    <t>기초 대당타설량</t>
  </si>
  <si>
    <t>지하 대당타설량</t>
  </si>
  <si>
    <t>일반층 대당타설량</t>
  </si>
  <si>
    <t>1층 대당타설량</t>
  </si>
  <si>
    <t>기준층 대당타설량</t>
  </si>
  <si>
    <t>최상층 대당타설량</t>
  </si>
  <si>
    <t>PH층 대당타설량</t>
  </si>
  <si>
    <t>펌프차 대수산정기준</t>
  </si>
  <si>
    <t>동별 최대 2대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</si>
</sst>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5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맑은 고딕"/>
    </font>
    <font>
      <b val="1"/>
      <sz val="11"/>
      <color indexed="8"/>
      <name val="맑은 고딕"/>
    </font>
  </fonts>
  <fills count="13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horizontal="center" vertical="center"/>
    </xf>
    <xf numFmtId="49" fontId="3" borderId="1" applyNumberFormat="1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vertical="center"/>
    </xf>
    <xf numFmtId="2" fontId="0" fillId="2" borderId="1" applyNumberFormat="1" applyFont="1" applyFill="1" applyBorder="1" applyAlignment="1" applyProtection="0">
      <alignment vertical="center"/>
    </xf>
    <xf numFmtId="59" fontId="0" fillId="2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horizontal="center" vertical="bottom"/>
    </xf>
    <xf numFmtId="2" fontId="0" fillId="3" borderId="1" applyNumberFormat="1" applyFont="1" applyFill="1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vertical="center"/>
    </xf>
    <xf numFmtId="2" fontId="0" fillId="4" borderId="1" applyNumberFormat="1" applyFont="1" applyFill="1" applyBorder="1" applyAlignment="1" applyProtection="0">
      <alignment vertical="center"/>
    </xf>
    <xf numFmtId="59" fontId="0" fillId="4" borderId="1" applyNumberFormat="1" applyFont="1" applyFill="1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horizontal="center" vertical="center"/>
    </xf>
    <xf numFmtId="2" fontId="0" fillId="4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horizontal="center" vertical="center"/>
    </xf>
    <xf numFmtId="2" fontId="4" fillId="4" borderId="1" applyNumberFormat="1" applyFont="1" applyFill="1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2" fontId="0" fillId="5" borderId="1" applyNumberFormat="1" applyFont="1" applyFill="1" applyBorder="1" applyAlignment="1" applyProtection="0">
      <alignment vertical="center"/>
    </xf>
    <xf numFmtId="59" fontId="0" fillId="5" borderId="1" applyNumberFormat="1" applyFont="1" applyFill="1" applyBorder="1" applyAlignment="1" applyProtection="0">
      <alignment vertical="center"/>
    </xf>
    <xf numFmtId="0" fontId="0" fillId="5" borderId="1" applyNumberFormat="1" applyFont="1" applyFill="1" applyBorder="1" applyAlignment="1" applyProtection="0">
      <alignment horizontal="center" vertical="center"/>
    </xf>
    <xf numFmtId="2" fontId="0" fillId="5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horizontal="center" vertical="center"/>
    </xf>
    <xf numFmtId="49" fontId="0" fillId="6" borderId="1" applyNumberFormat="1" applyFont="1" applyFill="1" applyBorder="1" applyAlignment="1" applyProtection="0">
      <alignment vertical="center"/>
    </xf>
    <xf numFmtId="2" fontId="0" fillId="6" borderId="1" applyNumberFormat="1" applyFont="1" applyFill="1" applyBorder="1" applyAlignment="1" applyProtection="0">
      <alignment vertical="center"/>
    </xf>
    <xf numFmtId="59" fontId="0" fillId="6" borderId="1" applyNumberFormat="1" applyFont="1" applyFill="1" applyBorder="1" applyAlignment="1" applyProtection="0">
      <alignment vertical="center"/>
    </xf>
    <xf numFmtId="0" fontId="0" fillId="6" borderId="1" applyNumberFormat="0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center"/>
    </xf>
    <xf numFmtId="2" fontId="0" borderId="5" applyNumberFormat="1" applyFont="1" applyFill="0" applyBorder="1" applyAlignment="1" applyProtection="0">
      <alignment vertical="center"/>
    </xf>
    <xf numFmtId="59" fontId="0" borderId="5" applyNumberFormat="1" applyFont="1" applyFill="0" applyBorder="1" applyAlignment="1" applyProtection="0">
      <alignment horizontal="right" vertical="center"/>
    </xf>
    <xf numFmtId="0" fontId="4" fillId="3" borderId="5" applyNumberFormat="0" applyFont="1" applyFill="1" applyBorder="1" applyAlignment="1" applyProtection="0">
      <alignment horizontal="center" vertical="center" wrapText="1"/>
    </xf>
    <xf numFmtId="2" fontId="4" fillId="3" borderId="5" applyNumberFormat="1" applyFont="1" applyFill="1" applyBorder="1" applyAlignment="1" applyProtection="0">
      <alignment horizontal="center" vertical="center" wrapText="1"/>
    </xf>
    <xf numFmtId="59" fontId="0" borderId="5" applyNumberFormat="1" applyFont="1" applyFill="0" applyBorder="1" applyAlignment="1" applyProtection="0">
      <alignment vertical="center"/>
    </xf>
    <xf numFmtId="0" fontId="0" fillId="5" borderId="1" applyNumberFormat="1" applyFont="1" applyFill="1" applyBorder="1" applyAlignment="1" applyProtection="0">
      <alignment vertical="center"/>
    </xf>
    <xf numFmtId="49" fontId="0" fillId="7" borderId="1" applyNumberFormat="1" applyFont="1" applyFill="1" applyBorder="1" applyAlignment="1" applyProtection="0">
      <alignment vertical="center"/>
    </xf>
    <xf numFmtId="2" fontId="0" fillId="7" borderId="1" applyNumberFormat="1" applyFont="1" applyFill="1" applyBorder="1" applyAlignment="1" applyProtection="0">
      <alignment vertical="center"/>
    </xf>
    <xf numFmtId="59" fontId="0" fillId="7" borderId="1" applyNumberFormat="1" applyFont="1" applyFill="1" applyBorder="1" applyAlignment="1" applyProtection="0">
      <alignment vertical="center"/>
    </xf>
    <xf numFmtId="0" fontId="0" fillId="7" borderId="1" applyNumberFormat="0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vertical="center"/>
    </xf>
    <xf numFmtId="0" fontId="0" fillId="3" borderId="1" applyNumberFormat="0" applyFont="1" applyFill="1" applyBorder="1" applyAlignment="1" applyProtection="0">
      <alignment horizontal="center" vertical="center" wrapText="1"/>
    </xf>
    <xf numFmtId="0" fontId="0" fillId="3" borderId="4" applyNumberFormat="0" applyFont="1" applyFill="1" applyBorder="1" applyAlignment="1" applyProtection="0">
      <alignment horizontal="center" vertical="center" wrapText="1"/>
    </xf>
    <xf numFmtId="0" fontId="0" fillId="3" borderId="3" applyNumberFormat="0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center"/>
    </xf>
    <xf numFmtId="2" fontId="0" borderId="5" applyNumberFormat="1" applyFont="1" applyFill="0" applyBorder="1" applyAlignment="1" applyProtection="0">
      <alignment horizontal="center" vertical="center"/>
    </xf>
    <xf numFmtId="2" fontId="4" borderId="5" applyNumberFormat="1" applyFont="1" applyFill="0" applyBorder="1" applyAlignment="1" applyProtection="0">
      <alignment vertical="center"/>
    </xf>
    <xf numFmtId="49" fontId="0" fillId="8" borderId="1" applyNumberFormat="1" applyFont="1" applyFill="1" applyBorder="1" applyAlignment="1" applyProtection="0">
      <alignment vertical="center"/>
    </xf>
    <xf numFmtId="2" fontId="0" fillId="8" borderId="1" applyNumberFormat="1" applyFont="1" applyFill="1" applyBorder="1" applyAlignment="1" applyProtection="0">
      <alignment vertical="center"/>
    </xf>
    <xf numFmtId="59" fontId="0" fillId="8" borderId="1" applyNumberFormat="1" applyFont="1" applyFill="1" applyBorder="1" applyAlignment="1" applyProtection="0">
      <alignment vertical="center"/>
    </xf>
    <xf numFmtId="0" fontId="0" fillId="8" borderId="1" applyNumberFormat="0" applyFont="1" applyFill="1" applyBorder="1" applyAlignment="1" applyProtection="0">
      <alignment vertical="center"/>
    </xf>
    <xf numFmtId="49" fontId="0" fillId="9" borderId="1" applyNumberFormat="1" applyFont="1" applyFill="1" applyBorder="1" applyAlignment="1" applyProtection="0">
      <alignment vertical="center"/>
    </xf>
    <xf numFmtId="2" fontId="0" fillId="9" borderId="1" applyNumberFormat="1" applyFont="1" applyFill="1" applyBorder="1" applyAlignment="1" applyProtection="0">
      <alignment vertical="center"/>
    </xf>
    <xf numFmtId="59" fontId="0" fillId="9" borderId="1" applyNumberFormat="1" applyFont="1" applyFill="1" applyBorder="1" applyAlignment="1" applyProtection="0">
      <alignment vertical="center"/>
    </xf>
    <xf numFmtId="0" fontId="0" fillId="9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10" borderId="1" applyNumberFormat="1" applyFont="1" applyFill="1" applyBorder="1" applyAlignment="1" applyProtection="0">
      <alignment vertical="center"/>
    </xf>
    <xf numFmtId="2" fontId="0" fillId="10" borderId="1" applyNumberFormat="1" applyFont="1" applyFill="1" applyBorder="1" applyAlignment="1" applyProtection="0">
      <alignment vertical="center"/>
    </xf>
    <xf numFmtId="59" fontId="0" fillId="10" borderId="1" applyNumberFormat="1" applyFont="1" applyFill="1" applyBorder="1" applyAlignment="1" applyProtection="0">
      <alignment vertical="center"/>
    </xf>
    <xf numFmtId="0" fontId="0" fillId="10" borderId="1" applyNumberFormat="0" applyFont="1" applyFill="1" applyBorder="1" applyAlignment="1" applyProtection="0">
      <alignment vertical="center"/>
    </xf>
    <xf numFmtId="0" fontId="3" fillId="3" borderId="1" applyNumberFormat="1" applyFont="1" applyFill="1" applyBorder="1" applyAlignment="1" applyProtection="0">
      <alignment horizontal="center" vertical="bottom"/>
    </xf>
    <xf numFmtId="1" fontId="0" fillId="3" borderId="1" applyNumberFormat="1" applyFont="1" applyFill="1" applyBorder="1" applyAlignment="1" applyProtection="0">
      <alignment horizontal="center" vertical="bottom"/>
    </xf>
    <xf numFmtId="0" fontId="0" borderId="2" applyNumberFormat="1" applyFont="1" applyFill="0" applyBorder="1" applyAlignment="1" applyProtection="0">
      <alignment horizontal="center" vertical="center"/>
    </xf>
    <xf numFmtId="59" fontId="0" borderId="2" applyNumberFormat="1" applyFont="1" applyFill="0" applyBorder="1" applyAlignment="1" applyProtection="0">
      <alignment vertical="center"/>
    </xf>
    <xf numFmtId="59" fontId="3" borderId="1" applyNumberFormat="1" applyFont="1" applyFill="0" applyBorder="1" applyAlignment="1" applyProtection="0">
      <alignment vertical="center"/>
    </xf>
    <xf numFmtId="0" fontId="0" borderId="3" applyNumberFormat="1" applyFont="1" applyFill="0" applyBorder="1" applyAlignment="1" applyProtection="0">
      <alignment horizontal="center" vertical="center"/>
    </xf>
    <xf numFmtId="59" fontId="0" borderId="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11" borderId="6" applyNumberFormat="1" applyFont="1" applyFill="1" applyBorder="1" applyAlignment="1" applyProtection="0">
      <alignment vertical="center"/>
    </xf>
    <xf numFmtId="49" fontId="4" fillId="12" borderId="1" applyNumberFormat="1" applyFont="1" applyFill="1" applyBorder="1" applyAlignment="1" applyProtection="0">
      <alignment vertical="center"/>
    </xf>
    <xf numFmtId="0" fontId="4" fillId="3" borderId="1" applyNumberFormat="1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vertical="center" wrapText="1"/>
    </xf>
    <xf numFmtId="0" fontId="4" borderId="1" applyNumberFormat="1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ff0000"/>
      <rgbColor rgb="ffaaaaaa"/>
      <rgbColor rgb="ffebd4e9"/>
      <rgbColor rgb="ffffffff"/>
      <rgbColor rgb="fffae2d5"/>
      <rgbColor rgb="ffd8d8d8"/>
      <rgbColor rgb="ffdbedd5"/>
      <rgbColor rgb="ffc2c9cf"/>
      <rgbColor rgb="ffc57fbe"/>
      <rgbColor rgb="ffd8aad3"/>
      <rgbColor rgb="ff94ca81"/>
      <rgbColor rgb="ffbdc0bf"/>
      <rgbColor rgb="ffa5a5a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61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1" customWidth="1"/>
    <col min="2" max="2" width="4.17188" style="1" customWidth="1"/>
    <col min="3" max="3" width="15.6719" style="1" customWidth="1"/>
    <col min="4" max="4" width="4.17188" style="1" customWidth="1"/>
    <col min="5" max="5" width="7.5" style="1" customWidth="1"/>
    <col min="6" max="7" width="9.35156" style="1" customWidth="1"/>
    <col min="8" max="8" width="10.3516" style="1" customWidth="1"/>
    <col min="9" max="9" width="21.1719" style="1" customWidth="1"/>
    <col min="10" max="10" width="12.5" style="1" customWidth="1"/>
    <col min="11" max="11" width="7.85156" style="1" customWidth="1"/>
    <col min="12" max="12" width="9.35156" style="1" customWidth="1"/>
    <col min="13" max="13" width="12.5" style="1" customWidth="1"/>
    <col min="14" max="14" width="10.5" style="1" customWidth="1"/>
    <col min="15" max="15" width="12.5" style="1" customWidth="1"/>
    <col min="16" max="16" width="7.35156" style="1" customWidth="1"/>
    <col min="17" max="17" width="7.85156" style="1" customWidth="1"/>
    <col min="18" max="18" width="5.67188" style="1" customWidth="1"/>
    <col min="19" max="19" width="8.85156" style="1" customWidth="1"/>
    <col min="20" max="20" width="11" style="1" customWidth="1"/>
    <col min="21" max="16384" width="8.85156" style="1" customWidth="1"/>
  </cols>
  <sheetData>
    <row r="1" ht="16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2">
        <v>14</v>
      </c>
      <c r="P1" t="s" s="2">
        <v>15</v>
      </c>
      <c r="Q1" t="s" s="3">
        <v>16</v>
      </c>
      <c r="R1" t="s" s="2">
        <v>17</v>
      </c>
      <c r="S1" t="s" s="3">
        <v>18</v>
      </c>
      <c r="T1" t="s" s="2">
        <v>19</v>
      </c>
    </row>
    <row r="2" ht="16" customHeight="1">
      <c r="A2" t="s" s="4">
        <v>20</v>
      </c>
      <c r="B2" s="5"/>
      <c r="C2" t="s" s="6">
        <v>21</v>
      </c>
      <c r="D2" t="s" s="6">
        <v>22</v>
      </c>
      <c r="E2" s="7">
        <v>40</v>
      </c>
      <c r="F2" s="7">
        <v>10</v>
      </c>
      <c r="G2" s="8" cm="1">
        <f t="array" ref="G2">E2/F2</f>
        <v>4</v>
      </c>
      <c r="H2" s="8" cm="1">
        <f t="array" ref="H2">ROUNDUP(G2/Q2,0)</f>
        <v>4</v>
      </c>
      <c r="I2" t="s" s="6">
        <v>23</v>
      </c>
      <c r="J2" s="9">
        <v>2</v>
      </c>
      <c r="K2" s="9">
        <v>6</v>
      </c>
      <c r="L2" s="9" cm="1">
        <f t="array" ref="L2">N2/J2</f>
        <v>3</v>
      </c>
      <c r="M2" s="10" cm="1">
        <f t="array" ref="M2">1</f>
        <v>1</v>
      </c>
      <c r="N2" s="11" cm="1">
        <f t="array" ref="N2">ROUND(M2*K2/J2,0)*J2</f>
        <v>6</v>
      </c>
      <c r="O2" s="12"/>
      <c r="P2" s="12"/>
      <c r="Q2" s="8">
        <v>1</v>
      </c>
      <c r="R2" s="13"/>
      <c r="S2" s="13" cm="1">
        <f t="array" ref="S2">ROUNDUP(Q2+R2,0)</f>
        <v>1</v>
      </c>
      <c r="T2" s="14"/>
    </row>
    <row r="3" ht="16" customHeight="1">
      <c r="A3" s="15"/>
      <c r="B3" s="15"/>
      <c r="C3" t="s" s="16">
        <v>24</v>
      </c>
      <c r="D3" t="s" s="16">
        <v>25</v>
      </c>
      <c r="E3" s="17">
        <v>228</v>
      </c>
      <c r="F3" s="17">
        <v>130</v>
      </c>
      <c r="G3" s="18" cm="1">
        <f t="array" ref="G3">H3*Q3</f>
        <v>5</v>
      </c>
      <c r="H3" s="18" cm="1">
        <f t="array" ref="H3">P3*5</f>
        <v>5</v>
      </c>
      <c r="I3" t="s" s="16">
        <v>26</v>
      </c>
      <c r="J3" s="19"/>
      <c r="K3" s="19"/>
      <c r="L3" s="19"/>
      <c r="M3" s="20">
        <v>1</v>
      </c>
      <c r="N3" s="21"/>
      <c r="O3" t="s" s="16">
        <v>27</v>
      </c>
      <c r="P3" s="22" cm="1">
        <f t="array" ref="P3">CEILING(MIN(2,E3/'타설 '!B2),1)</f>
        <v>1</v>
      </c>
      <c r="Q3" s="18" cm="1">
        <f t="array" ref="Q3">MAX(1,IF(E3/(F3*H3)-INT(E3/(F3*H3))&lt;0.5,ROUNDDOWN(E3/(F3*H3),0),ROUNDUP(E3/(F3*H3),0)))</f>
        <v>1</v>
      </c>
      <c r="R3" s="13">
        <v>1</v>
      </c>
      <c r="S3" s="13" cm="1">
        <f t="array" ref="S3">ROUNDUP(Q3+R3,0)</f>
        <v>2</v>
      </c>
      <c r="T3" t="s" s="23">
        <v>28</v>
      </c>
    </row>
    <row r="4" ht="16" customHeight="1">
      <c r="A4" t="s" s="4">
        <v>29</v>
      </c>
      <c r="B4" s="5"/>
      <c r="C4" t="s" s="24">
        <v>30</v>
      </c>
      <c r="D4" t="s" s="24">
        <v>22</v>
      </c>
      <c r="E4" s="25"/>
      <c r="F4" s="25"/>
      <c r="G4" s="26"/>
      <c r="H4" s="26">
        <v>3</v>
      </c>
      <c r="I4" t="s" s="24">
        <v>23</v>
      </c>
      <c r="J4" s="27">
        <v>3</v>
      </c>
      <c r="K4" s="27">
        <v>6</v>
      </c>
      <c r="L4" s="27" cm="1">
        <f t="array" ref="L4">N4/J4</f>
        <v>2</v>
      </c>
      <c r="M4" s="28">
        <v>1</v>
      </c>
      <c r="N4" s="11" cm="1">
        <f t="array" ref="N4">ROUND(M4*K4/J4,0)*J4</f>
        <v>6</v>
      </c>
      <c r="O4" s="29"/>
      <c r="P4" s="29"/>
      <c r="Q4" s="26">
        <v>1</v>
      </c>
      <c r="R4" s="13"/>
      <c r="S4" s="13" cm="1">
        <f t="array" ref="S4">ROUNDUP(Q4+R4,0)</f>
        <v>1</v>
      </c>
      <c r="T4" s="14"/>
    </row>
    <row r="5" ht="16" customHeight="1">
      <c r="A5" s="30"/>
      <c r="B5" s="30"/>
      <c r="C5" t="s" s="31">
        <v>31</v>
      </c>
      <c r="D5" t="s" s="31">
        <v>32</v>
      </c>
      <c r="E5" s="32">
        <v>110.62</v>
      </c>
      <c r="F5" s="32">
        <v>1.1</v>
      </c>
      <c r="G5" s="33" cm="1">
        <f t="array" ref="G5">ROUNDUP(E5/F5,0)</f>
        <v>101</v>
      </c>
      <c r="H5" s="33" cm="1">
        <f t="array" ref="H5">ROUNDUP(G5/Q5,0)</f>
        <v>17</v>
      </c>
      <c r="I5" t="s" s="31">
        <v>23</v>
      </c>
      <c r="J5" s="9">
        <v>4</v>
      </c>
      <c r="K5" s="9">
        <v>24</v>
      </c>
      <c r="L5" s="9" cm="1">
        <f t="array" ref="L5">N5/J5</f>
        <v>8</v>
      </c>
      <c r="M5" s="10">
        <v>1.3</v>
      </c>
      <c r="N5" s="11" cm="1">
        <f t="array" ref="N5">ROUND(M5*K5/J5,0)*J5</f>
        <v>32</v>
      </c>
      <c r="O5" s="34"/>
      <c r="P5" s="34"/>
      <c r="Q5" s="33">
        <v>6</v>
      </c>
      <c r="R5" s="13">
        <v>0.5</v>
      </c>
      <c r="S5" s="13" cm="1">
        <f t="array" ref="S5">ROUNDUP(Q5+R5,0)</f>
        <v>7</v>
      </c>
      <c r="T5" t="s" s="23">
        <v>33</v>
      </c>
    </row>
    <row r="6" ht="16" customHeight="1">
      <c r="A6" s="30"/>
      <c r="B6" s="30"/>
      <c r="C6" t="s" s="6">
        <v>34</v>
      </c>
      <c r="D6" t="s" s="6">
        <v>22</v>
      </c>
      <c r="E6" s="7">
        <v>120</v>
      </c>
      <c r="F6" s="7">
        <v>10</v>
      </c>
      <c r="G6" s="8" cm="1">
        <f t="array" ref="G6">ROUNDUP(E6/F6,0)</f>
        <v>12</v>
      </c>
      <c r="H6" s="8" cm="1">
        <f t="array" ref="H6">ROUNDUP(G6/Q6,0)</f>
        <v>6</v>
      </c>
      <c r="I6" t="s" s="6">
        <v>23</v>
      </c>
      <c r="J6" s="9">
        <v>3</v>
      </c>
      <c r="K6" s="9">
        <v>6</v>
      </c>
      <c r="L6" s="9" cm="1">
        <f t="array" ref="L6">N6/J6</f>
        <v>2</v>
      </c>
      <c r="M6" s="10">
        <v>1</v>
      </c>
      <c r="N6" s="11" cm="1">
        <f t="array" ref="N6">ROUND(M6*K6/J6,0)*J6</f>
        <v>6</v>
      </c>
      <c r="O6" s="12"/>
      <c r="P6" s="12"/>
      <c r="Q6" s="8">
        <v>2</v>
      </c>
      <c r="R6" s="13">
        <v>0.5</v>
      </c>
      <c r="S6" s="13" cm="1">
        <f t="array" ref="S6">ROUNDUP(Q6+R6,0)</f>
        <v>3</v>
      </c>
      <c r="T6" t="s" s="23">
        <v>33</v>
      </c>
    </row>
    <row r="7" ht="16" customHeight="1">
      <c r="A7" s="15"/>
      <c r="B7" s="15"/>
      <c r="C7" t="s" s="16">
        <v>35</v>
      </c>
      <c r="D7" t="s" s="16">
        <v>25</v>
      </c>
      <c r="E7" s="17">
        <v>1643</v>
      </c>
      <c r="F7" s="17">
        <v>130</v>
      </c>
      <c r="G7" s="18" cm="1">
        <f t="array" ref="G7">H7*Q7</f>
        <v>10</v>
      </c>
      <c r="H7" s="18" cm="1">
        <f t="array" ref="H7">P7*5</f>
        <v>10</v>
      </c>
      <c r="I7" t="s" s="16">
        <v>36</v>
      </c>
      <c r="J7" s="19"/>
      <c r="K7" s="19"/>
      <c r="L7" s="19"/>
      <c r="M7" s="20">
        <v>1</v>
      </c>
      <c r="N7" s="21"/>
      <c r="O7" t="s" s="16">
        <v>27</v>
      </c>
      <c r="P7" s="22" cm="1">
        <f t="array" ref="P7">CEILING(MIN(2,E7/'타설 '!B3),1)</f>
        <v>2</v>
      </c>
      <c r="Q7" s="18" cm="1">
        <f t="array" ref="Q7">MAX(1,IF(E7/(F7*H7)-INT(E7/(F7*H7))&lt;0.5,ROUNDDOWN(E7/(F7*H7),0),ROUNDUP(E7/(F7*H7),0)))</f>
        <v>1</v>
      </c>
      <c r="R7" s="13">
        <v>3</v>
      </c>
      <c r="S7" s="13" cm="1">
        <f t="array" ref="S7">ROUNDUP(Q7+R7,0)</f>
        <v>4</v>
      </c>
      <c r="T7" t="s" s="23">
        <v>28</v>
      </c>
    </row>
    <row r="8" ht="16" customHeight="1">
      <c r="A8" s="35"/>
      <c r="B8" s="35"/>
      <c r="C8" s="35"/>
      <c r="D8" s="35"/>
      <c r="E8" s="36"/>
      <c r="F8" s="36"/>
      <c r="G8" s="37"/>
      <c r="H8" s="35"/>
      <c r="I8" s="35"/>
      <c r="J8" s="38"/>
      <c r="K8" s="38"/>
      <c r="L8" s="38"/>
      <c r="M8" s="39"/>
      <c r="N8" s="38"/>
      <c r="O8" s="35"/>
      <c r="P8" s="35"/>
      <c r="Q8" s="40"/>
      <c r="R8" s="40"/>
      <c r="S8" s="40"/>
      <c r="T8" s="35"/>
    </row>
    <row r="9" ht="16" customHeight="1">
      <c r="A9" t="s" s="4">
        <v>37</v>
      </c>
      <c r="B9" t="s" s="4">
        <v>38</v>
      </c>
      <c r="C9" t="s" s="24">
        <v>30</v>
      </c>
      <c r="D9" t="s" s="24">
        <v>22</v>
      </c>
      <c r="E9" s="25"/>
      <c r="F9" s="25"/>
      <c r="G9" s="26"/>
      <c r="H9" s="26">
        <v>3</v>
      </c>
      <c r="I9" t="s" s="24">
        <v>23</v>
      </c>
      <c r="J9" s="27">
        <v>3</v>
      </c>
      <c r="K9" s="27">
        <v>6</v>
      </c>
      <c r="L9" s="27" cm="1">
        <f t="array" ref="L9">N9/J9</f>
        <v>2</v>
      </c>
      <c r="M9" s="28">
        <v>1</v>
      </c>
      <c r="N9" s="11" cm="1">
        <f t="array" ref="N9">ROUND(M9*K9/J9,0)*J9</f>
        <v>6</v>
      </c>
      <c r="O9" s="29"/>
      <c r="P9" s="29"/>
      <c r="Q9" s="41">
        <v>1</v>
      </c>
      <c r="R9" s="13"/>
      <c r="S9" s="13" cm="1">
        <f t="array" ref="S9">ROUNDUP(Q9+R9,0)</f>
        <v>1</v>
      </c>
      <c r="T9" s="14"/>
    </row>
    <row r="10" ht="16" customHeight="1">
      <c r="A10" s="30"/>
      <c r="B10" s="30"/>
      <c r="C10" t="s" s="31">
        <v>39</v>
      </c>
      <c r="D10" t="s" s="31">
        <v>32</v>
      </c>
      <c r="E10" s="32">
        <v>53.1</v>
      </c>
      <c r="F10" s="32">
        <v>0.8</v>
      </c>
      <c r="G10" s="33" cm="1">
        <f t="array" ref="G10">ROUNDUP(E10/F10,0)</f>
        <v>67</v>
      </c>
      <c r="H10" s="33" cm="1">
        <f t="array" ref="H10">ROUNDUP(G10/Q10,0)</f>
        <v>14</v>
      </c>
      <c r="I10" t="s" s="31">
        <v>23</v>
      </c>
      <c r="J10" s="9">
        <v>3</v>
      </c>
      <c r="K10" s="9">
        <v>18</v>
      </c>
      <c r="L10" s="9" cm="1">
        <f t="array" ref="L10">N10/J10</f>
        <v>7</v>
      </c>
      <c r="M10" s="10">
        <v>1.2</v>
      </c>
      <c r="N10" s="11" cm="1">
        <f t="array" ref="N10">ROUND(M10*K10/J10,0)*J10</f>
        <v>21</v>
      </c>
      <c r="O10" s="34"/>
      <c r="P10" s="34"/>
      <c r="Q10" s="33">
        <v>5</v>
      </c>
      <c r="R10" s="13">
        <v>0.5</v>
      </c>
      <c r="S10" s="13" cm="1">
        <f t="array" ref="S10">ROUNDUP(Q10+R10,0)</f>
        <v>6</v>
      </c>
      <c r="T10" t="s" s="23">
        <v>33</v>
      </c>
    </row>
    <row r="11" ht="16" customHeight="1">
      <c r="A11" s="30"/>
      <c r="B11" s="30"/>
      <c r="C11" t="s" s="6">
        <v>40</v>
      </c>
      <c r="D11" t="s" s="6">
        <v>22</v>
      </c>
      <c r="E11" s="7">
        <v>4612.25</v>
      </c>
      <c r="F11" s="7">
        <v>11</v>
      </c>
      <c r="G11" s="8" cm="1">
        <f t="array" ref="G11">ROUNDUP(E11/F11,0)</f>
        <v>420</v>
      </c>
      <c r="H11" s="8" cm="1">
        <f t="array" ref="H11">ROUNDUP(G11/Q11,0)</f>
        <v>25</v>
      </c>
      <c r="I11" t="s" s="6">
        <v>23</v>
      </c>
      <c r="J11" s="9">
        <v>2</v>
      </c>
      <c r="K11" s="9">
        <v>16</v>
      </c>
      <c r="L11" s="9" cm="1">
        <f t="array" ref="L11">N11/J11</f>
        <v>10</v>
      </c>
      <c r="M11" s="10">
        <v>1.2</v>
      </c>
      <c r="N11" s="11" cm="1">
        <f t="array" ref="N11">ROUND(M11*K11/J11,0)*J11</f>
        <v>20</v>
      </c>
      <c r="O11" s="12"/>
      <c r="P11" s="12"/>
      <c r="Q11" s="8">
        <v>17</v>
      </c>
      <c r="R11" s="13">
        <v>1</v>
      </c>
      <c r="S11" s="13" cm="1">
        <f t="array" ref="S11">ROUNDUP(Q11+R11,0)</f>
        <v>18</v>
      </c>
      <c r="T11" t="s" s="23">
        <v>41</v>
      </c>
    </row>
    <row r="12" ht="16" customHeight="1">
      <c r="A12" s="30"/>
      <c r="B12" s="30"/>
      <c r="C12" t="s" s="31">
        <v>42</v>
      </c>
      <c r="D12" t="s" s="31">
        <v>32</v>
      </c>
      <c r="E12" s="32">
        <v>64.91</v>
      </c>
      <c r="F12" s="32">
        <v>0.8</v>
      </c>
      <c r="G12" s="33" cm="1">
        <f t="array" ref="G12">ROUNDUP(E12/F12,0)</f>
        <v>82</v>
      </c>
      <c r="H12" s="33" cm="1">
        <f t="array" ref="H12">ROUNDUP(G12/Q12,0)</f>
        <v>17</v>
      </c>
      <c r="I12" t="s" s="31">
        <v>23</v>
      </c>
      <c r="J12" s="9">
        <v>3</v>
      </c>
      <c r="K12" s="9">
        <v>18</v>
      </c>
      <c r="L12" s="9" cm="1">
        <f t="array" ref="L12">N12/J12</f>
        <v>7</v>
      </c>
      <c r="M12" s="10">
        <v>1.2</v>
      </c>
      <c r="N12" s="11" cm="1">
        <f t="array" ref="N12">ROUND(M12*K12/J12,0)*J12</f>
        <v>21</v>
      </c>
      <c r="O12" s="34"/>
      <c r="P12" s="34"/>
      <c r="Q12" s="33">
        <v>5</v>
      </c>
      <c r="R12" s="13">
        <v>0.5</v>
      </c>
      <c r="S12" s="13" cm="1">
        <f t="array" ref="S12">ROUNDUP(Q12+R12,0)</f>
        <v>6</v>
      </c>
      <c r="T12" t="s" s="23">
        <v>33</v>
      </c>
    </row>
    <row r="13" ht="16" customHeight="1">
      <c r="A13" s="30"/>
      <c r="B13" s="30"/>
      <c r="C13" t="s" s="6">
        <v>43</v>
      </c>
      <c r="D13" t="s" s="6">
        <v>22</v>
      </c>
      <c r="E13" s="7">
        <v>242.75</v>
      </c>
      <c r="F13" s="7">
        <v>11</v>
      </c>
      <c r="G13" s="8" cm="1">
        <f t="array" ref="G13">ROUNDUP(E13/F13,0)</f>
        <v>23</v>
      </c>
      <c r="H13" s="8" cm="1">
        <f t="array" ref="H13">ROUNDUP(G13/Q13,0)</f>
        <v>12</v>
      </c>
      <c r="I13" t="s" s="6">
        <v>23</v>
      </c>
      <c r="J13" s="9">
        <v>2</v>
      </c>
      <c r="K13" s="9">
        <v>12</v>
      </c>
      <c r="L13" s="9" cm="1">
        <f t="array" ref="L13">N13/J13</f>
        <v>7</v>
      </c>
      <c r="M13" s="10">
        <v>1.2</v>
      </c>
      <c r="N13" s="11" cm="1">
        <f t="array" ref="N13">ROUND(M13*K13/J13,0)*J13</f>
        <v>14</v>
      </c>
      <c r="O13" s="12"/>
      <c r="P13" s="12"/>
      <c r="Q13" s="8">
        <v>2</v>
      </c>
      <c r="R13" s="13">
        <v>0.5</v>
      </c>
      <c r="S13" s="13" cm="1">
        <f t="array" ref="S13">ROUNDUP(Q13+R13,0)</f>
        <v>3</v>
      </c>
      <c r="T13" t="s" s="23">
        <v>33</v>
      </c>
    </row>
    <row r="14" ht="16" customHeight="1">
      <c r="A14" s="30"/>
      <c r="B14" s="30"/>
      <c r="C14" t="s" s="16">
        <v>44</v>
      </c>
      <c r="D14" t="s" s="16">
        <v>25</v>
      </c>
      <c r="E14" s="17">
        <v>782</v>
      </c>
      <c r="F14" s="17">
        <v>130</v>
      </c>
      <c r="G14" s="18" cm="1">
        <f t="array" ref="G14">H14*Q14</f>
        <v>10</v>
      </c>
      <c r="H14" s="18" cm="1">
        <f t="array" ref="H14">P14*5</f>
        <v>10</v>
      </c>
      <c r="I14" t="s" s="16">
        <v>45</v>
      </c>
      <c r="J14" s="19"/>
      <c r="K14" s="19"/>
      <c r="L14" s="19"/>
      <c r="M14" s="20">
        <v>1</v>
      </c>
      <c r="N14" s="21"/>
      <c r="O14" t="s" s="16">
        <v>27</v>
      </c>
      <c r="P14" s="22" cm="1">
        <f t="array" ref="P14">CEILING(MIN(2,E14/'타설 '!B4),1)</f>
        <v>2</v>
      </c>
      <c r="Q14" s="18" cm="1">
        <f t="array" ref="Q14">MAX(1,IF(E14/(F14*H14)-INT(E14/(F14*H14))&lt;0.5,ROUNDDOWN(E14/(F14*H14),0),ROUNDUP(E14/(F14*H14),0)))</f>
        <v>1</v>
      </c>
      <c r="R14" s="13">
        <v>3</v>
      </c>
      <c r="S14" s="13" cm="1">
        <f t="array" ref="S14">ROUNDUP(Q14+R14,0)</f>
        <v>4</v>
      </c>
      <c r="T14" t="s" s="23">
        <v>28</v>
      </c>
    </row>
    <row r="15" ht="16" customHeight="1">
      <c r="A15" s="15"/>
      <c r="B15" s="15"/>
      <c r="C15" t="s" s="42">
        <v>46</v>
      </c>
      <c r="D15" t="s" s="42">
        <v>22</v>
      </c>
      <c r="E15" s="43" cm="1">
        <f t="array" ref="E15">E11+E13</f>
        <v>4855</v>
      </c>
      <c r="F15" s="43">
        <v>50</v>
      </c>
      <c r="G15" s="44" cm="1">
        <f t="array" ref="G15">ROUNDUP(E15/F15,0)</f>
        <v>98</v>
      </c>
      <c r="H15" s="44" cm="1">
        <f t="array" ref="H15">ROUNDUP(G15/Q15,0)</f>
        <v>7</v>
      </c>
      <c r="I15" t="s" s="42">
        <v>23</v>
      </c>
      <c r="J15" s="9">
        <v>2</v>
      </c>
      <c r="K15" s="9">
        <v>24</v>
      </c>
      <c r="L15" s="9" cm="1">
        <f t="array" ref="L15">N15/J15</f>
        <v>14</v>
      </c>
      <c r="M15" s="10">
        <v>1.2</v>
      </c>
      <c r="N15" s="11" cm="1">
        <f t="array" ref="N15">ROUND(M15*K15/J15,0)*J15</f>
        <v>28</v>
      </c>
      <c r="O15" s="45"/>
      <c r="P15" s="45"/>
      <c r="Q15" s="44">
        <v>16</v>
      </c>
      <c r="R15" s="13"/>
      <c r="S15" s="13" cm="1">
        <f t="array" ref="S15">ROUNDUP(Q15+R15,0)</f>
        <v>16</v>
      </c>
      <c r="T15" s="14"/>
    </row>
    <row r="16" ht="16" customHeight="1">
      <c r="A16" t="s" s="4">
        <v>37</v>
      </c>
      <c r="B16" t="s" s="4">
        <v>47</v>
      </c>
      <c r="C16" t="s" s="24">
        <v>30</v>
      </c>
      <c r="D16" t="s" s="24">
        <v>22</v>
      </c>
      <c r="E16" s="25"/>
      <c r="F16" s="25"/>
      <c r="G16" s="26"/>
      <c r="H16" s="26">
        <v>3</v>
      </c>
      <c r="I16" t="s" s="24">
        <v>23</v>
      </c>
      <c r="J16" s="27">
        <v>3</v>
      </c>
      <c r="K16" s="27">
        <v>6</v>
      </c>
      <c r="L16" s="27" cm="1">
        <f t="array" ref="L16">N16/J16</f>
        <v>2</v>
      </c>
      <c r="M16" s="28">
        <v>1</v>
      </c>
      <c r="N16" s="11" cm="1">
        <f t="array" ref="N16">ROUND(M16*K16/J16,0)*J16</f>
        <v>6</v>
      </c>
      <c r="O16" s="29"/>
      <c r="P16" s="29"/>
      <c r="Q16" s="26"/>
      <c r="R16" s="13">
        <v>1</v>
      </c>
      <c r="S16" s="13" cm="1">
        <f t="array" ref="S16">ROUNDUP(Q16+R16,0)</f>
        <v>1</v>
      </c>
      <c r="T16" s="14"/>
    </row>
    <row r="17" ht="16" customHeight="1">
      <c r="A17" s="30"/>
      <c r="B17" s="30"/>
      <c r="C17" t="s" s="31">
        <v>39</v>
      </c>
      <c r="D17" t="s" s="31">
        <v>32</v>
      </c>
      <c r="E17" s="32">
        <v>45.68</v>
      </c>
      <c r="F17" s="32">
        <v>0.7</v>
      </c>
      <c r="G17" s="33" cm="1">
        <f t="array" ref="G17">ROUNDUP(E17/F17,0)</f>
        <v>66</v>
      </c>
      <c r="H17" s="33" cm="1">
        <f t="array" ref="H17">ROUNDUP(G17/Q17,0)</f>
        <v>14</v>
      </c>
      <c r="I17" t="s" s="31">
        <v>23</v>
      </c>
      <c r="J17" s="9">
        <v>3</v>
      </c>
      <c r="K17" s="9">
        <v>18</v>
      </c>
      <c r="L17" s="9" cm="1">
        <f t="array" ref="L17">N17/J17</f>
        <v>7</v>
      </c>
      <c r="M17" s="10">
        <v>1.2</v>
      </c>
      <c r="N17" s="11" cm="1">
        <f t="array" ref="N17">ROUND(M17*K17/J17,0)*J17</f>
        <v>21</v>
      </c>
      <c r="O17" s="34"/>
      <c r="P17" s="34"/>
      <c r="Q17" s="33">
        <v>5</v>
      </c>
      <c r="R17" s="13">
        <v>0.5</v>
      </c>
      <c r="S17" s="13" cm="1">
        <f t="array" ref="S17">ROUNDUP(Q17+R17,0)</f>
        <v>6</v>
      </c>
      <c r="T17" t="s" s="23">
        <v>33</v>
      </c>
    </row>
    <row r="18" ht="16" customHeight="1">
      <c r="A18" s="30"/>
      <c r="B18" s="30"/>
      <c r="C18" t="s" s="6">
        <v>48</v>
      </c>
      <c r="D18" t="s" s="6">
        <v>22</v>
      </c>
      <c r="E18" s="7">
        <v>4564.8</v>
      </c>
      <c r="F18" s="7">
        <v>9</v>
      </c>
      <c r="G18" s="8" cm="1">
        <f t="array" ref="G18">ROUNDUP(E18/F18,0)</f>
        <v>508</v>
      </c>
      <c r="H18" s="8" cm="1">
        <f t="array" ref="H18">ROUNDUP(G18/Q18,0)</f>
        <v>27</v>
      </c>
      <c r="I18" t="s" s="6">
        <v>23</v>
      </c>
      <c r="J18" s="9">
        <v>2</v>
      </c>
      <c r="K18" s="9">
        <v>10</v>
      </c>
      <c r="L18" s="9" cm="1">
        <f t="array" ref="L18">N18/J18</f>
        <v>6</v>
      </c>
      <c r="M18" s="10">
        <v>1.2</v>
      </c>
      <c r="N18" s="11" cm="1">
        <f t="array" ref="N18">ROUND(M18*K18/J18,0)*J18</f>
        <v>12</v>
      </c>
      <c r="O18" s="12"/>
      <c r="P18" s="12"/>
      <c r="Q18" s="8">
        <v>19</v>
      </c>
      <c r="R18" s="13">
        <v>0.5</v>
      </c>
      <c r="S18" s="13" cm="1">
        <f t="array" ref="S18">ROUNDUP(Q18+R18,0)</f>
        <v>20</v>
      </c>
      <c r="T18" t="s" s="23">
        <v>33</v>
      </c>
    </row>
    <row r="19" ht="16" customHeight="1">
      <c r="A19" s="30"/>
      <c r="B19" s="30"/>
      <c r="C19" t="s" s="31">
        <v>42</v>
      </c>
      <c r="D19" t="s" s="31">
        <v>32</v>
      </c>
      <c r="E19" s="32">
        <v>45.68</v>
      </c>
      <c r="F19" s="32">
        <v>0.7</v>
      </c>
      <c r="G19" s="33" cm="1">
        <f t="array" ref="G19">ROUNDUP(E19/F19,0)</f>
        <v>66</v>
      </c>
      <c r="H19" s="33" cm="1">
        <f t="array" ref="H19">ROUNDUP(G19/Q19,0)</f>
        <v>14</v>
      </c>
      <c r="I19" t="s" s="31">
        <v>23</v>
      </c>
      <c r="J19" s="9">
        <v>3</v>
      </c>
      <c r="K19" s="9">
        <v>18</v>
      </c>
      <c r="L19" s="9" cm="1">
        <f t="array" ref="L19">N19/J19</f>
        <v>7</v>
      </c>
      <c r="M19" s="10">
        <v>1.2</v>
      </c>
      <c r="N19" s="11" cm="1">
        <f t="array" ref="N19">ROUND(M19*K19/J19,0)*J19</f>
        <v>21</v>
      </c>
      <c r="O19" s="34"/>
      <c r="P19" s="34"/>
      <c r="Q19" s="33">
        <v>5</v>
      </c>
      <c r="R19" s="13">
        <v>0.5</v>
      </c>
      <c r="S19" s="13" cm="1">
        <f t="array" ref="S19">ROUNDUP(Q19+R19,0)</f>
        <v>6</v>
      </c>
      <c r="T19" t="s" s="23">
        <v>33</v>
      </c>
    </row>
    <row r="20" ht="16" customHeight="1">
      <c r="A20" s="30"/>
      <c r="B20" s="30"/>
      <c r="C20" t="s" s="6">
        <v>43</v>
      </c>
      <c r="D20" t="s" s="6">
        <v>22</v>
      </c>
      <c r="E20" s="7">
        <v>253.6</v>
      </c>
      <c r="F20" s="7">
        <v>10</v>
      </c>
      <c r="G20" s="8" cm="1">
        <f t="array" ref="G20">ROUNDUP(E20/F20,0)</f>
        <v>26</v>
      </c>
      <c r="H20" s="8" cm="1">
        <f t="array" ref="H20">ROUNDUP(G20/Q20,0)</f>
        <v>13</v>
      </c>
      <c r="I20" t="s" s="6">
        <v>23</v>
      </c>
      <c r="J20" s="9">
        <v>2</v>
      </c>
      <c r="K20" s="9">
        <v>24</v>
      </c>
      <c r="L20" s="9" cm="1">
        <f t="array" ref="L20">N20/J20</f>
        <v>14</v>
      </c>
      <c r="M20" s="10">
        <v>1.2</v>
      </c>
      <c r="N20" s="11" cm="1">
        <f t="array" ref="N20">ROUND(M20*K20/J20,0)*J20</f>
        <v>28</v>
      </c>
      <c r="O20" s="12"/>
      <c r="P20" s="12"/>
      <c r="Q20" s="8">
        <v>2</v>
      </c>
      <c r="R20" s="13">
        <v>0.5</v>
      </c>
      <c r="S20" s="13" cm="1">
        <f t="array" ref="S20">ROUNDUP(Q20+R20,0)</f>
        <v>3</v>
      </c>
      <c r="T20" t="s" s="23">
        <v>33</v>
      </c>
    </row>
    <row r="21" ht="16" customHeight="1">
      <c r="A21" s="30"/>
      <c r="B21" s="30"/>
      <c r="C21" t="s" s="16">
        <v>44</v>
      </c>
      <c r="D21" t="s" s="16">
        <v>25</v>
      </c>
      <c r="E21" s="17">
        <v>748.2</v>
      </c>
      <c r="F21" s="17">
        <v>130</v>
      </c>
      <c r="G21" s="18" cm="1">
        <f t="array" ref="G21">H21*Q21</f>
        <v>10</v>
      </c>
      <c r="H21" s="18" cm="1">
        <f t="array" ref="H21">P21*5</f>
        <v>10</v>
      </c>
      <c r="I21" t="s" s="16">
        <v>45</v>
      </c>
      <c r="J21" s="19"/>
      <c r="K21" s="19"/>
      <c r="L21" s="19"/>
      <c r="M21" s="20">
        <v>1</v>
      </c>
      <c r="N21" s="21"/>
      <c r="O21" t="s" s="16">
        <v>27</v>
      </c>
      <c r="P21" s="22" cm="1">
        <f t="array" ref="P21">CEILING(MIN(2,E21/'타설 '!B4),1)</f>
        <v>2</v>
      </c>
      <c r="Q21" s="18" cm="1">
        <f t="array" ref="Q21">MAX(1,IF(E21/(F21*H21)-INT(E21/(F21*H21))&lt;0.5,ROUNDDOWN(E21/(F21*H21),0),ROUNDUP(E21/(F21*H21),0)))</f>
        <v>1</v>
      </c>
      <c r="R21" s="13">
        <v>3</v>
      </c>
      <c r="S21" s="13" cm="1">
        <f t="array" ref="S21">ROUNDUP(Q21+R21,0)</f>
        <v>4</v>
      </c>
      <c r="T21" t="s" s="23">
        <v>28</v>
      </c>
    </row>
    <row r="22" ht="16" customHeight="1">
      <c r="A22" s="30"/>
      <c r="B22" s="30"/>
      <c r="C22" t="s" s="31">
        <v>39</v>
      </c>
      <c r="D22" t="s" s="31">
        <v>32</v>
      </c>
      <c r="E22" s="32">
        <v>30.45</v>
      </c>
      <c r="F22" s="32">
        <v>0.7</v>
      </c>
      <c r="G22" s="33" cm="1">
        <f t="array" ref="G22">ROUNDUP(E22/F22,0)</f>
        <v>44</v>
      </c>
      <c r="H22" s="33" cm="1">
        <f t="array" ref="H22">ROUNDUP(G22/Q22,0)</f>
        <v>15</v>
      </c>
      <c r="I22" t="s" s="31">
        <v>23</v>
      </c>
      <c r="J22" s="9">
        <v>3</v>
      </c>
      <c r="K22" s="9">
        <v>18</v>
      </c>
      <c r="L22" s="9" cm="1">
        <f t="array" ref="L22">N22/J22</f>
        <v>7</v>
      </c>
      <c r="M22" s="10">
        <v>1.2</v>
      </c>
      <c r="N22" s="11" cm="1">
        <f t="array" ref="N22">ROUND(M22*K22/J22,0)*J22</f>
        <v>21</v>
      </c>
      <c r="O22" s="34"/>
      <c r="P22" s="34"/>
      <c r="Q22" s="33">
        <v>3</v>
      </c>
      <c r="R22" s="13">
        <v>0.5</v>
      </c>
      <c r="S22" s="13" cm="1">
        <f t="array" ref="S22">ROUNDUP(Q22+R22,0)</f>
        <v>4</v>
      </c>
      <c r="T22" t="s" s="23">
        <v>33</v>
      </c>
    </row>
    <row r="23" ht="16" customHeight="1">
      <c r="A23" s="30"/>
      <c r="B23" s="30"/>
      <c r="C23" t="s" s="6">
        <v>49</v>
      </c>
      <c r="D23" t="s" s="6">
        <v>22</v>
      </c>
      <c r="E23" s="7">
        <v>253.6</v>
      </c>
      <c r="F23" s="7">
        <v>10</v>
      </c>
      <c r="G23" s="8" cm="1">
        <f t="array" ref="G23">ROUNDUP(E23/F23,0)</f>
        <v>26</v>
      </c>
      <c r="H23" s="8" cm="1">
        <f t="array" ref="H23">ROUNDUP(G23/Q23,0)</f>
        <v>13</v>
      </c>
      <c r="I23" t="s" s="6">
        <v>23</v>
      </c>
      <c r="J23" s="9">
        <v>2</v>
      </c>
      <c r="K23" s="9">
        <v>24</v>
      </c>
      <c r="L23" s="9" cm="1">
        <f t="array" ref="L23">N23/J23</f>
        <v>14</v>
      </c>
      <c r="M23" s="10">
        <v>1.2</v>
      </c>
      <c r="N23" s="11" cm="1">
        <f t="array" ref="N23">ROUND(M23*K23/J23,0)*J23</f>
        <v>28</v>
      </c>
      <c r="O23" s="12"/>
      <c r="P23" s="12"/>
      <c r="Q23" s="8">
        <v>2</v>
      </c>
      <c r="R23" s="13">
        <v>0.5</v>
      </c>
      <c r="S23" s="13" cm="1">
        <f t="array" ref="S23">ROUNDUP(Q23+R23,0)</f>
        <v>3</v>
      </c>
      <c r="T23" t="s" s="23">
        <v>33</v>
      </c>
    </row>
    <row r="24" ht="16" customHeight="1">
      <c r="A24" s="30"/>
      <c r="B24" s="30"/>
      <c r="C24" t="s" s="31">
        <v>42</v>
      </c>
      <c r="D24" t="s" s="31">
        <v>32</v>
      </c>
      <c r="E24" s="32">
        <v>30.45</v>
      </c>
      <c r="F24" s="32">
        <v>0.7</v>
      </c>
      <c r="G24" s="33" cm="1">
        <f t="array" ref="G24">ROUNDUP(E24/F24,0)</f>
        <v>44</v>
      </c>
      <c r="H24" s="33" cm="1">
        <f t="array" ref="H24">ROUNDUP(G24/Q24,0)</f>
        <v>15</v>
      </c>
      <c r="I24" t="s" s="31">
        <v>23</v>
      </c>
      <c r="J24" s="9">
        <v>3</v>
      </c>
      <c r="K24" s="9">
        <v>18</v>
      </c>
      <c r="L24" s="9" cm="1">
        <f t="array" ref="L24">N24/J24</f>
        <v>7</v>
      </c>
      <c r="M24" s="10">
        <v>1.2</v>
      </c>
      <c r="N24" s="11" cm="1">
        <f t="array" ref="N24">ROUND(M24*K24/J24,0)*J24</f>
        <v>21</v>
      </c>
      <c r="O24" s="34"/>
      <c r="P24" s="34"/>
      <c r="Q24" s="33">
        <v>3</v>
      </c>
      <c r="R24" s="13">
        <v>0.5</v>
      </c>
      <c r="S24" s="13" cm="1">
        <f t="array" ref="S24">ROUNDUP(Q24+R24,0)</f>
        <v>4</v>
      </c>
      <c r="T24" t="s" s="23">
        <v>33</v>
      </c>
    </row>
    <row r="25" ht="16" customHeight="1">
      <c r="A25" s="30"/>
      <c r="B25" s="30"/>
      <c r="C25" t="s" s="16">
        <v>50</v>
      </c>
      <c r="D25" t="s" s="16">
        <v>25</v>
      </c>
      <c r="E25" s="17">
        <v>498.8</v>
      </c>
      <c r="F25" s="17">
        <v>130</v>
      </c>
      <c r="G25" s="18" cm="1">
        <f t="array" ref="G25">H25*Q25</f>
        <v>5</v>
      </c>
      <c r="H25" s="18" cm="1">
        <f t="array" ref="H25">P25*5</f>
        <v>5</v>
      </c>
      <c r="I25" t="s" s="16">
        <v>45</v>
      </c>
      <c r="J25" s="19"/>
      <c r="K25" s="19"/>
      <c r="L25" s="19"/>
      <c r="M25" s="20">
        <v>1</v>
      </c>
      <c r="N25" s="21"/>
      <c r="O25" t="s" s="16">
        <v>27</v>
      </c>
      <c r="P25" s="22" cm="1">
        <f t="array" ref="P25">CEILING(MIN(2,E25/'타설 '!B4),1)</f>
        <v>1</v>
      </c>
      <c r="Q25" s="18" cm="1">
        <f t="array" ref="Q25">MAX(1,IF(E25/(F25*H25)-INT(E25/(F25*H25))&lt;0.5,ROUNDDOWN(E25/(F25*H25),0),ROUNDUP(E25/(F25*H25),0)))</f>
        <v>1</v>
      </c>
      <c r="R25" s="13">
        <v>3</v>
      </c>
      <c r="S25" s="13" cm="1">
        <f t="array" ref="S25">ROUNDUP(Q25+R25,0)</f>
        <v>4</v>
      </c>
      <c r="T25" t="s" s="23">
        <v>28</v>
      </c>
    </row>
    <row r="26" ht="16" customHeight="1">
      <c r="A26" s="15"/>
      <c r="B26" s="15"/>
      <c r="C26" t="s" s="42">
        <v>46</v>
      </c>
      <c r="D26" t="s" s="42">
        <v>22</v>
      </c>
      <c r="E26" s="43" cm="1">
        <f t="array" ref="E26">E18+E20+E23</f>
        <v>5072</v>
      </c>
      <c r="F26" s="43">
        <v>50</v>
      </c>
      <c r="G26" s="44" cm="1">
        <f t="array" ref="G26">ROUNDUP(E26/F26,0)</f>
        <v>102</v>
      </c>
      <c r="H26" s="44" cm="1">
        <f t="array" ref="H26">ROUNDUP(G26/Q26,0)</f>
        <v>5</v>
      </c>
      <c r="I26" t="s" s="42">
        <v>23</v>
      </c>
      <c r="J26" s="9">
        <v>2</v>
      </c>
      <c r="K26" s="9">
        <v>26</v>
      </c>
      <c r="L26" s="9" cm="1">
        <f t="array" ref="L26">N26/J26</f>
        <v>16</v>
      </c>
      <c r="M26" s="10">
        <v>1.2</v>
      </c>
      <c r="N26" s="11" cm="1">
        <f t="array" ref="N26">ROUND(M26*K26/J26,0)*J26</f>
        <v>32</v>
      </c>
      <c r="O26" s="45"/>
      <c r="P26" s="45"/>
      <c r="Q26" s="44">
        <v>22</v>
      </c>
      <c r="R26" s="13"/>
      <c r="S26" s="13" cm="1">
        <f t="array" ref="S26">ROUNDUP(Q26+R26,0)</f>
        <v>22</v>
      </c>
      <c r="T26" s="14"/>
    </row>
    <row r="27" ht="16" customHeight="1">
      <c r="A27" s="35"/>
      <c r="B27" s="35"/>
      <c r="C27" s="35"/>
      <c r="D27" s="35"/>
      <c r="E27" s="36"/>
      <c r="F27" s="36"/>
      <c r="G27" s="37"/>
      <c r="H27" s="35"/>
      <c r="I27" s="35"/>
      <c r="J27" s="38"/>
      <c r="K27" s="38"/>
      <c r="L27" s="38"/>
      <c r="M27" s="39"/>
      <c r="N27" s="38"/>
      <c r="O27" s="35"/>
      <c r="P27" s="35"/>
      <c r="Q27" s="35"/>
      <c r="R27" s="35"/>
      <c r="S27" s="35"/>
      <c r="T27" s="35"/>
    </row>
    <row r="28" ht="16" customHeight="1">
      <c r="A28" t="s" s="46">
        <v>51</v>
      </c>
      <c r="B28" s="47"/>
      <c r="C28" t="s" s="24">
        <v>30</v>
      </c>
      <c r="D28" t="s" s="24">
        <v>22</v>
      </c>
      <c r="E28" s="25"/>
      <c r="F28" s="25"/>
      <c r="G28" s="26"/>
      <c r="H28" s="26">
        <v>3</v>
      </c>
      <c r="I28" s="29"/>
      <c r="J28" s="27">
        <v>3</v>
      </c>
      <c r="K28" s="27">
        <v>6</v>
      </c>
      <c r="L28" s="27" cm="1">
        <f t="array" ref="L28">N28/J28</f>
        <v>2</v>
      </c>
      <c r="M28" s="28">
        <v>1</v>
      </c>
      <c r="N28" s="11" cm="1">
        <f t="array" ref="N28">ROUND(M28*K28/J28,0)*J28</f>
        <v>6</v>
      </c>
      <c r="O28" s="29"/>
      <c r="P28" s="29"/>
      <c r="Q28" s="29"/>
      <c r="R28" s="48">
        <v>1</v>
      </c>
      <c r="S28" s="13" cm="1">
        <f t="array" ref="S28">ROUNDUP(Q28+R28,0)</f>
        <v>1</v>
      </c>
      <c r="T28" t="s" s="23">
        <v>33</v>
      </c>
    </row>
    <row r="29" ht="16" customHeight="1">
      <c r="A29" s="49"/>
      <c r="B29" s="50"/>
      <c r="C29" t="s" s="31">
        <v>39</v>
      </c>
      <c r="D29" t="s" s="31">
        <v>32</v>
      </c>
      <c r="E29" s="32">
        <v>4.97</v>
      </c>
      <c r="F29" s="32">
        <v>0.7</v>
      </c>
      <c r="G29" s="33" cm="1">
        <f t="array" ref="G29">ROUNDUP(E29/F29,0)</f>
        <v>8</v>
      </c>
      <c r="H29" s="33" cm="1">
        <f t="array" ref="H29">ROUNDUP(G29/Q29,0)</f>
        <v>8</v>
      </c>
      <c r="I29" t="s" s="31">
        <v>23</v>
      </c>
      <c r="J29" s="9">
        <v>3</v>
      </c>
      <c r="K29" s="9">
        <v>15</v>
      </c>
      <c r="L29" s="9" cm="1">
        <f t="array" ref="L29">N29/J29</f>
        <v>4</v>
      </c>
      <c r="M29" s="10">
        <v>0.85</v>
      </c>
      <c r="N29" s="11" cm="1">
        <f t="array" ref="N29">ROUND(M29*K29/J29,0)*J29</f>
        <v>12</v>
      </c>
      <c r="O29" s="34"/>
      <c r="P29" s="34"/>
      <c r="Q29" s="33">
        <v>1</v>
      </c>
      <c r="R29" s="13">
        <v>0.5</v>
      </c>
      <c r="S29" s="13" cm="1">
        <f t="array" ref="S29">ROUNDUP(Q29+R29,0)</f>
        <v>2</v>
      </c>
      <c r="T29" t="s" s="23">
        <v>33</v>
      </c>
    </row>
    <row r="30" ht="16" customHeight="1">
      <c r="A30" s="49"/>
      <c r="B30" s="50"/>
      <c r="C30" t="s" s="6">
        <v>52</v>
      </c>
      <c r="D30" t="s" s="6">
        <v>22</v>
      </c>
      <c r="E30" s="7">
        <v>291</v>
      </c>
      <c r="F30" s="7">
        <v>9</v>
      </c>
      <c r="G30" s="8" cm="1">
        <f t="array" ref="G30">ROUNDUP(E30/F30,0)</f>
        <v>33</v>
      </c>
      <c r="H30" s="8" cm="1">
        <f t="array" ref="H30">ROUNDUP(G30/Q30,0)</f>
        <v>6</v>
      </c>
      <c r="I30" t="s" s="6">
        <v>23</v>
      </c>
      <c r="J30" s="9">
        <v>2</v>
      </c>
      <c r="K30" s="9">
        <v>10</v>
      </c>
      <c r="L30" s="9" cm="1">
        <f t="array" ref="L30">N30/J30</f>
        <v>4</v>
      </c>
      <c r="M30" s="10">
        <v>0.85</v>
      </c>
      <c r="N30" s="11" cm="1">
        <f t="array" ref="N30">ROUND(M30*K30/J30,0)*J30</f>
        <v>8</v>
      </c>
      <c r="O30" s="12"/>
      <c r="P30" s="12"/>
      <c r="Q30" s="8">
        <v>6</v>
      </c>
      <c r="R30" s="13">
        <v>0.5</v>
      </c>
      <c r="S30" s="13" cm="1">
        <f t="array" ref="S30">ROUNDUP(Q30+R30,0)</f>
        <v>7</v>
      </c>
      <c r="T30" t="s" s="23">
        <v>33</v>
      </c>
    </row>
    <row r="31" ht="16" customHeight="1">
      <c r="A31" s="49"/>
      <c r="B31" s="50"/>
      <c r="C31" t="s" s="31">
        <v>42</v>
      </c>
      <c r="D31" t="s" s="31">
        <v>32</v>
      </c>
      <c r="E31" s="32">
        <v>4.97</v>
      </c>
      <c r="F31" s="32">
        <v>0.6</v>
      </c>
      <c r="G31" s="33" cm="1">
        <f t="array" ref="G31">ROUNDUP(E31/F31,0)</f>
        <v>9</v>
      </c>
      <c r="H31" s="33" cm="1">
        <f t="array" ref="H31">ROUNDUP(G31/Q31,0)</f>
        <v>9</v>
      </c>
      <c r="I31" t="s" s="31">
        <v>23</v>
      </c>
      <c r="J31" s="9">
        <v>3</v>
      </c>
      <c r="K31" s="9">
        <v>18</v>
      </c>
      <c r="L31" s="9" cm="1">
        <f t="array" ref="L31">N31/J31</f>
        <v>5</v>
      </c>
      <c r="M31" s="10">
        <v>0.85</v>
      </c>
      <c r="N31" s="11" cm="1">
        <f t="array" ref="N31">ROUND(M31*K31/J31,0)*J31</f>
        <v>15</v>
      </c>
      <c r="O31" s="34"/>
      <c r="P31" s="34"/>
      <c r="Q31" s="33">
        <v>1</v>
      </c>
      <c r="R31" s="13">
        <v>0.5</v>
      </c>
      <c r="S31" s="13" cm="1">
        <f t="array" ref="S31">ROUNDUP(Q31+R31,0)</f>
        <v>2</v>
      </c>
      <c r="T31" t="s" s="23">
        <v>33</v>
      </c>
    </row>
    <row r="32" ht="16" customHeight="1">
      <c r="A32" s="49"/>
      <c r="B32" s="50"/>
      <c r="C32" t="s" s="16">
        <v>44</v>
      </c>
      <c r="D32" t="s" s="16">
        <v>25</v>
      </c>
      <c r="E32" s="17">
        <v>102</v>
      </c>
      <c r="F32" s="17">
        <v>130</v>
      </c>
      <c r="G32" s="18" cm="1">
        <f t="array" ref="G32">H32*Q32</f>
        <v>5</v>
      </c>
      <c r="H32" s="18" cm="1">
        <f t="array" ref="H32">P32*5</f>
        <v>5</v>
      </c>
      <c r="I32" t="s" s="16">
        <v>53</v>
      </c>
      <c r="J32" s="19"/>
      <c r="K32" s="19"/>
      <c r="L32" s="19"/>
      <c r="M32" s="20">
        <v>1</v>
      </c>
      <c r="N32" s="21"/>
      <c r="O32" t="s" s="16">
        <v>27</v>
      </c>
      <c r="P32" s="22" cm="1">
        <f t="array" ref="P32">CEILING(MIN(2,E32/'타설 '!B5),1)</f>
        <v>1</v>
      </c>
      <c r="Q32" s="18" cm="1">
        <f t="array" ref="Q32">MAX(1,IF(E32/(F32*H32)-INT(E32/(F32*H32))&lt;0.5,ROUNDDOWN(E32/(F32*H32),0),ROUNDUP(E32/(F32*H32),0)))</f>
        <v>1</v>
      </c>
      <c r="R32" s="13">
        <v>2</v>
      </c>
      <c r="S32" s="13" cm="1">
        <f t="array" ref="S32">ROUNDUP(Q32+R32,0)</f>
        <v>3</v>
      </c>
      <c r="T32" t="s" s="23">
        <v>28</v>
      </c>
    </row>
    <row r="33" ht="16" customHeight="1">
      <c r="A33" s="49"/>
      <c r="B33" s="51"/>
      <c r="C33" t="s" s="42">
        <v>46</v>
      </c>
      <c r="D33" t="s" s="42">
        <v>22</v>
      </c>
      <c r="E33" s="43" cm="1">
        <f t="array" ref="E33">E30</f>
        <v>291</v>
      </c>
      <c r="F33" s="43">
        <v>50</v>
      </c>
      <c r="G33" s="44" cm="1">
        <f t="array" ref="G33">ROUNDUP(E33/F33,0)</f>
        <v>6</v>
      </c>
      <c r="H33" s="44" cm="1">
        <f t="array" ref="H33">ROUNDUP(G33/Q33,0)</f>
        <v>6</v>
      </c>
      <c r="I33" t="s" s="42">
        <v>23</v>
      </c>
      <c r="J33" s="9">
        <v>2</v>
      </c>
      <c r="K33" s="9">
        <v>6</v>
      </c>
      <c r="L33" s="9" cm="1">
        <f t="array" ref="L33">N33/J33</f>
        <v>4</v>
      </c>
      <c r="M33" s="10">
        <v>1.2</v>
      </c>
      <c r="N33" s="11" cm="1">
        <f t="array" ref="N33">ROUND(M33*K33/J33,0)*J33</f>
        <v>8</v>
      </c>
      <c r="O33" s="45"/>
      <c r="P33" s="45"/>
      <c r="Q33" s="44">
        <v>1</v>
      </c>
      <c r="R33" s="13"/>
      <c r="S33" s="13" cm="1">
        <f t="array" ref="S33">ROUNDUP(Q33+R33,0)</f>
        <v>1</v>
      </c>
      <c r="T33" s="14"/>
    </row>
    <row r="34" ht="16" customHeight="1">
      <c r="A34" s="52"/>
      <c r="B34" s="52"/>
      <c r="C34" s="35"/>
      <c r="D34" s="35"/>
      <c r="E34" s="36"/>
      <c r="F34" s="36"/>
      <c r="G34" s="40"/>
      <c r="H34" s="40"/>
      <c r="I34" s="35"/>
      <c r="J34" s="52"/>
      <c r="K34" s="52"/>
      <c r="L34" s="52"/>
      <c r="M34" s="53"/>
      <c r="N34" s="52"/>
      <c r="O34" s="35"/>
      <c r="P34" s="54"/>
      <c r="Q34" s="40"/>
      <c r="R34" s="40"/>
      <c r="S34" s="40"/>
      <c r="T34" s="35"/>
    </row>
    <row r="35" ht="16" customHeight="1">
      <c r="A35" t="s" s="2">
        <v>54</v>
      </c>
      <c r="B35" s="5"/>
      <c r="C35" t="s" s="24">
        <v>30</v>
      </c>
      <c r="D35" t="s" s="24">
        <v>22</v>
      </c>
      <c r="E35" s="25"/>
      <c r="F35" s="25"/>
      <c r="G35" s="26"/>
      <c r="H35" s="26">
        <v>3</v>
      </c>
      <c r="I35" s="29"/>
      <c r="J35" s="27">
        <v>3</v>
      </c>
      <c r="K35" s="27">
        <v>6</v>
      </c>
      <c r="L35" s="27" cm="1">
        <f t="array" ref="L35">N35/J35</f>
        <v>2</v>
      </c>
      <c r="M35" s="28">
        <v>1</v>
      </c>
      <c r="N35" s="11" cm="1">
        <f t="array" ref="N35">ROUND(M35*K35/J35,0)*J35</f>
        <v>6</v>
      </c>
      <c r="O35" s="29"/>
      <c r="P35" s="29"/>
      <c r="Q35" s="29"/>
      <c r="R35" s="48">
        <v>1</v>
      </c>
      <c r="S35" s="13" cm="1">
        <f t="array" ref="S35">ROUNDUP(Q35+R35,0)</f>
        <v>1</v>
      </c>
      <c r="T35" t="s" s="23">
        <v>33</v>
      </c>
    </row>
    <row r="36" ht="16" customHeight="1">
      <c r="A36" s="21"/>
      <c r="B36" s="30"/>
      <c r="C36" t="s" s="55">
        <v>55</v>
      </c>
      <c r="D36" t="s" s="55">
        <v>22</v>
      </c>
      <c r="E36" s="56">
        <v>654.3</v>
      </c>
      <c r="F36" s="56">
        <v>30</v>
      </c>
      <c r="G36" s="57" cm="1">
        <f t="array" ref="G36">ROUNDUP(E36/F36,0)</f>
        <v>22</v>
      </c>
      <c r="H36" s="57" cm="1">
        <f t="array" ref="H36">ROUNDUP(G36/Q36,0)</f>
        <v>11</v>
      </c>
      <c r="I36" t="s" s="55">
        <v>23</v>
      </c>
      <c r="J36" s="9">
        <v>4</v>
      </c>
      <c r="K36" s="9">
        <v>20</v>
      </c>
      <c r="L36" s="9" cm="1">
        <f t="array" ref="L36">N36/J36</f>
        <v>5</v>
      </c>
      <c r="M36" s="10">
        <v>0.9</v>
      </c>
      <c r="N36" s="11" cm="1">
        <f t="array" ref="N36">ROUND(M36*K36/J36,0)*J36</f>
        <v>20</v>
      </c>
      <c r="O36" s="58"/>
      <c r="P36" s="58"/>
      <c r="Q36" s="57">
        <v>2</v>
      </c>
      <c r="R36" s="13">
        <v>6</v>
      </c>
      <c r="S36" s="13" cm="1">
        <f t="array" ref="S36">ROUNDUP(Q36+R36,0)</f>
        <v>8</v>
      </c>
      <c r="T36" t="s" s="23">
        <v>56</v>
      </c>
    </row>
    <row r="37" ht="16" customHeight="1">
      <c r="A37" s="21"/>
      <c r="B37" s="30"/>
      <c r="C37" t="s" s="31">
        <v>39</v>
      </c>
      <c r="D37" t="s" s="31">
        <v>32</v>
      </c>
      <c r="E37" s="32">
        <v>13.21</v>
      </c>
      <c r="F37" s="32">
        <v>0.8</v>
      </c>
      <c r="G37" s="33" cm="1">
        <f t="array" ref="G37">ROUNDUP(E37/F37,0)</f>
        <v>17</v>
      </c>
      <c r="H37" s="33" cm="1">
        <f t="array" ref="H37">ROUNDUP(G37/Q37,0)</f>
        <v>9</v>
      </c>
      <c r="I37" t="s" s="31">
        <v>23</v>
      </c>
      <c r="J37" s="9">
        <v>3</v>
      </c>
      <c r="K37" s="9">
        <v>15</v>
      </c>
      <c r="L37" s="9" cm="1">
        <f t="array" ref="L37">N37/J37</f>
        <v>5</v>
      </c>
      <c r="M37" s="10">
        <v>0.9</v>
      </c>
      <c r="N37" s="11" cm="1">
        <f t="array" ref="N37">ROUND(M37*K37/J37,0)*J37</f>
        <v>15</v>
      </c>
      <c r="O37" s="34"/>
      <c r="P37" s="34"/>
      <c r="Q37" s="33">
        <v>2</v>
      </c>
      <c r="R37" s="13">
        <v>0.5</v>
      </c>
      <c r="S37" s="13">
        <v>2</v>
      </c>
      <c r="T37" t="s" s="23">
        <v>33</v>
      </c>
    </row>
    <row r="38" ht="16" customHeight="1">
      <c r="A38" s="21"/>
      <c r="B38" s="30"/>
      <c r="C38" t="s" s="59">
        <v>57</v>
      </c>
      <c r="D38" t="s" s="59">
        <v>22</v>
      </c>
      <c r="E38" s="60">
        <v>799.7</v>
      </c>
      <c r="F38" s="60">
        <v>30</v>
      </c>
      <c r="G38" s="61" cm="1">
        <f t="array" ref="G38">ROUNDUP(E38/F38,0)</f>
        <v>27</v>
      </c>
      <c r="H38" s="61" cm="1">
        <f t="array" ref="H38">ROUNDUP(G38/Q38,0)</f>
        <v>7</v>
      </c>
      <c r="I38" t="s" s="59">
        <v>23</v>
      </c>
      <c r="J38" s="9">
        <v>3</v>
      </c>
      <c r="K38" s="9">
        <v>18</v>
      </c>
      <c r="L38" s="9" cm="1">
        <f t="array" ref="L38">N38/J38</f>
        <v>5</v>
      </c>
      <c r="M38" s="10">
        <v>0.9</v>
      </c>
      <c r="N38" s="11" cm="1">
        <f t="array" ref="N38">ROUND(M38*K38/J38,0)*J38</f>
        <v>15</v>
      </c>
      <c r="O38" s="62"/>
      <c r="P38" s="62"/>
      <c r="Q38" s="61">
        <v>4</v>
      </c>
      <c r="R38" s="13">
        <v>0.5</v>
      </c>
      <c r="S38" s="13">
        <v>4</v>
      </c>
      <c r="T38" t="s" s="23">
        <v>33</v>
      </c>
    </row>
    <row r="39" ht="16" customHeight="1">
      <c r="A39" s="21"/>
      <c r="B39" s="30"/>
      <c r="C39" t="s" s="31">
        <v>42</v>
      </c>
      <c r="D39" t="s" s="31">
        <v>32</v>
      </c>
      <c r="E39" s="32">
        <v>13.21</v>
      </c>
      <c r="F39" s="32">
        <v>0.9</v>
      </c>
      <c r="G39" s="33" cm="1">
        <f t="array" ref="G39">ROUNDUP(E39/F39,0)</f>
        <v>15</v>
      </c>
      <c r="H39" s="33" cm="1">
        <f t="array" ref="H39">ROUNDUP(G39/Q39,0)</f>
        <v>8</v>
      </c>
      <c r="I39" t="s" s="31">
        <v>23</v>
      </c>
      <c r="J39" s="9">
        <v>3</v>
      </c>
      <c r="K39" s="9">
        <v>18</v>
      </c>
      <c r="L39" s="9" cm="1">
        <f t="array" ref="L39">N39/J39</f>
        <v>5</v>
      </c>
      <c r="M39" s="10">
        <v>0.9</v>
      </c>
      <c r="N39" s="11" cm="1">
        <f t="array" ref="N39">ROUND(M39*K39/J39,0)*J39</f>
        <v>15</v>
      </c>
      <c r="O39" s="34"/>
      <c r="P39" s="34"/>
      <c r="Q39" s="33">
        <v>2</v>
      </c>
      <c r="R39" s="13">
        <v>0.5</v>
      </c>
      <c r="S39" s="13">
        <v>2</v>
      </c>
      <c r="T39" t="s" s="23">
        <v>33</v>
      </c>
    </row>
    <row r="40" ht="16" customHeight="1">
      <c r="A40" s="21"/>
      <c r="B40" s="15"/>
      <c r="C40" t="s" s="16">
        <v>44</v>
      </c>
      <c r="D40" t="s" s="16">
        <v>25</v>
      </c>
      <c r="E40" s="17">
        <v>236</v>
      </c>
      <c r="F40" s="17">
        <v>130</v>
      </c>
      <c r="G40" s="18" cm="1">
        <f t="array" ref="G40">H40*Q40</f>
        <v>5</v>
      </c>
      <c r="H40" s="18" cm="1">
        <f t="array" ref="H40">P40*5</f>
        <v>5</v>
      </c>
      <c r="I40" t="s" s="16">
        <v>58</v>
      </c>
      <c r="J40" s="19"/>
      <c r="K40" s="19"/>
      <c r="L40" s="19"/>
      <c r="M40" s="20">
        <v>1</v>
      </c>
      <c r="N40" s="21"/>
      <c r="O40" t="s" s="16">
        <v>27</v>
      </c>
      <c r="P40" s="22" cm="1">
        <f t="array" ref="P40">CEILING(MIN(2,E40/'타설 '!B6),1)</f>
        <v>1</v>
      </c>
      <c r="Q40" s="18" cm="1">
        <f t="array" ref="Q40">MAX(1,IF(E40/(F40*H40)-INT(E40/(F40*H40))&lt;0.5,ROUNDDOWN(E40/(F40*H40),0),ROUNDUP(E40/(F40*H40),0)))</f>
        <v>1</v>
      </c>
      <c r="R40" s="13">
        <v>2</v>
      </c>
      <c r="S40" s="13" cm="1">
        <f t="array" ref="S40">ROUNDUP(Q40+R40,0)</f>
        <v>3</v>
      </c>
      <c r="T40" t="s" s="23">
        <v>28</v>
      </c>
    </row>
    <row r="41" ht="16" customHeight="1">
      <c r="A41" s="35"/>
      <c r="B41" s="35"/>
      <c r="C41" s="35"/>
      <c r="D41" s="35"/>
      <c r="E41" s="36"/>
      <c r="F41" s="36"/>
      <c r="G41" s="37"/>
      <c r="H41" s="35"/>
      <c r="I41" s="35"/>
      <c r="J41" s="38"/>
      <c r="K41" s="38"/>
      <c r="L41" s="38"/>
      <c r="M41" s="39"/>
      <c r="N41" s="38"/>
      <c r="O41" s="35"/>
      <c r="P41" s="35"/>
      <c r="Q41" s="40"/>
      <c r="R41" s="40"/>
      <c r="S41" s="40"/>
      <c r="T41" s="35"/>
    </row>
    <row r="42" ht="16" customHeight="1">
      <c r="A42" t="s" s="2">
        <v>59</v>
      </c>
      <c r="B42" s="21"/>
      <c r="C42" t="s" s="24">
        <v>30</v>
      </c>
      <c r="D42" t="s" s="24">
        <v>22</v>
      </c>
      <c r="E42" s="25"/>
      <c r="F42" s="25"/>
      <c r="G42" s="26"/>
      <c r="H42" s="26">
        <v>3</v>
      </c>
      <c r="I42" s="29"/>
      <c r="J42" s="27">
        <v>3</v>
      </c>
      <c r="K42" s="27">
        <v>6</v>
      </c>
      <c r="L42" s="27" cm="1">
        <f t="array" ref="L42">N42/J42</f>
        <v>2</v>
      </c>
      <c r="M42" s="28">
        <v>1</v>
      </c>
      <c r="N42" s="11" cm="1">
        <f t="array" ref="N42">ROUND(M42*K42/J42,0)*J42</f>
        <v>6</v>
      </c>
      <c r="O42" s="29"/>
      <c r="P42" s="29"/>
      <c r="Q42" s="26"/>
      <c r="R42" s="48">
        <v>1</v>
      </c>
      <c r="S42" s="13" cm="1">
        <f t="array" ref="S42">ROUNDUP(Q42+R42,0)</f>
        <v>1</v>
      </c>
      <c r="T42" t="s" s="23">
        <v>33</v>
      </c>
    </row>
    <row r="43" ht="16" customHeight="1">
      <c r="A43" s="21"/>
      <c r="B43" s="21"/>
      <c r="C43" t="s" s="55">
        <v>55</v>
      </c>
      <c r="D43" t="s" s="55">
        <v>22</v>
      </c>
      <c r="E43" s="56">
        <v>778.95</v>
      </c>
      <c r="F43" s="56">
        <v>60</v>
      </c>
      <c r="G43" s="57" cm="1">
        <f t="array" ref="G43">ROUNDUP(E43/F43,0)</f>
        <v>13</v>
      </c>
      <c r="H43" s="57" cm="1">
        <f t="array" ref="H43">ROUNDUP(G43/Q43,0)</f>
        <v>13</v>
      </c>
      <c r="I43" t="s" s="55">
        <v>23</v>
      </c>
      <c r="J43" s="9">
        <v>4</v>
      </c>
      <c r="K43" s="9">
        <v>20</v>
      </c>
      <c r="L43" s="9" cm="1">
        <f t="array" ref="L43">N43/J43</f>
        <v>5</v>
      </c>
      <c r="M43" s="10">
        <v>1</v>
      </c>
      <c r="N43" s="11" cm="1">
        <f t="array" ref="N43">ROUND(M43*K43/J43,0)*J43</f>
        <v>20</v>
      </c>
      <c r="O43" s="58"/>
      <c r="P43" s="58"/>
      <c r="Q43" s="57">
        <v>1</v>
      </c>
      <c r="R43" s="13">
        <v>1</v>
      </c>
      <c r="S43" s="13" cm="1">
        <f t="array" ref="S43">ROUNDUP(Q43+R43,0)</f>
        <v>2</v>
      </c>
      <c r="T43" t="s" s="23">
        <v>41</v>
      </c>
    </row>
    <row r="44" ht="16" customHeight="1">
      <c r="A44" s="21"/>
      <c r="B44" s="21"/>
      <c r="C44" t="s" s="31">
        <v>39</v>
      </c>
      <c r="D44" t="s" s="31">
        <v>32</v>
      </c>
      <c r="E44" s="32">
        <v>9.42</v>
      </c>
      <c r="F44" s="32">
        <v>0.8</v>
      </c>
      <c r="G44" s="33" cm="1">
        <f t="array" ref="G44">ROUNDUP(E44/F44,0)</f>
        <v>12</v>
      </c>
      <c r="H44" s="33" cm="1">
        <f t="array" ref="H44">ROUNDUP(G44/Q44,0)</f>
        <v>12</v>
      </c>
      <c r="I44" t="s" s="31">
        <v>23</v>
      </c>
      <c r="J44" s="9">
        <v>3</v>
      </c>
      <c r="K44" s="9">
        <v>15</v>
      </c>
      <c r="L44" s="9" cm="1">
        <f t="array" ref="L44">N44/J44</f>
        <v>5</v>
      </c>
      <c r="M44" s="10">
        <v>1</v>
      </c>
      <c r="N44" s="11" cm="1">
        <f t="array" ref="N44">ROUND(M44*K44/J44,0)*J44</f>
        <v>15</v>
      </c>
      <c r="O44" s="34"/>
      <c r="P44" s="34"/>
      <c r="Q44" s="33">
        <v>1</v>
      </c>
      <c r="R44" s="13">
        <v>0.5</v>
      </c>
      <c r="S44" s="13" cm="1">
        <f t="array" ref="S44">ROUNDUP(Q44+R44,0)</f>
        <v>2</v>
      </c>
      <c r="T44" t="s" s="23">
        <v>33</v>
      </c>
    </row>
    <row r="45" ht="16" customHeight="1">
      <c r="A45" s="21"/>
      <c r="B45" s="21"/>
      <c r="C45" t="s" s="59">
        <v>57</v>
      </c>
      <c r="D45" t="s" s="59">
        <v>22</v>
      </c>
      <c r="E45" s="60">
        <v>952.05</v>
      </c>
      <c r="F45" s="60">
        <v>60</v>
      </c>
      <c r="G45" s="61" cm="1">
        <f t="array" ref="G45">ROUNDUP(E45/F45,0)</f>
        <v>16</v>
      </c>
      <c r="H45" s="61" cm="1">
        <f t="array" ref="H45">ROUNDUP(G45/Q45,0)</f>
        <v>16</v>
      </c>
      <c r="I45" t="s" s="59">
        <v>23</v>
      </c>
      <c r="J45" s="9">
        <v>3</v>
      </c>
      <c r="K45" s="9">
        <v>18</v>
      </c>
      <c r="L45" s="9" cm="1">
        <f t="array" ref="L45">N45/J45</f>
        <v>6</v>
      </c>
      <c r="M45" s="10">
        <v>1</v>
      </c>
      <c r="N45" s="11" cm="1">
        <f t="array" ref="N45">ROUND(M45*K45/J45,0)*J45</f>
        <v>18</v>
      </c>
      <c r="O45" s="62"/>
      <c r="P45" s="62"/>
      <c r="Q45" s="61">
        <v>1</v>
      </c>
      <c r="R45" s="13">
        <v>0.5</v>
      </c>
      <c r="S45" s="13" cm="1">
        <f t="array" ref="S45">ROUNDUP(Q45+R45,0)</f>
        <v>2</v>
      </c>
      <c r="T45" t="s" s="23">
        <v>33</v>
      </c>
    </row>
    <row r="46" ht="16" customHeight="1">
      <c r="A46" s="21"/>
      <c r="B46" s="21"/>
      <c r="C46" t="s" s="31">
        <v>42</v>
      </c>
      <c r="D46" t="s" s="31">
        <v>32</v>
      </c>
      <c r="E46" s="32">
        <v>9.42</v>
      </c>
      <c r="F46" s="32">
        <v>0.9</v>
      </c>
      <c r="G46" s="33" cm="1">
        <f t="array" ref="G46">ROUNDUP(E46/F46,0)</f>
        <v>11</v>
      </c>
      <c r="H46" s="33" cm="1">
        <f t="array" ref="H46">ROUNDUP(G46/Q46,0)</f>
        <v>11</v>
      </c>
      <c r="I46" t="s" s="31">
        <v>23</v>
      </c>
      <c r="J46" s="9">
        <v>2</v>
      </c>
      <c r="K46" s="9">
        <v>18</v>
      </c>
      <c r="L46" s="9" cm="1">
        <f t="array" ref="L46">N46/J46</f>
        <v>9</v>
      </c>
      <c r="M46" s="10">
        <v>1</v>
      </c>
      <c r="N46" s="11" cm="1">
        <f t="array" ref="N46">ROUND(M46*K46/J46,0)*J46</f>
        <v>18</v>
      </c>
      <c r="O46" s="34"/>
      <c r="P46" s="34"/>
      <c r="Q46" s="33">
        <v>1</v>
      </c>
      <c r="R46" s="13">
        <v>0.5</v>
      </c>
      <c r="S46" s="13" cm="1">
        <f t="array" ref="S46">ROUNDUP(Q46+R46,0)</f>
        <v>2</v>
      </c>
      <c r="T46" t="s" s="23">
        <v>33</v>
      </c>
    </row>
    <row r="47" ht="16" customHeight="1">
      <c r="A47" s="21"/>
      <c r="B47" s="21"/>
      <c r="C47" t="s" s="16">
        <v>44</v>
      </c>
      <c r="D47" t="s" s="16">
        <v>25</v>
      </c>
      <c r="E47" s="17">
        <v>224</v>
      </c>
      <c r="F47" s="17">
        <v>130</v>
      </c>
      <c r="G47" s="18" cm="1">
        <f t="array" ref="G47">H47*Q47</f>
        <v>5</v>
      </c>
      <c r="H47" s="18" cm="1">
        <f t="array" ref="H47">P47*5</f>
        <v>5</v>
      </c>
      <c r="I47" t="s" s="16">
        <v>60</v>
      </c>
      <c r="J47" s="19"/>
      <c r="K47" s="19"/>
      <c r="L47" s="19"/>
      <c r="M47" s="20">
        <v>1</v>
      </c>
      <c r="N47" s="21"/>
      <c r="O47" t="s" s="16">
        <v>27</v>
      </c>
      <c r="P47" s="22" cm="1">
        <f t="array" ref="P47">CEILING(MIN(2,E47/'타설 '!B7),1)</f>
        <v>1</v>
      </c>
      <c r="Q47" s="18" cm="1">
        <f t="array" ref="Q47">MAX(1,IF(E47/(F47*H47)-INT(E47/(F47*H47))&lt;0.5,ROUNDDOWN(E47/(F47*H47),0),ROUNDUP(E47/(F47*H47),0)))</f>
        <v>1</v>
      </c>
      <c r="R47" s="13">
        <v>2</v>
      </c>
      <c r="S47" s="13" cm="1">
        <f t="array" ref="S47">ROUNDUP(Q47+R47,0)</f>
        <v>3</v>
      </c>
      <c r="T47" t="s" s="23">
        <v>28</v>
      </c>
    </row>
    <row r="48" ht="16.5" customHeight="1">
      <c r="A48" s="35"/>
      <c r="B48" s="35"/>
      <c r="C48" s="35"/>
      <c r="D48" s="35"/>
      <c r="E48" s="36"/>
      <c r="F48" s="36"/>
      <c r="G48" s="37"/>
      <c r="H48" s="35"/>
      <c r="I48" s="35"/>
      <c r="J48" s="38"/>
      <c r="K48" s="38"/>
      <c r="L48" s="38"/>
      <c r="M48" s="39"/>
      <c r="N48" s="38"/>
      <c r="O48" s="35"/>
      <c r="P48" s="35"/>
      <c r="Q48" s="35"/>
      <c r="R48" s="35"/>
      <c r="S48" s="35"/>
      <c r="T48" s="35"/>
    </row>
    <row r="49" ht="16.5" customHeight="1">
      <c r="A49" t="s" s="2">
        <v>61</v>
      </c>
      <c r="B49" s="21"/>
      <c r="C49" t="s" s="24">
        <v>30</v>
      </c>
      <c r="D49" t="s" s="24">
        <v>22</v>
      </c>
      <c r="E49" s="25"/>
      <c r="F49" s="25"/>
      <c r="G49" s="26"/>
      <c r="H49" s="26">
        <v>3</v>
      </c>
      <c r="I49" s="29"/>
      <c r="J49" s="27">
        <v>3</v>
      </c>
      <c r="K49" s="27">
        <v>6</v>
      </c>
      <c r="L49" s="27" cm="1">
        <f t="array" ref="L49">N49/J49</f>
        <v>2</v>
      </c>
      <c r="M49" s="28">
        <v>1</v>
      </c>
      <c r="N49" s="11" cm="1">
        <f t="array" ref="N49">ROUND(M49*K49/J49,0)*J49</f>
        <v>6</v>
      </c>
      <c r="O49" s="29"/>
      <c r="P49" s="29"/>
      <c r="Q49" s="26"/>
      <c r="R49" s="48">
        <v>1</v>
      </c>
      <c r="S49" s="13" cm="1">
        <f t="array" ref="S49">ROUNDUP(Q49+R49,0)</f>
        <v>1</v>
      </c>
      <c r="T49" t="s" s="23">
        <v>33</v>
      </c>
    </row>
    <row r="50" ht="16.5" customHeight="1">
      <c r="A50" s="21"/>
      <c r="B50" s="21"/>
      <c r="C50" t="s" s="55">
        <v>55</v>
      </c>
      <c r="D50" t="s" s="55">
        <v>22</v>
      </c>
      <c r="E50" s="56">
        <v>778.95</v>
      </c>
      <c r="F50" s="56">
        <v>60</v>
      </c>
      <c r="G50" s="57" cm="1">
        <f t="array" ref="G50">ROUNDUP(E50/F50,0)</f>
        <v>13</v>
      </c>
      <c r="H50" s="57" cm="1">
        <f t="array" ref="H50">ROUNDUP(G50/Q50,0)</f>
        <v>13</v>
      </c>
      <c r="I50" t="s" s="55">
        <v>23</v>
      </c>
      <c r="J50" s="9">
        <v>4</v>
      </c>
      <c r="K50" s="9">
        <v>20</v>
      </c>
      <c r="L50" s="9" cm="1">
        <f t="array" ref="L50">N50/J50</f>
        <v>4</v>
      </c>
      <c r="M50" s="10">
        <v>0.85</v>
      </c>
      <c r="N50" s="11" cm="1">
        <f t="array" ref="N50">ROUND(M50*K50/J50,0)*J50</f>
        <v>16</v>
      </c>
      <c r="O50" s="58"/>
      <c r="P50" s="58"/>
      <c r="Q50" s="57">
        <v>1</v>
      </c>
      <c r="R50" s="13">
        <v>1</v>
      </c>
      <c r="S50" s="13" cm="1">
        <f t="array" ref="S50">ROUNDUP(Q50+R50,0)</f>
        <v>2</v>
      </c>
      <c r="T50" t="s" s="23">
        <v>41</v>
      </c>
    </row>
    <row r="51" ht="16.5" customHeight="1">
      <c r="A51" s="21"/>
      <c r="B51" s="21"/>
      <c r="C51" t="s" s="31">
        <v>39</v>
      </c>
      <c r="D51" t="s" s="31">
        <v>32</v>
      </c>
      <c r="E51" s="32">
        <v>9.42</v>
      </c>
      <c r="F51" s="32">
        <v>0.8</v>
      </c>
      <c r="G51" s="33" cm="1">
        <f t="array" ref="G51">ROUNDUP(E51/F51,0)</f>
        <v>12</v>
      </c>
      <c r="H51" s="33" cm="1">
        <f t="array" ref="H51">ROUNDUP(G51/Q51,0)</f>
        <v>12</v>
      </c>
      <c r="I51" t="s" s="31">
        <v>23</v>
      </c>
      <c r="J51" s="9">
        <v>3</v>
      </c>
      <c r="K51" s="9">
        <v>15</v>
      </c>
      <c r="L51" s="9" cm="1">
        <f t="array" ref="L51">N51/J51</f>
        <v>4</v>
      </c>
      <c r="M51" s="10">
        <v>0.85</v>
      </c>
      <c r="N51" s="11" cm="1">
        <f t="array" ref="N51">ROUND(M51*K51/J51,0)*J51</f>
        <v>12</v>
      </c>
      <c r="O51" s="34"/>
      <c r="P51" s="34"/>
      <c r="Q51" s="33">
        <v>1</v>
      </c>
      <c r="R51" s="13">
        <v>0.5</v>
      </c>
      <c r="S51" s="13" cm="1">
        <f t="array" ref="S51">ROUNDUP(Q51+R51,0)</f>
        <v>2</v>
      </c>
      <c r="T51" t="s" s="23">
        <v>33</v>
      </c>
    </row>
    <row r="52" ht="16.5" customHeight="1">
      <c r="A52" s="21"/>
      <c r="B52" s="21"/>
      <c r="C52" t="s" s="59">
        <v>57</v>
      </c>
      <c r="D52" t="s" s="59">
        <v>22</v>
      </c>
      <c r="E52" s="60">
        <v>952.05</v>
      </c>
      <c r="F52" s="60">
        <v>60</v>
      </c>
      <c r="G52" s="61" cm="1">
        <f t="array" ref="G52">ROUNDUP(E52/F52,0)</f>
        <v>16</v>
      </c>
      <c r="H52" s="61" cm="1">
        <f t="array" ref="H52">ROUNDUP(G52/Q52,0)</f>
        <v>16</v>
      </c>
      <c r="I52" t="s" s="59">
        <v>23</v>
      </c>
      <c r="J52" s="9">
        <v>3</v>
      </c>
      <c r="K52" s="9">
        <v>18</v>
      </c>
      <c r="L52" s="9" cm="1">
        <f t="array" ref="L52">N52/J52</f>
        <v>5</v>
      </c>
      <c r="M52" s="10">
        <v>0.85</v>
      </c>
      <c r="N52" s="11" cm="1">
        <f t="array" ref="N52">ROUND(M52*K52/J52,0)*J52</f>
        <v>15</v>
      </c>
      <c r="O52" s="62"/>
      <c r="P52" s="62"/>
      <c r="Q52" s="61">
        <v>1</v>
      </c>
      <c r="R52" s="13">
        <v>0.5</v>
      </c>
      <c r="S52" s="13" cm="1">
        <f t="array" ref="S52">ROUNDUP(Q52+R52,0)</f>
        <v>2</v>
      </c>
      <c r="T52" t="s" s="23">
        <v>33</v>
      </c>
    </row>
    <row r="53" ht="16.5" customHeight="1">
      <c r="A53" s="21"/>
      <c r="B53" s="21"/>
      <c r="C53" t="s" s="31">
        <v>42</v>
      </c>
      <c r="D53" t="s" s="31">
        <v>32</v>
      </c>
      <c r="E53" s="32">
        <v>9.42</v>
      </c>
      <c r="F53" s="32">
        <v>0.9</v>
      </c>
      <c r="G53" s="33" cm="1">
        <f t="array" ref="G53">ROUNDUP(E53/F53,0)</f>
        <v>11</v>
      </c>
      <c r="H53" s="33" cm="1">
        <f t="array" ref="H53">ROUNDUP(G53/Q53,0)</f>
        <v>11</v>
      </c>
      <c r="I53" t="s" s="31">
        <v>23</v>
      </c>
      <c r="J53" s="9">
        <v>2</v>
      </c>
      <c r="K53" s="9">
        <v>18</v>
      </c>
      <c r="L53" s="9" cm="1">
        <f t="array" ref="L53">N53/J53</f>
        <v>8</v>
      </c>
      <c r="M53" s="10">
        <v>0.85</v>
      </c>
      <c r="N53" s="11" cm="1">
        <f t="array" ref="N53">ROUND(M53*K53/J53,0)*J53</f>
        <v>16</v>
      </c>
      <c r="O53" s="34"/>
      <c r="P53" s="34"/>
      <c r="Q53" s="33">
        <v>1</v>
      </c>
      <c r="R53" s="13">
        <v>0.5</v>
      </c>
      <c r="S53" s="13" cm="1">
        <f t="array" ref="S53">ROUNDUP(Q53+R53,0)</f>
        <v>2</v>
      </c>
      <c r="T53" t="s" s="23">
        <v>33</v>
      </c>
    </row>
    <row r="54" ht="16.5" customHeight="1">
      <c r="A54" s="21"/>
      <c r="B54" s="21"/>
      <c r="C54" t="s" s="16">
        <v>44</v>
      </c>
      <c r="D54" t="s" s="16">
        <v>25</v>
      </c>
      <c r="E54" s="17">
        <v>224</v>
      </c>
      <c r="F54" s="17">
        <v>130</v>
      </c>
      <c r="G54" s="18" cm="1">
        <f t="array" ref="G54">H54*Q54</f>
        <v>5</v>
      </c>
      <c r="H54" s="18" cm="1">
        <f t="array" ref="H54">P54*5</f>
        <v>5</v>
      </c>
      <c r="I54" t="s" s="16">
        <v>60</v>
      </c>
      <c r="J54" s="19"/>
      <c r="K54" s="19"/>
      <c r="L54" s="19"/>
      <c r="M54" s="20">
        <v>1</v>
      </c>
      <c r="N54" s="21"/>
      <c r="O54" t="s" s="16">
        <v>27</v>
      </c>
      <c r="P54" s="22" cm="1">
        <f t="array" ref="P54">CEILING(MIN(2,E54/'타설 '!B7),1)</f>
        <v>1</v>
      </c>
      <c r="Q54" s="18" cm="1">
        <f t="array" ref="Q54">MAX(1,IF(E54/(F54*H54)-INT(E54/(F54*H54))&lt;0.5,ROUNDDOWN(E54/(F54*H54),0),ROUNDUP(E54/(F54*H54),0)))</f>
        <v>1</v>
      </c>
      <c r="R54" s="13">
        <v>2</v>
      </c>
      <c r="S54" s="13" cm="1">
        <f t="array" ref="S54">ROUNDUP(Q54+R54,0)</f>
        <v>3</v>
      </c>
      <c r="T54" t="s" s="23">
        <v>28</v>
      </c>
    </row>
    <row r="55" ht="16.5" customHeight="1">
      <c r="A55" s="35"/>
      <c r="B55" s="35"/>
      <c r="C55" s="35"/>
      <c r="D55" s="35"/>
      <c r="E55" s="36"/>
      <c r="F55" s="36"/>
      <c r="G55" s="37"/>
      <c r="H55" s="35"/>
      <c r="I55" s="35"/>
      <c r="J55" s="38"/>
      <c r="K55" s="38"/>
      <c r="L55" s="38"/>
      <c r="M55" s="39"/>
      <c r="N55" s="38"/>
      <c r="O55" s="35"/>
      <c r="P55" s="35"/>
      <c r="Q55" s="35"/>
      <c r="R55" s="35"/>
      <c r="S55" s="35"/>
      <c r="T55" s="35"/>
    </row>
    <row r="56" ht="16" customHeight="1">
      <c r="A56" t="s" s="2">
        <v>62</v>
      </c>
      <c r="B56" s="21"/>
      <c r="C56" t="s" s="24">
        <v>30</v>
      </c>
      <c r="D56" t="s" s="24">
        <v>22</v>
      </c>
      <c r="E56" s="25"/>
      <c r="F56" s="25"/>
      <c r="G56" s="26"/>
      <c r="H56" s="26">
        <v>3</v>
      </c>
      <c r="I56" s="29"/>
      <c r="J56" s="27">
        <v>3</v>
      </c>
      <c r="K56" s="27">
        <v>6</v>
      </c>
      <c r="L56" s="27" cm="1">
        <f t="array" ref="L56">N56/J56</f>
        <v>2</v>
      </c>
      <c r="M56" s="28">
        <v>1</v>
      </c>
      <c r="N56" s="11" cm="1">
        <f t="array" ref="N56">ROUND(M56*K56/J56,0)*J56</f>
        <v>6</v>
      </c>
      <c r="O56" s="29"/>
      <c r="P56" s="29"/>
      <c r="Q56" s="29"/>
      <c r="R56" s="48">
        <v>1</v>
      </c>
      <c r="S56" s="13" cm="1">
        <f t="array" ref="S56">ROUNDUP(Q56+R56,0)</f>
        <v>1</v>
      </c>
      <c r="T56" t="s" s="23">
        <v>33</v>
      </c>
    </row>
    <row r="57" ht="16" customHeight="1">
      <c r="A57" s="21"/>
      <c r="B57" s="21"/>
      <c r="C57" t="s" s="31">
        <v>39</v>
      </c>
      <c r="D57" t="s" s="31">
        <v>32</v>
      </c>
      <c r="E57" s="32">
        <v>4.97</v>
      </c>
      <c r="F57" s="32">
        <v>0.7</v>
      </c>
      <c r="G57" s="33" cm="1">
        <f t="array" ref="G57">ROUNDUP(E57/F57,0)</f>
        <v>8</v>
      </c>
      <c r="H57" s="33" cm="1">
        <f t="array" ref="H57">ROUNDUP(G57/Q57,0)</f>
        <v>8</v>
      </c>
      <c r="I57" t="s" s="31">
        <v>23</v>
      </c>
      <c r="J57" s="9">
        <v>3</v>
      </c>
      <c r="K57" s="9">
        <v>15</v>
      </c>
      <c r="L57" s="9" cm="1">
        <f t="array" ref="L57">N57/J57</f>
        <v>4</v>
      </c>
      <c r="M57" s="10">
        <v>0.7</v>
      </c>
      <c r="N57" s="11" cm="1">
        <f t="array" ref="N57">ROUND(M57*K57/J57,0)*J57</f>
        <v>12</v>
      </c>
      <c r="O57" s="34"/>
      <c r="P57" s="34"/>
      <c r="Q57" s="33">
        <v>1</v>
      </c>
      <c r="R57" s="13">
        <v>0.5</v>
      </c>
      <c r="S57" s="13" cm="1">
        <f t="array" ref="S57">ROUNDUP(Q57+R57,0)</f>
        <v>2</v>
      </c>
      <c r="T57" t="s" s="23">
        <v>33</v>
      </c>
    </row>
    <row r="58" ht="16" customHeight="1">
      <c r="A58" s="21"/>
      <c r="B58" s="21"/>
      <c r="C58" t="s" s="6">
        <v>52</v>
      </c>
      <c r="D58" t="s" s="6">
        <v>22</v>
      </c>
      <c r="E58" s="7">
        <v>291</v>
      </c>
      <c r="F58" s="7">
        <v>9</v>
      </c>
      <c r="G58" s="8" cm="1">
        <f t="array" ref="G58">ROUNDUP(E58/F58,0)</f>
        <v>33</v>
      </c>
      <c r="H58" s="8" cm="1">
        <f t="array" ref="H58">ROUNDUP(G58/Q58,0)</f>
        <v>6</v>
      </c>
      <c r="I58" t="s" s="6">
        <v>23</v>
      </c>
      <c r="J58" s="9">
        <v>2</v>
      </c>
      <c r="K58" s="9">
        <v>8</v>
      </c>
      <c r="L58" s="9" cm="1">
        <f t="array" ref="L58">N58/J58</f>
        <v>3</v>
      </c>
      <c r="M58" s="10">
        <v>0.7</v>
      </c>
      <c r="N58" s="11" cm="1">
        <f t="array" ref="N58">ROUND(M58*K58/J58,0)*J58</f>
        <v>6</v>
      </c>
      <c r="O58" s="12"/>
      <c r="P58" s="12"/>
      <c r="Q58" s="8">
        <v>6</v>
      </c>
      <c r="R58" s="13">
        <v>0.5</v>
      </c>
      <c r="S58" s="13" cm="1">
        <f t="array" ref="S58">ROUNDUP(Q58+R58,0)</f>
        <v>7</v>
      </c>
      <c r="T58" t="s" s="23">
        <v>33</v>
      </c>
    </row>
    <row r="59" ht="16" customHeight="1">
      <c r="A59" s="21"/>
      <c r="B59" s="21"/>
      <c r="C59" t="s" s="31">
        <v>42</v>
      </c>
      <c r="D59" t="s" s="31">
        <v>32</v>
      </c>
      <c r="E59" s="32">
        <v>4.97</v>
      </c>
      <c r="F59" s="32">
        <v>0.6</v>
      </c>
      <c r="G59" s="33" cm="1">
        <f t="array" ref="G59">ROUNDUP(E59/F59,0)</f>
        <v>9</v>
      </c>
      <c r="H59" s="33" cm="1">
        <f t="array" ref="H59">ROUNDUP(G59/Q59,0)</f>
        <v>9</v>
      </c>
      <c r="I59" t="s" s="31">
        <v>23</v>
      </c>
      <c r="J59" s="9">
        <v>3</v>
      </c>
      <c r="K59" s="9">
        <v>18</v>
      </c>
      <c r="L59" s="9" cm="1">
        <f t="array" ref="L59">N59/J59</f>
        <v>4</v>
      </c>
      <c r="M59" s="10">
        <v>0.7</v>
      </c>
      <c r="N59" s="11" cm="1">
        <f t="array" ref="N59">ROUND(M59*K59/J59,0)*J59</f>
        <v>12</v>
      </c>
      <c r="O59" s="34"/>
      <c r="P59" s="34"/>
      <c r="Q59" s="33">
        <v>1</v>
      </c>
      <c r="R59" s="13">
        <v>0.5</v>
      </c>
      <c r="S59" s="13" cm="1">
        <f t="array" ref="S59">ROUNDUP(Q59+R59,0)</f>
        <v>2</v>
      </c>
      <c r="T59" t="s" s="23">
        <v>33</v>
      </c>
    </row>
    <row r="60" ht="16" customHeight="1">
      <c r="A60" s="21"/>
      <c r="B60" s="21"/>
      <c r="C60" t="s" s="16">
        <v>44</v>
      </c>
      <c r="D60" t="s" s="16">
        <v>25</v>
      </c>
      <c r="E60" s="17">
        <v>102</v>
      </c>
      <c r="F60" s="17">
        <v>130</v>
      </c>
      <c r="G60" s="18" cm="1">
        <f t="array" ref="G60">H60*Q60</f>
        <v>5</v>
      </c>
      <c r="H60" s="18" cm="1">
        <f t="array" ref="H60">P60*5</f>
        <v>5</v>
      </c>
      <c r="I60" t="s" s="16">
        <v>53</v>
      </c>
      <c r="J60" s="19"/>
      <c r="K60" s="19"/>
      <c r="L60" s="19"/>
      <c r="M60" s="20">
        <v>1</v>
      </c>
      <c r="N60" s="21"/>
      <c r="O60" t="s" s="16">
        <v>27</v>
      </c>
      <c r="P60" s="22" cm="1">
        <f t="array" ref="P60">CEILING(MIN(2,E60/'타설 '!B9),1)</f>
        <v>1</v>
      </c>
      <c r="Q60" s="18" cm="1">
        <f t="array" ref="Q60">MAX(1,IF(E60/(F60*H60)-INT(E60/(F60*H60))&lt;0.5,ROUNDDOWN(E60/(F60*H60),0),ROUNDUP(E60/(F60*H60),0)))</f>
        <v>1</v>
      </c>
      <c r="R60" s="13">
        <v>2</v>
      </c>
      <c r="S60" s="13" cm="1">
        <f t="array" ref="S60">ROUNDUP(Q60+R60,0)</f>
        <v>3</v>
      </c>
      <c r="T60" t="s" s="23">
        <v>28</v>
      </c>
    </row>
    <row r="61" ht="16" customHeight="1">
      <c r="A61" s="21"/>
      <c r="B61" s="21"/>
      <c r="C61" t="s" s="42">
        <v>46</v>
      </c>
      <c r="D61" t="s" s="42">
        <v>22</v>
      </c>
      <c r="E61" s="43" cm="1">
        <f t="array" ref="E61">E58</f>
        <v>291</v>
      </c>
      <c r="F61" s="43">
        <v>50</v>
      </c>
      <c r="G61" s="44" cm="1">
        <f t="array" ref="G61">ROUNDUP(E61/F61,0)</f>
        <v>6</v>
      </c>
      <c r="H61" s="44" cm="1">
        <f t="array" ref="H61">ROUNDUP(G61/Q61,0)</f>
        <v>6</v>
      </c>
      <c r="I61" t="s" s="42">
        <v>23</v>
      </c>
      <c r="J61" s="9">
        <v>2</v>
      </c>
      <c r="K61" s="9">
        <v>6</v>
      </c>
      <c r="L61" s="9" cm="1">
        <f t="array" ref="L61">N61/J61</f>
        <v>4</v>
      </c>
      <c r="M61" s="10">
        <v>1.2</v>
      </c>
      <c r="N61" s="11" cm="1">
        <f t="array" ref="N61">ROUND(M61*K61/J61,0)*J61</f>
        <v>8</v>
      </c>
      <c r="O61" s="45"/>
      <c r="P61" s="45"/>
      <c r="Q61" s="44">
        <v>1</v>
      </c>
      <c r="R61" s="13"/>
      <c r="S61" s="13" cm="1">
        <f t="array" ref="S61">ROUNDUP(Q61+R61,0)</f>
        <v>1</v>
      </c>
      <c r="T61" s="14"/>
    </row>
  </sheetData>
  <mergeCells count="18">
    <mergeCell ref="B56:B61"/>
    <mergeCell ref="B49:B54"/>
    <mergeCell ref="B42:B47"/>
    <mergeCell ref="B28:B33"/>
    <mergeCell ref="B35:B40"/>
    <mergeCell ref="A2:A3"/>
    <mergeCell ref="A4:A7"/>
    <mergeCell ref="A35:A40"/>
    <mergeCell ref="A42:A47"/>
    <mergeCell ref="B9:B15"/>
    <mergeCell ref="B16:B26"/>
    <mergeCell ref="B2:B3"/>
    <mergeCell ref="A28:A33"/>
    <mergeCell ref="B4:B7"/>
    <mergeCell ref="A49:A54"/>
    <mergeCell ref="A9:A15"/>
    <mergeCell ref="A16:A26"/>
    <mergeCell ref="A56:A6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26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63" customWidth="1"/>
    <col min="2" max="2" width="4.17188" style="63" customWidth="1"/>
    <col min="3" max="3" width="15.6719" style="63" customWidth="1"/>
    <col min="4" max="4" width="4.17188" style="63" customWidth="1"/>
    <col min="5" max="5" width="7.5" style="63" customWidth="1"/>
    <col min="6" max="7" width="9.35156" style="63" customWidth="1"/>
    <col min="8" max="8" width="10.3516" style="63" customWidth="1"/>
    <col min="9" max="9" width="21.1719" style="63" customWidth="1"/>
    <col min="10" max="10" width="12.5" style="63" customWidth="1"/>
    <col min="11" max="11" width="7.85156" style="63" customWidth="1"/>
    <col min="12" max="12" width="9.35156" style="63" customWidth="1"/>
    <col min="13" max="13" width="12.5" style="63" customWidth="1"/>
    <col min="14" max="14" width="10.5" style="63" customWidth="1"/>
    <col min="15" max="15" width="12.5" style="63" customWidth="1"/>
    <col min="16" max="16" width="7.35156" style="63" customWidth="1"/>
    <col min="17" max="17" width="7.85156" style="63" customWidth="1"/>
    <col min="18" max="18" width="5.67188" style="63" customWidth="1"/>
    <col min="19" max="19" width="8.85156" style="63" customWidth="1"/>
    <col min="20" max="20" width="10.5" style="63" customWidth="1"/>
    <col min="21" max="16384" width="8.85156" style="63" customWidth="1"/>
  </cols>
  <sheetData>
    <row r="1" ht="16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2">
        <v>14</v>
      </c>
      <c r="P1" t="s" s="2">
        <v>15</v>
      </c>
      <c r="Q1" t="s" s="3">
        <v>16</v>
      </c>
      <c r="R1" t="s" s="2">
        <v>17</v>
      </c>
      <c r="S1" t="s" s="3">
        <v>18</v>
      </c>
      <c r="T1" t="s" s="2">
        <v>19</v>
      </c>
    </row>
    <row r="2" ht="16" customHeight="1">
      <c r="A2" t="s" s="4">
        <v>20</v>
      </c>
      <c r="B2" s="5"/>
      <c r="C2" t="s" s="6">
        <v>21</v>
      </c>
      <c r="D2" t="s" s="6">
        <v>22</v>
      </c>
      <c r="E2" s="7">
        <v>40</v>
      </c>
      <c r="F2" s="7">
        <v>10</v>
      </c>
      <c r="G2" s="8" cm="1">
        <f t="array" ref="G2">E2/F2</f>
        <v>4</v>
      </c>
      <c r="H2" s="8" cm="1">
        <f t="array" ref="H2">ROUNDUP(G2/Q2,0)</f>
        <v>4</v>
      </c>
      <c r="I2" t="s" s="6">
        <v>23</v>
      </c>
      <c r="J2" s="9">
        <v>2</v>
      </c>
      <c r="K2" s="9">
        <v>6</v>
      </c>
      <c r="L2" s="9" cm="1">
        <f t="array" ref="L2">N2/J2</f>
        <v>3</v>
      </c>
      <c r="M2" s="10" cm="1">
        <f t="array" ref="M2">1</f>
        <v>1</v>
      </c>
      <c r="N2" s="11" cm="1">
        <f t="array" ref="N2">ROUND(M2*K2/J2,0)*J2</f>
        <v>6</v>
      </c>
      <c r="O2" s="12"/>
      <c r="P2" s="12"/>
      <c r="Q2" s="8">
        <v>1</v>
      </c>
      <c r="R2" s="13"/>
      <c r="S2" s="13" cm="1">
        <f t="array" ref="S2">ROUNDUP(Q2+R2,0)</f>
        <v>1</v>
      </c>
      <c r="T2" s="14"/>
    </row>
    <row r="3" ht="16" customHeight="1">
      <c r="A3" s="15"/>
      <c r="B3" s="15"/>
      <c r="C3" t="s" s="16">
        <v>24</v>
      </c>
      <c r="D3" t="s" s="16">
        <v>25</v>
      </c>
      <c r="E3" s="17">
        <v>228</v>
      </c>
      <c r="F3" s="17">
        <v>130</v>
      </c>
      <c r="G3" s="18" cm="1">
        <f t="array" ref="G3">H3*Q3</f>
        <v>5</v>
      </c>
      <c r="H3" s="18" cm="1">
        <f t="array" ref="H3">P3*5</f>
        <v>5</v>
      </c>
      <c r="I3" t="s" s="16">
        <v>26</v>
      </c>
      <c r="J3" s="19"/>
      <c r="K3" s="19"/>
      <c r="L3" s="19"/>
      <c r="M3" s="20">
        <v>1</v>
      </c>
      <c r="N3" s="21"/>
      <c r="O3" t="s" s="16">
        <v>27</v>
      </c>
      <c r="P3" s="22" cm="1">
        <f t="array" ref="P3">CEILING(MIN(2,E3/'타설 '!B2),1)</f>
        <v>1</v>
      </c>
      <c r="Q3" s="18" cm="1">
        <f t="array" ref="Q3">MAX(1,IF(E3/(F3*H3)-INT(E3/(F3*H3))&lt;0.5,ROUNDDOWN(E3/(F3*H3),0),ROUNDUP(E3/(F3*H3),0)))</f>
        <v>1</v>
      </c>
      <c r="R3" s="13">
        <v>1</v>
      </c>
      <c r="S3" s="13" cm="1">
        <f t="array" ref="S3">ROUNDUP(Q3+R3,0)</f>
        <v>2</v>
      </c>
      <c r="T3" t="s" s="23">
        <v>28</v>
      </c>
    </row>
    <row r="4" ht="16" customHeight="1">
      <c r="A4" t="s" s="4">
        <v>29</v>
      </c>
      <c r="B4" s="5"/>
      <c r="C4" t="s" s="24">
        <v>30</v>
      </c>
      <c r="D4" t="s" s="24">
        <v>22</v>
      </c>
      <c r="E4" s="25"/>
      <c r="F4" s="25"/>
      <c r="G4" s="26"/>
      <c r="H4" s="26">
        <v>3</v>
      </c>
      <c r="I4" t="s" s="24">
        <v>23</v>
      </c>
      <c r="J4" s="27">
        <v>3</v>
      </c>
      <c r="K4" s="27">
        <v>6</v>
      </c>
      <c r="L4" s="27" cm="1">
        <f t="array" ref="L4">N4/J4</f>
        <v>2</v>
      </c>
      <c r="M4" s="28">
        <v>1</v>
      </c>
      <c r="N4" s="11" cm="1">
        <f t="array" ref="N4">ROUND(M4*K4/J4,0)*J4</f>
        <v>6</v>
      </c>
      <c r="O4" s="29"/>
      <c r="P4" s="29"/>
      <c r="Q4" s="26">
        <v>1</v>
      </c>
      <c r="R4" s="13"/>
      <c r="S4" s="13" cm="1">
        <f t="array" ref="S4">ROUNDUP(Q4+R4,0)</f>
        <v>1</v>
      </c>
      <c r="T4" s="14"/>
    </row>
    <row r="5" ht="16" customHeight="1">
      <c r="A5" s="30"/>
      <c r="B5" s="30"/>
      <c r="C5" t="s" s="31">
        <v>31</v>
      </c>
      <c r="D5" t="s" s="31">
        <v>32</v>
      </c>
      <c r="E5" s="32">
        <v>110.62</v>
      </c>
      <c r="F5" s="32">
        <v>1.1</v>
      </c>
      <c r="G5" s="33" cm="1">
        <f t="array" ref="G5">ROUNDUP(E5/F5,0)</f>
        <v>101</v>
      </c>
      <c r="H5" s="33" cm="1">
        <f t="array" ref="H5">ROUNDUP(G5/Q5,0)</f>
        <v>17</v>
      </c>
      <c r="I5" t="s" s="31">
        <v>23</v>
      </c>
      <c r="J5" s="9">
        <v>4</v>
      </c>
      <c r="K5" s="9">
        <v>24</v>
      </c>
      <c r="L5" s="9" cm="1">
        <f t="array" ref="L5">N5/J5</f>
        <v>8</v>
      </c>
      <c r="M5" s="10">
        <v>1.3</v>
      </c>
      <c r="N5" s="11" cm="1">
        <f t="array" ref="N5">ROUND(M5*K5/J5,0)*J5</f>
        <v>32</v>
      </c>
      <c r="O5" s="34"/>
      <c r="P5" s="34"/>
      <c r="Q5" s="33">
        <v>6</v>
      </c>
      <c r="R5" s="13">
        <v>0.5</v>
      </c>
      <c r="S5" s="13" cm="1">
        <f t="array" ref="S5">ROUNDUP(Q5+R5,0)</f>
        <v>7</v>
      </c>
      <c r="T5" t="s" s="23">
        <v>33</v>
      </c>
    </row>
    <row r="6" ht="16" customHeight="1">
      <c r="A6" s="30"/>
      <c r="B6" s="30"/>
      <c r="C6" t="s" s="6">
        <v>34</v>
      </c>
      <c r="D6" t="s" s="6">
        <v>22</v>
      </c>
      <c r="E6" s="7">
        <v>120</v>
      </c>
      <c r="F6" s="7">
        <v>10</v>
      </c>
      <c r="G6" s="8" cm="1">
        <f t="array" ref="G6">ROUNDUP(E6/F6,0)</f>
        <v>12</v>
      </c>
      <c r="H6" s="8" cm="1">
        <f t="array" ref="H6">ROUNDUP(G6/Q6,0)</f>
        <v>6</v>
      </c>
      <c r="I6" t="s" s="6">
        <v>23</v>
      </c>
      <c r="J6" s="9">
        <v>3</v>
      </c>
      <c r="K6" s="9">
        <v>6</v>
      </c>
      <c r="L6" s="9" cm="1">
        <f t="array" ref="L6">N6/J6</f>
        <v>2</v>
      </c>
      <c r="M6" s="10">
        <v>1</v>
      </c>
      <c r="N6" s="11" cm="1">
        <f t="array" ref="N6">ROUND(M6*K6/J6,0)*J6</f>
        <v>6</v>
      </c>
      <c r="O6" s="12"/>
      <c r="P6" s="12"/>
      <c r="Q6" s="8">
        <v>2</v>
      </c>
      <c r="R6" s="13">
        <v>0.5</v>
      </c>
      <c r="S6" s="13" cm="1">
        <f t="array" ref="S6">ROUNDUP(Q6+R6,0)</f>
        <v>3</v>
      </c>
      <c r="T6" t="s" s="23">
        <v>33</v>
      </c>
    </row>
    <row r="7" ht="16" customHeight="1">
      <c r="A7" s="15"/>
      <c r="B7" s="15"/>
      <c r="C7" t="s" s="16">
        <v>35</v>
      </c>
      <c r="D7" t="s" s="16">
        <v>25</v>
      </c>
      <c r="E7" s="17">
        <v>1643</v>
      </c>
      <c r="F7" s="17">
        <v>130</v>
      </c>
      <c r="G7" s="18" cm="1">
        <f t="array" ref="G7">H7*Q7</f>
        <v>10</v>
      </c>
      <c r="H7" s="18" cm="1">
        <f t="array" ref="H7">P7*5</f>
        <v>10</v>
      </c>
      <c r="I7" t="s" s="16">
        <v>36</v>
      </c>
      <c r="J7" s="19"/>
      <c r="K7" s="19"/>
      <c r="L7" s="19"/>
      <c r="M7" s="20">
        <v>1</v>
      </c>
      <c r="N7" s="21"/>
      <c r="O7" t="s" s="16">
        <v>27</v>
      </c>
      <c r="P7" s="22" cm="1">
        <f t="array" ref="P7">CEILING(MIN(2,E7/'타설 '!B3),1)</f>
        <v>2</v>
      </c>
      <c r="Q7" s="18" cm="1">
        <f t="array" ref="Q7">MAX(1,IF(E7/(F7*H7)-INT(E7/(F7*H7))&lt;0.5,ROUNDDOWN(E7/(F7*H7),0),ROUNDUP(E7/(F7*H7),0)))</f>
        <v>1</v>
      </c>
      <c r="R7" s="13">
        <v>3</v>
      </c>
      <c r="S7" s="13" cm="1">
        <f t="array" ref="S7">ROUNDUP(Q7+R7,0)</f>
        <v>4</v>
      </c>
      <c r="T7" t="s" s="23">
        <v>28</v>
      </c>
    </row>
    <row r="8" ht="16" customHeight="1">
      <c r="A8" s="35"/>
      <c r="B8" s="35"/>
      <c r="C8" s="35"/>
      <c r="D8" s="35"/>
      <c r="E8" s="36"/>
      <c r="F8" s="36"/>
      <c r="G8" s="37"/>
      <c r="H8" s="35"/>
      <c r="I8" s="35"/>
      <c r="J8" s="38"/>
      <c r="K8" s="38"/>
      <c r="L8" s="38"/>
      <c r="M8" s="39"/>
      <c r="N8" s="38"/>
      <c r="O8" s="35"/>
      <c r="P8" s="35"/>
      <c r="Q8" s="40"/>
      <c r="R8" s="40"/>
      <c r="S8" s="40"/>
      <c r="T8" s="35"/>
    </row>
    <row r="9" ht="16" customHeight="1">
      <c r="A9" t="s" s="4">
        <v>37</v>
      </c>
      <c r="B9" t="s" s="4">
        <v>38</v>
      </c>
      <c r="C9" t="s" s="24">
        <v>30</v>
      </c>
      <c r="D9" t="s" s="24">
        <v>22</v>
      </c>
      <c r="E9" s="25"/>
      <c r="F9" s="25"/>
      <c r="G9" s="26"/>
      <c r="H9" s="26">
        <v>3</v>
      </c>
      <c r="I9" t="s" s="24">
        <v>23</v>
      </c>
      <c r="J9" s="27">
        <v>3</v>
      </c>
      <c r="K9" s="27">
        <v>6</v>
      </c>
      <c r="L9" s="27" cm="1">
        <f t="array" ref="L9">N9/J9</f>
        <v>2</v>
      </c>
      <c r="M9" s="28">
        <v>1</v>
      </c>
      <c r="N9" s="11" cm="1">
        <f t="array" ref="N9">ROUND(M9*K9/J9,0)*J9</f>
        <v>6</v>
      </c>
      <c r="O9" s="29"/>
      <c r="P9" s="29"/>
      <c r="Q9" s="41">
        <v>1</v>
      </c>
      <c r="R9" s="13"/>
      <c r="S9" s="13" cm="1">
        <f t="array" ref="S9">ROUNDUP(Q9+R9,0)</f>
        <v>1</v>
      </c>
      <c r="T9" s="14"/>
    </row>
    <row r="10" ht="16" customHeight="1">
      <c r="A10" s="30"/>
      <c r="B10" s="30"/>
      <c r="C10" t="s" s="31">
        <v>39</v>
      </c>
      <c r="D10" t="s" s="31">
        <v>32</v>
      </c>
      <c r="E10" s="32">
        <v>53.1</v>
      </c>
      <c r="F10" s="32">
        <v>0.8</v>
      </c>
      <c r="G10" s="33" cm="1">
        <f t="array" ref="G10">ROUNDUP(E10/F10,0)</f>
        <v>67</v>
      </c>
      <c r="H10" s="33" cm="1">
        <f t="array" ref="H10">ROUNDUP(G10/Q10,0)</f>
        <v>14</v>
      </c>
      <c r="I10" t="s" s="31">
        <v>23</v>
      </c>
      <c r="J10" s="9">
        <v>3</v>
      </c>
      <c r="K10" s="9">
        <v>18</v>
      </c>
      <c r="L10" s="9" cm="1">
        <f t="array" ref="L10">N10/J10</f>
        <v>7</v>
      </c>
      <c r="M10" s="10">
        <v>1.2</v>
      </c>
      <c r="N10" s="11" cm="1">
        <f t="array" ref="N10">ROUND(M10*K10/J10,0)*J10</f>
        <v>21</v>
      </c>
      <c r="O10" s="34"/>
      <c r="P10" s="34"/>
      <c r="Q10" s="33">
        <v>5</v>
      </c>
      <c r="R10" s="13">
        <v>0.5</v>
      </c>
      <c r="S10" s="13" cm="1">
        <f t="array" ref="S10">ROUNDUP(Q10+R10,0)</f>
        <v>6</v>
      </c>
      <c r="T10" t="s" s="23">
        <v>33</v>
      </c>
    </row>
    <row r="11" ht="16" customHeight="1">
      <c r="A11" s="30"/>
      <c r="B11" s="30"/>
      <c r="C11" t="s" s="6">
        <v>63</v>
      </c>
      <c r="D11" t="s" s="6">
        <v>22</v>
      </c>
      <c r="E11" s="7">
        <v>4612.25</v>
      </c>
      <c r="F11" s="7">
        <v>11</v>
      </c>
      <c r="G11" s="8" cm="1">
        <f t="array" ref="G11">ROUNDUP(E11/F11,0)</f>
        <v>420</v>
      </c>
      <c r="H11" s="8" cm="1">
        <f t="array" ref="H11">ROUNDUP(G11/Q11,0)</f>
        <v>25</v>
      </c>
      <c r="I11" t="s" s="6">
        <v>23</v>
      </c>
      <c r="J11" s="9">
        <v>2</v>
      </c>
      <c r="K11" s="9">
        <v>16</v>
      </c>
      <c r="L11" s="9" cm="1">
        <f t="array" ref="L11">N11/J11</f>
        <v>10</v>
      </c>
      <c r="M11" s="10">
        <v>1.2</v>
      </c>
      <c r="N11" s="11" cm="1">
        <f t="array" ref="N11">ROUND(M11*K11/J11,0)*J11</f>
        <v>20</v>
      </c>
      <c r="O11" s="12"/>
      <c r="P11" s="12"/>
      <c r="Q11" s="8">
        <v>17</v>
      </c>
      <c r="R11" s="13">
        <v>1</v>
      </c>
      <c r="S11" s="13" cm="1">
        <f t="array" ref="S11">ROUNDUP(Q11+R11,0)</f>
        <v>18</v>
      </c>
      <c r="T11" t="s" s="23">
        <v>41</v>
      </c>
    </row>
    <row r="12" ht="16" customHeight="1">
      <c r="A12" s="30"/>
      <c r="B12" s="30"/>
      <c r="C12" t="s" s="31">
        <v>42</v>
      </c>
      <c r="D12" t="s" s="31">
        <v>32</v>
      </c>
      <c r="E12" s="32">
        <v>64.91</v>
      </c>
      <c r="F12" s="32">
        <v>0.8</v>
      </c>
      <c r="G12" s="33" cm="1">
        <f t="array" ref="G12">ROUNDUP(E12/F12,0)</f>
        <v>82</v>
      </c>
      <c r="H12" s="33" cm="1">
        <f t="array" ref="H12">ROUNDUP(G12/Q12,0)</f>
        <v>17</v>
      </c>
      <c r="I12" t="s" s="31">
        <v>23</v>
      </c>
      <c r="J12" s="9">
        <v>3</v>
      </c>
      <c r="K12" s="9">
        <v>18</v>
      </c>
      <c r="L12" s="9" cm="1">
        <f t="array" ref="L12">N12/J12</f>
        <v>7</v>
      </c>
      <c r="M12" s="10">
        <v>1.2</v>
      </c>
      <c r="N12" s="11" cm="1">
        <f t="array" ref="N12">ROUND(M12*K12/J12,0)*J12</f>
        <v>21</v>
      </c>
      <c r="O12" s="34"/>
      <c r="P12" s="34"/>
      <c r="Q12" s="33">
        <v>5</v>
      </c>
      <c r="R12" s="13">
        <v>0.5</v>
      </c>
      <c r="S12" s="13" cm="1">
        <f t="array" ref="S12">ROUNDUP(Q12+R12,0)</f>
        <v>6</v>
      </c>
      <c r="T12" t="s" s="23">
        <v>33</v>
      </c>
    </row>
    <row r="13" ht="16" customHeight="1">
      <c r="A13" s="30"/>
      <c r="B13" s="30"/>
      <c r="C13" t="s" s="6">
        <v>43</v>
      </c>
      <c r="D13" t="s" s="6">
        <v>22</v>
      </c>
      <c r="E13" s="7">
        <v>242.75</v>
      </c>
      <c r="F13" s="7">
        <v>11</v>
      </c>
      <c r="G13" s="8" cm="1">
        <f t="array" ref="G13">ROUNDUP(E13/F13,0)</f>
        <v>23</v>
      </c>
      <c r="H13" s="8" cm="1">
        <f t="array" ref="H13">ROUNDUP(G13/Q13,0)</f>
        <v>12</v>
      </c>
      <c r="I13" t="s" s="6">
        <v>23</v>
      </c>
      <c r="J13" s="9">
        <v>2</v>
      </c>
      <c r="K13" s="9">
        <v>12</v>
      </c>
      <c r="L13" s="9" cm="1">
        <f t="array" ref="L13">N13/J13</f>
        <v>7</v>
      </c>
      <c r="M13" s="10">
        <v>1.2</v>
      </c>
      <c r="N13" s="11" cm="1">
        <f t="array" ref="N13">ROUND(M13*K13/J13,0)*J13</f>
        <v>14</v>
      </c>
      <c r="O13" s="12"/>
      <c r="P13" s="12"/>
      <c r="Q13" s="8">
        <v>2</v>
      </c>
      <c r="R13" s="13">
        <v>0.5</v>
      </c>
      <c r="S13" s="13" cm="1">
        <f t="array" ref="S13">ROUNDUP(Q13+R13,0)</f>
        <v>3</v>
      </c>
      <c r="T13" t="s" s="23">
        <v>33</v>
      </c>
    </row>
    <row r="14" ht="16" customHeight="1">
      <c r="A14" s="30"/>
      <c r="B14" s="30"/>
      <c r="C14" t="s" s="16">
        <v>44</v>
      </c>
      <c r="D14" t="s" s="16">
        <v>25</v>
      </c>
      <c r="E14" s="17">
        <v>782</v>
      </c>
      <c r="F14" s="17">
        <v>130</v>
      </c>
      <c r="G14" s="18" cm="1">
        <f t="array" ref="G14">H14*Q14</f>
        <v>10</v>
      </c>
      <c r="H14" s="18" cm="1">
        <f t="array" ref="H14">P14*5</f>
        <v>10</v>
      </c>
      <c r="I14" t="s" s="16">
        <v>45</v>
      </c>
      <c r="J14" s="19"/>
      <c r="K14" s="19"/>
      <c r="L14" s="19"/>
      <c r="M14" s="20">
        <v>1</v>
      </c>
      <c r="N14" s="21"/>
      <c r="O14" t="s" s="16">
        <v>27</v>
      </c>
      <c r="P14" s="22" cm="1">
        <f t="array" ref="P14">CEILING(MIN(2,E14/'타설 '!B4),1)</f>
        <v>2</v>
      </c>
      <c r="Q14" s="18" cm="1">
        <f t="array" ref="Q14">MAX(1,IF(E14/(F14*H14)-INT(E14/(F14*H14))&lt;0.5,ROUNDDOWN(E14/(F14*H14),0),ROUNDUP(E14/(F14*H14),0)))</f>
        <v>1</v>
      </c>
      <c r="R14" s="13">
        <v>3</v>
      </c>
      <c r="S14" s="13" cm="1">
        <f t="array" ref="S14">ROUNDUP(Q14+R14,0)</f>
        <v>4</v>
      </c>
      <c r="T14" t="s" s="23">
        <v>28</v>
      </c>
    </row>
    <row r="15" ht="16" customHeight="1">
      <c r="A15" s="15"/>
      <c r="B15" s="15"/>
      <c r="C15" t="s" s="42">
        <v>46</v>
      </c>
      <c r="D15" t="s" s="42">
        <v>22</v>
      </c>
      <c r="E15" s="43" cm="1">
        <f t="array" ref="E15">E11+E13</f>
        <v>4855</v>
      </c>
      <c r="F15" s="43">
        <v>50</v>
      </c>
      <c r="G15" s="44" cm="1">
        <f t="array" ref="G15">ROUNDUP(E15/F15,0)</f>
        <v>98</v>
      </c>
      <c r="H15" s="44" cm="1">
        <f t="array" ref="H15">ROUNDUP(G15/Q15,0)</f>
        <v>7</v>
      </c>
      <c r="I15" t="s" s="42">
        <v>23</v>
      </c>
      <c r="J15" s="9">
        <v>2</v>
      </c>
      <c r="K15" s="9">
        <v>24</v>
      </c>
      <c r="L15" s="9" cm="1">
        <f t="array" ref="L15">N15/J15</f>
        <v>14</v>
      </c>
      <c r="M15" s="10">
        <v>1.2</v>
      </c>
      <c r="N15" s="11" cm="1">
        <f t="array" ref="N15">ROUND(M15*K15/J15,0)*J15</f>
        <v>28</v>
      </c>
      <c r="O15" s="45"/>
      <c r="P15" s="45"/>
      <c r="Q15" s="44">
        <v>16</v>
      </c>
      <c r="R15" s="13"/>
      <c r="S15" s="13" cm="1">
        <f t="array" ref="S15">ROUNDUP(Q15+R15,0)</f>
        <v>16</v>
      </c>
      <c r="T15" s="14"/>
    </row>
    <row r="16" ht="16" customHeight="1">
      <c r="A16" t="s" s="4">
        <v>37</v>
      </c>
      <c r="B16" t="s" s="4">
        <v>47</v>
      </c>
      <c r="C16" t="s" s="24">
        <v>30</v>
      </c>
      <c r="D16" t="s" s="24">
        <v>22</v>
      </c>
      <c r="E16" s="25"/>
      <c r="F16" s="25"/>
      <c r="G16" s="26"/>
      <c r="H16" s="26">
        <v>3</v>
      </c>
      <c r="I16" t="s" s="24">
        <v>23</v>
      </c>
      <c r="J16" s="27">
        <v>3</v>
      </c>
      <c r="K16" s="27">
        <v>6</v>
      </c>
      <c r="L16" s="27" cm="1">
        <f t="array" ref="L16">N16/J16</f>
        <v>2</v>
      </c>
      <c r="M16" s="28">
        <v>1</v>
      </c>
      <c r="N16" s="11" cm="1">
        <f t="array" ref="N16">ROUND(M16*K16/J16,0)*J16</f>
        <v>6</v>
      </c>
      <c r="O16" s="29"/>
      <c r="P16" s="29"/>
      <c r="Q16" s="26"/>
      <c r="R16" s="13">
        <v>1</v>
      </c>
      <c r="S16" s="13" cm="1">
        <f t="array" ref="S16">ROUNDUP(Q16+R16,0)</f>
        <v>1</v>
      </c>
      <c r="T16" s="14"/>
    </row>
    <row r="17" ht="16" customHeight="1">
      <c r="A17" s="30"/>
      <c r="B17" s="30"/>
      <c r="C17" t="s" s="31">
        <v>39</v>
      </c>
      <c r="D17" t="s" s="31">
        <v>32</v>
      </c>
      <c r="E17" s="32">
        <v>45.68</v>
      </c>
      <c r="F17" s="32">
        <v>0.7</v>
      </c>
      <c r="G17" s="33" cm="1">
        <f t="array" ref="G17">ROUNDUP(E17/F17,0)</f>
        <v>66</v>
      </c>
      <c r="H17" s="33" cm="1">
        <f t="array" ref="H17">ROUNDUP(G17/Q17,0)</f>
        <v>14</v>
      </c>
      <c r="I17" t="s" s="31">
        <v>23</v>
      </c>
      <c r="J17" s="9">
        <v>3</v>
      </c>
      <c r="K17" s="9">
        <v>18</v>
      </c>
      <c r="L17" s="9" cm="1">
        <f t="array" ref="L17">N17/J17</f>
        <v>7</v>
      </c>
      <c r="M17" s="10">
        <v>1.2</v>
      </c>
      <c r="N17" s="11" cm="1">
        <f t="array" ref="N17">ROUND(M17*K17/J17,0)*J17</f>
        <v>21</v>
      </c>
      <c r="O17" s="34"/>
      <c r="P17" s="34"/>
      <c r="Q17" s="33">
        <v>5</v>
      </c>
      <c r="R17" s="13">
        <v>0.5</v>
      </c>
      <c r="S17" s="13" cm="1">
        <f t="array" ref="S17">ROUNDUP(Q17+R17,0)</f>
        <v>6</v>
      </c>
      <c r="T17" t="s" s="23">
        <v>33</v>
      </c>
    </row>
    <row r="18" ht="16" customHeight="1">
      <c r="A18" s="30"/>
      <c r="B18" s="30"/>
      <c r="C18" t="s" s="6">
        <v>48</v>
      </c>
      <c r="D18" t="s" s="6">
        <v>22</v>
      </c>
      <c r="E18" s="7">
        <v>4564.8</v>
      </c>
      <c r="F18" s="7">
        <v>9</v>
      </c>
      <c r="G18" s="8" cm="1">
        <f t="array" ref="G18">ROUNDUP(E18/F18,0)</f>
        <v>508</v>
      </c>
      <c r="H18" s="8" cm="1">
        <f t="array" ref="H18">ROUNDUP(G18/Q18,0)</f>
        <v>27</v>
      </c>
      <c r="I18" t="s" s="6">
        <v>23</v>
      </c>
      <c r="J18" s="9">
        <v>2</v>
      </c>
      <c r="K18" s="9">
        <v>10</v>
      </c>
      <c r="L18" s="9" cm="1">
        <f t="array" ref="L18">N18/J18</f>
        <v>6</v>
      </c>
      <c r="M18" s="10">
        <v>1.2</v>
      </c>
      <c r="N18" s="11" cm="1">
        <f t="array" ref="N18">ROUND(M18*K18/J18,0)*J18</f>
        <v>12</v>
      </c>
      <c r="O18" s="12"/>
      <c r="P18" s="12"/>
      <c r="Q18" s="8">
        <v>19</v>
      </c>
      <c r="R18" s="13">
        <v>0.5</v>
      </c>
      <c r="S18" s="13" cm="1">
        <f t="array" ref="S18">ROUNDUP(Q18+R18,0)</f>
        <v>20</v>
      </c>
      <c r="T18" t="s" s="23">
        <v>33</v>
      </c>
    </row>
    <row r="19" ht="16" customHeight="1">
      <c r="A19" s="30"/>
      <c r="B19" s="30"/>
      <c r="C19" t="s" s="31">
        <v>42</v>
      </c>
      <c r="D19" t="s" s="31">
        <v>32</v>
      </c>
      <c r="E19" s="32">
        <v>45.68</v>
      </c>
      <c r="F19" s="32">
        <v>0.7</v>
      </c>
      <c r="G19" s="33" cm="1">
        <f t="array" ref="G19">ROUNDUP(E19/F19,0)</f>
        <v>66</v>
      </c>
      <c r="H19" s="33" cm="1">
        <f t="array" ref="H19">ROUNDUP(G19/Q19,0)</f>
        <v>14</v>
      </c>
      <c r="I19" t="s" s="31">
        <v>23</v>
      </c>
      <c r="J19" s="9">
        <v>3</v>
      </c>
      <c r="K19" s="9">
        <v>18</v>
      </c>
      <c r="L19" s="9" cm="1">
        <f t="array" ref="L19">N19/J19</f>
        <v>7</v>
      </c>
      <c r="M19" s="10">
        <v>1.2</v>
      </c>
      <c r="N19" s="11" cm="1">
        <f t="array" ref="N19">ROUND(M19*K19/J19,0)*J19</f>
        <v>21</v>
      </c>
      <c r="O19" s="34"/>
      <c r="P19" s="34"/>
      <c r="Q19" s="33">
        <v>5</v>
      </c>
      <c r="R19" s="13">
        <v>0.5</v>
      </c>
      <c r="S19" s="13" cm="1">
        <f t="array" ref="S19">ROUNDUP(Q19+R19,0)</f>
        <v>6</v>
      </c>
      <c r="T19" t="s" s="23">
        <v>33</v>
      </c>
    </row>
    <row r="20" ht="16" customHeight="1">
      <c r="A20" s="30"/>
      <c r="B20" s="30"/>
      <c r="C20" t="s" s="6">
        <v>43</v>
      </c>
      <c r="D20" t="s" s="6">
        <v>22</v>
      </c>
      <c r="E20" s="7">
        <v>253.6</v>
      </c>
      <c r="F20" s="7">
        <v>10</v>
      </c>
      <c r="G20" s="8" cm="1">
        <f t="array" ref="G20">ROUNDUP(E20/F20,0)</f>
        <v>26</v>
      </c>
      <c r="H20" s="8" cm="1">
        <f t="array" ref="H20">ROUNDUP(G20/Q20,0)</f>
        <v>13</v>
      </c>
      <c r="I20" t="s" s="6">
        <v>23</v>
      </c>
      <c r="J20" s="9">
        <v>2</v>
      </c>
      <c r="K20" s="9">
        <v>24</v>
      </c>
      <c r="L20" s="9" cm="1">
        <f t="array" ref="L20">N20/J20</f>
        <v>14</v>
      </c>
      <c r="M20" s="10">
        <v>1.2</v>
      </c>
      <c r="N20" s="11" cm="1">
        <f t="array" ref="N20">ROUND(M20*K20/J20,0)*J20</f>
        <v>28</v>
      </c>
      <c r="O20" s="12"/>
      <c r="P20" s="12"/>
      <c r="Q20" s="8">
        <v>2</v>
      </c>
      <c r="R20" s="13">
        <v>0.5</v>
      </c>
      <c r="S20" s="13" cm="1">
        <f t="array" ref="S20">ROUNDUP(Q20+R20,0)</f>
        <v>3</v>
      </c>
      <c r="T20" t="s" s="23">
        <v>33</v>
      </c>
    </row>
    <row r="21" ht="16" customHeight="1">
      <c r="A21" s="30"/>
      <c r="B21" s="30"/>
      <c r="C21" t="s" s="16">
        <v>44</v>
      </c>
      <c r="D21" t="s" s="16">
        <v>25</v>
      </c>
      <c r="E21" s="17">
        <v>748.2</v>
      </c>
      <c r="F21" s="17">
        <v>130</v>
      </c>
      <c r="G21" s="18" cm="1">
        <f t="array" ref="G21">H21*Q21</f>
        <v>10</v>
      </c>
      <c r="H21" s="18" cm="1">
        <f t="array" ref="H21">P21*5</f>
        <v>10</v>
      </c>
      <c r="I21" t="s" s="16">
        <v>45</v>
      </c>
      <c r="J21" s="19"/>
      <c r="K21" s="19"/>
      <c r="L21" s="19"/>
      <c r="M21" s="20">
        <v>1</v>
      </c>
      <c r="N21" s="21"/>
      <c r="O21" t="s" s="16">
        <v>27</v>
      </c>
      <c r="P21" s="22" cm="1">
        <f t="array" ref="P21">CEILING(MIN(2,E21/'타설 '!B4),1)</f>
        <v>2</v>
      </c>
      <c r="Q21" s="18" cm="1">
        <f t="array" ref="Q21">MAX(1,IF(E21/(F21*H21)-INT(E21/(F21*H21))&lt;0.5,ROUNDDOWN(E21/(F21*H21),0),ROUNDUP(E21/(F21*H21),0)))</f>
        <v>1</v>
      </c>
      <c r="R21" s="13">
        <v>3</v>
      </c>
      <c r="S21" s="13" cm="1">
        <f t="array" ref="S21">ROUNDUP(Q21+R21,0)</f>
        <v>4</v>
      </c>
      <c r="T21" t="s" s="23">
        <v>28</v>
      </c>
    </row>
    <row r="22" ht="16" customHeight="1">
      <c r="A22" s="30"/>
      <c r="B22" s="30"/>
      <c r="C22" t="s" s="31">
        <v>39</v>
      </c>
      <c r="D22" t="s" s="31">
        <v>32</v>
      </c>
      <c r="E22" s="32">
        <v>30.45</v>
      </c>
      <c r="F22" s="32">
        <v>0.7</v>
      </c>
      <c r="G22" s="33" cm="1">
        <f t="array" ref="G22">ROUNDUP(E22/F22,0)</f>
        <v>44</v>
      </c>
      <c r="H22" s="33" cm="1">
        <f t="array" ref="H22">ROUNDUP(G22/Q22,0)</f>
        <v>15</v>
      </c>
      <c r="I22" t="s" s="31">
        <v>23</v>
      </c>
      <c r="J22" s="9">
        <v>3</v>
      </c>
      <c r="K22" s="9">
        <v>18</v>
      </c>
      <c r="L22" s="9" cm="1">
        <f t="array" ref="L22">N22/J22</f>
        <v>7</v>
      </c>
      <c r="M22" s="10">
        <v>1.2</v>
      </c>
      <c r="N22" s="11" cm="1">
        <f t="array" ref="N22">ROUND(M22*K22/J22,0)*J22</f>
        <v>21</v>
      </c>
      <c r="O22" s="34"/>
      <c r="P22" s="34"/>
      <c r="Q22" s="33">
        <v>3</v>
      </c>
      <c r="R22" s="13">
        <v>0.5</v>
      </c>
      <c r="S22" s="13" cm="1">
        <f t="array" ref="S22">ROUNDUP(Q22+R22,0)</f>
        <v>4</v>
      </c>
      <c r="T22" t="s" s="23">
        <v>33</v>
      </c>
    </row>
    <row r="23" ht="16" customHeight="1">
      <c r="A23" s="30"/>
      <c r="B23" s="30"/>
      <c r="C23" t="s" s="6">
        <v>49</v>
      </c>
      <c r="D23" t="s" s="6">
        <v>22</v>
      </c>
      <c r="E23" s="7">
        <v>253.6</v>
      </c>
      <c r="F23" s="7">
        <v>10</v>
      </c>
      <c r="G23" s="8" cm="1">
        <f t="array" ref="G23">ROUNDUP(E23/F23,0)</f>
        <v>26</v>
      </c>
      <c r="H23" s="8" cm="1">
        <f t="array" ref="H23">ROUNDUP(G23/Q23,0)</f>
        <v>13</v>
      </c>
      <c r="I23" t="s" s="6">
        <v>23</v>
      </c>
      <c r="J23" s="9">
        <v>2</v>
      </c>
      <c r="K23" s="9">
        <v>24</v>
      </c>
      <c r="L23" s="9" cm="1">
        <f t="array" ref="L23">N23/J23</f>
        <v>14</v>
      </c>
      <c r="M23" s="10">
        <v>1.2</v>
      </c>
      <c r="N23" s="11" cm="1">
        <f t="array" ref="N23">ROUND(M23*K23/J23,0)*J23</f>
        <v>28</v>
      </c>
      <c r="O23" s="12"/>
      <c r="P23" s="12"/>
      <c r="Q23" s="8">
        <v>2</v>
      </c>
      <c r="R23" s="13">
        <v>0.5</v>
      </c>
      <c r="S23" s="13" cm="1">
        <f t="array" ref="S23">ROUNDUP(Q23+R23,0)</f>
        <v>3</v>
      </c>
      <c r="T23" t="s" s="23">
        <v>33</v>
      </c>
    </row>
    <row r="24" ht="16" customHeight="1">
      <c r="A24" s="30"/>
      <c r="B24" s="30"/>
      <c r="C24" t="s" s="31">
        <v>42</v>
      </c>
      <c r="D24" t="s" s="31">
        <v>32</v>
      </c>
      <c r="E24" s="32">
        <v>30.45</v>
      </c>
      <c r="F24" s="32">
        <v>0.7</v>
      </c>
      <c r="G24" s="33" cm="1">
        <f t="array" ref="G24">ROUNDUP(E24/F24,0)</f>
        <v>44</v>
      </c>
      <c r="H24" s="33" cm="1">
        <f t="array" ref="H24">ROUNDUP(G24/Q24,0)</f>
        <v>15</v>
      </c>
      <c r="I24" t="s" s="31">
        <v>23</v>
      </c>
      <c r="J24" s="9">
        <v>3</v>
      </c>
      <c r="K24" s="9">
        <v>18</v>
      </c>
      <c r="L24" s="9" cm="1">
        <f t="array" ref="L24">N24/J24</f>
        <v>7</v>
      </c>
      <c r="M24" s="10">
        <v>1.2</v>
      </c>
      <c r="N24" s="11" cm="1">
        <f t="array" ref="N24">ROUND(M24*K24/J24,0)*J24</f>
        <v>21</v>
      </c>
      <c r="O24" s="34"/>
      <c r="P24" s="34"/>
      <c r="Q24" s="33">
        <v>3</v>
      </c>
      <c r="R24" s="13">
        <v>0.5</v>
      </c>
      <c r="S24" s="13" cm="1">
        <f t="array" ref="S24">ROUNDUP(Q24+R24,0)</f>
        <v>4</v>
      </c>
      <c r="T24" t="s" s="23">
        <v>33</v>
      </c>
    </row>
    <row r="25" ht="16" customHeight="1">
      <c r="A25" s="30"/>
      <c r="B25" s="30"/>
      <c r="C25" t="s" s="16">
        <v>50</v>
      </c>
      <c r="D25" t="s" s="16">
        <v>25</v>
      </c>
      <c r="E25" s="17">
        <v>498.8</v>
      </c>
      <c r="F25" s="17">
        <v>130</v>
      </c>
      <c r="G25" s="18" cm="1">
        <f t="array" ref="G25">H25*Q25</f>
        <v>5</v>
      </c>
      <c r="H25" s="18" cm="1">
        <f t="array" ref="H25">P25*5</f>
        <v>5</v>
      </c>
      <c r="I25" t="s" s="16">
        <v>45</v>
      </c>
      <c r="J25" s="19"/>
      <c r="K25" s="19"/>
      <c r="L25" s="19"/>
      <c r="M25" s="20">
        <v>1</v>
      </c>
      <c r="N25" s="21"/>
      <c r="O25" t="s" s="16">
        <v>27</v>
      </c>
      <c r="P25" s="22" cm="1">
        <f t="array" ref="P25">CEILING(MIN(2,E25/'타설 '!B4),1)</f>
        <v>1</v>
      </c>
      <c r="Q25" s="18" cm="1">
        <f t="array" ref="Q25">MAX(1,IF(E25/(F25*H25)-INT(E25/(F25*H25))&lt;0.5,ROUNDDOWN(E25/(F25*H25),0),ROUNDUP(E25/(F25*H25),0)))</f>
        <v>1</v>
      </c>
      <c r="R25" s="13">
        <v>3</v>
      </c>
      <c r="S25" s="13" cm="1">
        <f t="array" ref="S25">ROUNDUP(Q25+R25,0)</f>
        <v>4</v>
      </c>
      <c r="T25" t="s" s="23">
        <v>28</v>
      </c>
    </row>
    <row r="26" ht="16" customHeight="1">
      <c r="A26" s="15"/>
      <c r="B26" s="15"/>
      <c r="C26" t="s" s="42">
        <v>46</v>
      </c>
      <c r="D26" t="s" s="42">
        <v>22</v>
      </c>
      <c r="E26" s="43" cm="1">
        <f t="array" ref="E26">E18+E20+E23</f>
        <v>5072</v>
      </c>
      <c r="F26" s="43">
        <v>50</v>
      </c>
      <c r="G26" s="44" cm="1">
        <f t="array" ref="G26">ROUNDUP(E26/F26,0)</f>
        <v>102</v>
      </c>
      <c r="H26" s="44" cm="1">
        <f t="array" ref="H26">ROUNDUP(G26/Q26,0)</f>
        <v>5</v>
      </c>
      <c r="I26" t="s" s="42">
        <v>23</v>
      </c>
      <c r="J26" s="9">
        <v>2</v>
      </c>
      <c r="K26" s="9">
        <v>26</v>
      </c>
      <c r="L26" s="9" cm="1">
        <f t="array" ref="L26">N26/J26</f>
        <v>16</v>
      </c>
      <c r="M26" s="10">
        <v>1.2</v>
      </c>
      <c r="N26" s="11" cm="1">
        <f t="array" ref="N26">ROUND(M26*K26/J26,0)*J26</f>
        <v>32</v>
      </c>
      <c r="O26" s="45"/>
      <c r="P26" s="45"/>
      <c r="Q26" s="44">
        <v>22</v>
      </c>
      <c r="R26" s="13"/>
      <c r="S26" s="13" cm="1">
        <f t="array" ref="S26">ROUNDUP(Q26+R26,0)</f>
        <v>22</v>
      </c>
      <c r="T26" s="14"/>
    </row>
  </sheetData>
  <mergeCells count="8">
    <mergeCell ref="A16:A26"/>
    <mergeCell ref="B16:B26"/>
    <mergeCell ref="A2:A3"/>
    <mergeCell ref="B2:B3"/>
    <mergeCell ref="A4:A7"/>
    <mergeCell ref="B4:B7"/>
    <mergeCell ref="A9:A15"/>
    <mergeCell ref="B9:B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T22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64" customWidth="1"/>
    <col min="2" max="2" width="4.17188" style="64" customWidth="1"/>
    <col min="3" max="3" width="15.6719" style="64" customWidth="1"/>
    <col min="4" max="4" width="4.17188" style="64" customWidth="1"/>
    <col min="5" max="5" width="7.5" style="64" customWidth="1"/>
    <col min="6" max="7" width="9.35156" style="64" customWidth="1"/>
    <col min="8" max="8" width="10.3516" style="64" customWidth="1"/>
    <col min="9" max="9" width="21.1719" style="64" customWidth="1"/>
    <col min="10" max="10" width="12.5" style="64" customWidth="1"/>
    <col min="11" max="11" width="7.85156" style="64" customWidth="1"/>
    <col min="12" max="12" width="9.35156" style="64" customWidth="1"/>
    <col min="13" max="13" width="12.5" style="64" customWidth="1"/>
    <col min="14" max="14" width="10.5" style="64" customWidth="1"/>
    <col min="15" max="15" width="12.5" style="64" customWidth="1"/>
    <col min="16" max="16" width="7.35156" style="64" customWidth="1"/>
    <col min="17" max="17" width="7.85156" style="64" customWidth="1"/>
    <col min="18" max="18" width="5.67188" style="64" customWidth="1"/>
    <col min="19" max="19" width="8.85156" style="64" customWidth="1"/>
    <col min="20" max="20" width="10.5" style="64" customWidth="1"/>
    <col min="21" max="16384" width="8.85156" style="64" customWidth="1"/>
  </cols>
  <sheetData>
    <row r="1" ht="16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2">
        <v>14</v>
      </c>
      <c r="P1" t="s" s="2">
        <v>15</v>
      </c>
      <c r="Q1" t="s" s="3">
        <v>16</v>
      </c>
      <c r="R1" t="s" s="2">
        <v>17</v>
      </c>
      <c r="S1" t="s" s="3">
        <v>18</v>
      </c>
      <c r="T1" t="s" s="2">
        <v>19</v>
      </c>
    </row>
    <row r="2" ht="16" customHeight="1">
      <c r="A2" t="s" s="4">
        <v>20</v>
      </c>
      <c r="B2" s="5"/>
      <c r="C2" t="s" s="6">
        <v>21</v>
      </c>
      <c r="D2" t="s" s="6">
        <v>22</v>
      </c>
      <c r="E2" s="7">
        <v>40</v>
      </c>
      <c r="F2" s="7">
        <v>10</v>
      </c>
      <c r="G2" s="8" cm="1">
        <f t="array" ref="G2">E2/F2</f>
        <v>4</v>
      </c>
      <c r="H2" s="8" cm="1">
        <f t="array" ref="H2">ROUNDUP(G2/Q2,0)</f>
        <v>4</v>
      </c>
      <c r="I2" t="s" s="6">
        <v>23</v>
      </c>
      <c r="J2" s="9">
        <v>2</v>
      </c>
      <c r="K2" s="9">
        <v>6</v>
      </c>
      <c r="L2" s="9" cm="1">
        <f t="array" ref="L2">N2/J2</f>
        <v>3</v>
      </c>
      <c r="M2" s="10" cm="1">
        <f t="array" ref="M2">1</f>
        <v>1</v>
      </c>
      <c r="N2" s="11" cm="1">
        <f t="array" ref="N2">ROUND(M2*K2/J2,0)*J2</f>
        <v>6</v>
      </c>
      <c r="O2" s="12"/>
      <c r="P2" s="12"/>
      <c r="Q2" s="8">
        <v>1</v>
      </c>
      <c r="R2" s="13"/>
      <c r="S2" s="13" cm="1">
        <f t="array" ref="S2">ROUNDUP(Q2+R2,0)</f>
        <v>1</v>
      </c>
      <c r="T2" s="14"/>
    </row>
    <row r="3" ht="16" customHeight="1">
      <c r="A3" s="15"/>
      <c r="B3" s="15"/>
      <c r="C3" t="s" s="16">
        <v>24</v>
      </c>
      <c r="D3" t="s" s="16">
        <v>25</v>
      </c>
      <c r="E3" s="17">
        <v>228</v>
      </c>
      <c r="F3" s="17">
        <v>130</v>
      </c>
      <c r="G3" s="18" cm="1">
        <f t="array" ref="G3">H3*Q3</f>
        <v>5</v>
      </c>
      <c r="H3" s="18" cm="1">
        <f t="array" ref="H3">P3*5</f>
        <v>5</v>
      </c>
      <c r="I3" t="s" s="16">
        <v>26</v>
      </c>
      <c r="J3" s="19"/>
      <c r="K3" s="19"/>
      <c r="L3" s="19"/>
      <c r="M3" s="20">
        <v>1</v>
      </c>
      <c r="N3" s="21"/>
      <c r="O3" t="s" s="16">
        <v>27</v>
      </c>
      <c r="P3" s="22" cm="1">
        <f t="array" ref="P3">CEILING(MIN(2,E3/'타설 '!B2),1)</f>
        <v>1</v>
      </c>
      <c r="Q3" s="18" cm="1">
        <f t="array" ref="Q3">MAX(1,IF(E3/(F3*H3)-INT(E3/(F3*H3))&lt;0.5,ROUNDDOWN(E3/(F3*H3),0),ROUNDUP(E3/(F3*H3),0)))</f>
        <v>1</v>
      </c>
      <c r="R3" s="13">
        <v>1</v>
      </c>
      <c r="S3" s="13" cm="1">
        <f t="array" ref="S3">ROUNDUP(Q3+R3,0)</f>
        <v>2</v>
      </c>
      <c r="T3" t="s" s="23">
        <v>28</v>
      </c>
    </row>
    <row r="4" ht="16" customHeight="1">
      <c r="A4" t="s" s="4">
        <v>29</v>
      </c>
      <c r="B4" s="5"/>
      <c r="C4" t="s" s="24">
        <v>30</v>
      </c>
      <c r="D4" t="s" s="24">
        <v>22</v>
      </c>
      <c r="E4" s="25"/>
      <c r="F4" s="25"/>
      <c r="G4" s="26"/>
      <c r="H4" s="26">
        <v>3</v>
      </c>
      <c r="I4" t="s" s="24">
        <v>23</v>
      </c>
      <c r="J4" s="27">
        <v>3</v>
      </c>
      <c r="K4" s="27">
        <v>6</v>
      </c>
      <c r="L4" s="27" cm="1">
        <f t="array" ref="L4">N4/J4</f>
        <v>2</v>
      </c>
      <c r="M4" s="28">
        <v>1</v>
      </c>
      <c r="N4" s="11" cm="1">
        <f t="array" ref="N4">ROUND(M4*K4/J4,0)*J4</f>
        <v>6</v>
      </c>
      <c r="O4" s="29"/>
      <c r="P4" s="29"/>
      <c r="Q4" s="26">
        <v>1</v>
      </c>
      <c r="R4" s="13"/>
      <c r="S4" s="13" cm="1">
        <f t="array" ref="S4">ROUNDUP(Q4+R4,0)</f>
        <v>1</v>
      </c>
      <c r="T4" s="14"/>
    </row>
    <row r="5" ht="16" customHeight="1">
      <c r="A5" s="30"/>
      <c r="B5" s="30"/>
      <c r="C5" t="s" s="31">
        <v>31</v>
      </c>
      <c r="D5" t="s" s="31">
        <v>32</v>
      </c>
      <c r="E5" s="32">
        <v>110.62</v>
      </c>
      <c r="F5" s="32">
        <v>1.1</v>
      </c>
      <c r="G5" s="33" cm="1">
        <f t="array" ref="G5">ROUNDUP(E5/F5,0)</f>
        <v>101</v>
      </c>
      <c r="H5" s="33" cm="1">
        <f t="array" ref="H5">ROUNDUP(G5/Q5,0)</f>
        <v>17</v>
      </c>
      <c r="I5" t="s" s="31">
        <v>23</v>
      </c>
      <c r="J5" s="9">
        <v>4</v>
      </c>
      <c r="K5" s="9">
        <v>24</v>
      </c>
      <c r="L5" s="9" cm="1">
        <f t="array" ref="L5">N5/J5</f>
        <v>8</v>
      </c>
      <c r="M5" s="10">
        <v>1.3</v>
      </c>
      <c r="N5" s="11" cm="1">
        <f t="array" ref="N5">ROUND(M5*K5/J5,0)*J5</f>
        <v>32</v>
      </c>
      <c r="O5" s="34"/>
      <c r="P5" s="34"/>
      <c r="Q5" s="33">
        <v>6</v>
      </c>
      <c r="R5" s="13">
        <v>0.5</v>
      </c>
      <c r="S5" s="13" cm="1">
        <f t="array" ref="S5">ROUNDUP(Q5+R5,0)</f>
        <v>7</v>
      </c>
      <c r="T5" t="s" s="23">
        <v>33</v>
      </c>
    </row>
    <row r="6" ht="16" customHeight="1">
      <c r="A6" s="30"/>
      <c r="B6" s="30"/>
      <c r="C6" t="s" s="6">
        <v>34</v>
      </c>
      <c r="D6" t="s" s="6">
        <v>22</v>
      </c>
      <c r="E6" s="7">
        <v>120</v>
      </c>
      <c r="F6" s="7">
        <v>10</v>
      </c>
      <c r="G6" s="8" cm="1">
        <f t="array" ref="G6">ROUNDUP(E6/F6,0)</f>
        <v>12</v>
      </c>
      <c r="H6" s="8" cm="1">
        <f t="array" ref="H6">ROUNDUP(G6/Q6,0)</f>
        <v>6</v>
      </c>
      <c r="I6" t="s" s="6">
        <v>23</v>
      </c>
      <c r="J6" s="9">
        <v>3</v>
      </c>
      <c r="K6" s="9">
        <v>6</v>
      </c>
      <c r="L6" s="9" cm="1">
        <f t="array" ref="L6">N6/J6</f>
        <v>2</v>
      </c>
      <c r="M6" s="10">
        <v>1</v>
      </c>
      <c r="N6" s="11" cm="1">
        <f t="array" ref="N6">ROUND(M6*K6/J6,0)*J6</f>
        <v>6</v>
      </c>
      <c r="O6" s="12"/>
      <c r="P6" s="12"/>
      <c r="Q6" s="8">
        <v>2</v>
      </c>
      <c r="R6" s="13">
        <v>0.5</v>
      </c>
      <c r="S6" s="13" cm="1">
        <f t="array" ref="S6">ROUNDUP(Q6+R6,0)</f>
        <v>3</v>
      </c>
      <c r="T6" t="s" s="23">
        <v>33</v>
      </c>
    </row>
    <row r="7" ht="16" customHeight="1">
      <c r="A7" s="15"/>
      <c r="B7" s="15"/>
      <c r="C7" t="s" s="16">
        <v>35</v>
      </c>
      <c r="D7" t="s" s="16">
        <v>25</v>
      </c>
      <c r="E7" s="17">
        <v>1643</v>
      </c>
      <c r="F7" s="17">
        <v>130</v>
      </c>
      <c r="G7" s="18" cm="1">
        <f t="array" ref="G7">H7*Q7</f>
        <v>10</v>
      </c>
      <c r="H7" s="18" cm="1">
        <f t="array" ref="H7">P7*5</f>
        <v>10</v>
      </c>
      <c r="I7" t="s" s="16">
        <v>36</v>
      </c>
      <c r="J7" s="19"/>
      <c r="K7" s="19"/>
      <c r="L7" s="19"/>
      <c r="M7" s="20">
        <v>1</v>
      </c>
      <c r="N7" s="21"/>
      <c r="O7" t="s" s="16">
        <v>27</v>
      </c>
      <c r="P7" s="22" cm="1">
        <f t="array" ref="P7">CEILING(MIN(2,E7/'타설 '!B3),1)</f>
        <v>2</v>
      </c>
      <c r="Q7" s="18" cm="1">
        <f t="array" ref="Q7">MAX(1,IF(E7/(F7*H7)-INT(E7/(F7*H7))&lt;0.5,ROUNDDOWN(E7/(F7*H7),0),ROUNDUP(E7/(F7*H7),0)))</f>
        <v>1</v>
      </c>
      <c r="R7" s="13">
        <v>3</v>
      </c>
      <c r="S7" s="13" cm="1">
        <f t="array" ref="S7">ROUNDUP(Q7+R7,0)</f>
        <v>4</v>
      </c>
      <c r="T7" t="s" s="23">
        <v>28</v>
      </c>
    </row>
    <row r="8" ht="16" customHeight="1">
      <c r="A8" s="35"/>
      <c r="B8" s="35"/>
      <c r="C8" s="35"/>
      <c r="D8" s="35"/>
      <c r="E8" s="36"/>
      <c r="F8" s="36"/>
      <c r="G8" s="37"/>
      <c r="H8" s="35"/>
      <c r="I8" s="35"/>
      <c r="J8" s="38"/>
      <c r="K8" s="38"/>
      <c r="L8" s="38"/>
      <c r="M8" s="39"/>
      <c r="N8" s="38"/>
      <c r="O8" s="35"/>
      <c r="P8" s="35"/>
      <c r="Q8" s="40"/>
      <c r="R8" s="40"/>
      <c r="S8" s="40"/>
      <c r="T8" s="35"/>
    </row>
    <row r="9" ht="16" customHeight="1">
      <c r="A9" t="s" s="4">
        <v>37</v>
      </c>
      <c r="B9" t="s" s="4">
        <v>38</v>
      </c>
      <c r="C9" t="s" s="24">
        <v>30</v>
      </c>
      <c r="D9" t="s" s="24">
        <v>22</v>
      </c>
      <c r="E9" s="25"/>
      <c r="F9" s="25"/>
      <c r="G9" s="26"/>
      <c r="H9" s="26">
        <v>3</v>
      </c>
      <c r="I9" t="s" s="24">
        <v>23</v>
      </c>
      <c r="J9" s="27">
        <v>3</v>
      </c>
      <c r="K9" s="27">
        <v>6</v>
      </c>
      <c r="L9" s="27" cm="1">
        <f t="array" ref="L9">N9/J9</f>
        <v>2</v>
      </c>
      <c r="M9" s="28">
        <v>1</v>
      </c>
      <c r="N9" s="11" cm="1">
        <f t="array" ref="N9">ROUND(M9*K9/J9,0)*J9</f>
        <v>6</v>
      </c>
      <c r="O9" s="29"/>
      <c r="P9" s="29"/>
      <c r="Q9" s="41">
        <v>1</v>
      </c>
      <c r="R9" s="13"/>
      <c r="S9" s="13" cm="1">
        <f t="array" ref="S9">ROUNDUP(Q9+R9,0)</f>
        <v>1</v>
      </c>
      <c r="T9" s="14"/>
    </row>
    <row r="10" ht="16" customHeight="1">
      <c r="A10" s="30"/>
      <c r="B10" s="30"/>
      <c r="C10" t="s" s="31">
        <v>39</v>
      </c>
      <c r="D10" t="s" s="31">
        <v>32</v>
      </c>
      <c r="E10" s="32">
        <v>53.1</v>
      </c>
      <c r="F10" s="32">
        <v>0.8</v>
      </c>
      <c r="G10" s="33" cm="1">
        <f t="array" ref="G10">ROUNDUP(E10/F10,0)</f>
        <v>67</v>
      </c>
      <c r="H10" s="33" cm="1">
        <f t="array" ref="H10">ROUNDUP(G10/Q10,0)</f>
        <v>14</v>
      </c>
      <c r="I10" t="s" s="31">
        <v>23</v>
      </c>
      <c r="J10" s="9">
        <v>3</v>
      </c>
      <c r="K10" s="9">
        <v>18</v>
      </c>
      <c r="L10" s="9" cm="1">
        <f t="array" ref="L10">N10/J10</f>
        <v>7</v>
      </c>
      <c r="M10" s="10">
        <v>1.2</v>
      </c>
      <c r="N10" s="11" cm="1">
        <f t="array" ref="N10">ROUND(M10*K10/J10,0)*J10</f>
        <v>21</v>
      </c>
      <c r="O10" s="34"/>
      <c r="P10" s="34"/>
      <c r="Q10" s="33">
        <v>5</v>
      </c>
      <c r="R10" s="13">
        <v>0.5</v>
      </c>
      <c r="S10" s="13" cm="1">
        <f t="array" ref="S10">ROUNDUP(Q10+R10,0)</f>
        <v>6</v>
      </c>
      <c r="T10" t="s" s="23">
        <v>33</v>
      </c>
    </row>
    <row r="11" ht="16" customHeight="1">
      <c r="A11" s="30"/>
      <c r="B11" s="30"/>
      <c r="C11" t="s" s="6">
        <v>63</v>
      </c>
      <c r="D11" t="s" s="6">
        <v>22</v>
      </c>
      <c r="E11" s="7">
        <v>4612.25</v>
      </c>
      <c r="F11" s="7">
        <v>11</v>
      </c>
      <c r="G11" s="8" cm="1">
        <f t="array" ref="G11">ROUNDUP(E11/F11,0)</f>
        <v>420</v>
      </c>
      <c r="H11" s="8" cm="1">
        <f t="array" ref="H11">ROUNDUP(G11/Q11,0)</f>
        <v>25</v>
      </c>
      <c r="I11" t="s" s="6">
        <v>23</v>
      </c>
      <c r="J11" s="9">
        <v>2</v>
      </c>
      <c r="K11" s="9">
        <v>16</v>
      </c>
      <c r="L11" s="9" cm="1">
        <f t="array" ref="L11">N11/J11</f>
        <v>10</v>
      </c>
      <c r="M11" s="10">
        <v>1.2</v>
      </c>
      <c r="N11" s="11" cm="1">
        <f t="array" ref="N11">ROUND(M11*K11/J11,0)*J11</f>
        <v>20</v>
      </c>
      <c r="O11" s="12"/>
      <c r="P11" s="12"/>
      <c r="Q11" s="8">
        <v>17</v>
      </c>
      <c r="R11" s="13">
        <v>1</v>
      </c>
      <c r="S11" s="13" cm="1">
        <f t="array" ref="S11">ROUNDUP(Q11+R11,0)</f>
        <v>18</v>
      </c>
      <c r="T11" t="s" s="23">
        <v>41</v>
      </c>
    </row>
    <row r="12" ht="16" customHeight="1">
      <c r="A12" s="30"/>
      <c r="B12" s="30"/>
      <c r="C12" t="s" s="31">
        <v>42</v>
      </c>
      <c r="D12" t="s" s="31">
        <v>32</v>
      </c>
      <c r="E12" s="32">
        <v>64.91</v>
      </c>
      <c r="F12" s="32">
        <v>0.8</v>
      </c>
      <c r="G12" s="33" cm="1">
        <f t="array" ref="G12">ROUNDUP(E12/F12,0)</f>
        <v>82</v>
      </c>
      <c r="H12" s="33" cm="1">
        <f t="array" ref="H12">ROUNDUP(G12/Q12,0)</f>
        <v>17</v>
      </c>
      <c r="I12" t="s" s="31">
        <v>23</v>
      </c>
      <c r="J12" s="9">
        <v>3</v>
      </c>
      <c r="K12" s="9">
        <v>18</v>
      </c>
      <c r="L12" s="9" cm="1">
        <f t="array" ref="L12">N12/J12</f>
        <v>7</v>
      </c>
      <c r="M12" s="10">
        <v>1.2</v>
      </c>
      <c r="N12" s="11" cm="1">
        <f t="array" ref="N12">ROUND(M12*K12/J12,0)*J12</f>
        <v>21</v>
      </c>
      <c r="O12" s="34"/>
      <c r="P12" s="34"/>
      <c r="Q12" s="33">
        <v>5</v>
      </c>
      <c r="R12" s="13">
        <v>0.5</v>
      </c>
      <c r="S12" s="13" cm="1">
        <f t="array" ref="S12">ROUNDUP(Q12+R12,0)</f>
        <v>6</v>
      </c>
      <c r="T12" t="s" s="23">
        <v>33</v>
      </c>
    </row>
    <row r="13" ht="16" customHeight="1">
      <c r="A13" s="30"/>
      <c r="B13" s="30"/>
      <c r="C13" t="s" s="6">
        <v>43</v>
      </c>
      <c r="D13" t="s" s="6">
        <v>22</v>
      </c>
      <c r="E13" s="7">
        <v>242.75</v>
      </c>
      <c r="F13" s="7">
        <v>11</v>
      </c>
      <c r="G13" s="8" cm="1">
        <f t="array" ref="G13">ROUNDUP(E13/F13,0)</f>
        <v>23</v>
      </c>
      <c r="H13" s="8" cm="1">
        <f t="array" ref="H13">ROUNDUP(G13/Q13,0)</f>
        <v>12</v>
      </c>
      <c r="I13" t="s" s="6">
        <v>23</v>
      </c>
      <c r="J13" s="9">
        <v>2</v>
      </c>
      <c r="K13" s="9">
        <v>12</v>
      </c>
      <c r="L13" s="9" cm="1">
        <f t="array" ref="L13">N13/J13</f>
        <v>7</v>
      </c>
      <c r="M13" s="10">
        <v>1.2</v>
      </c>
      <c r="N13" s="11" cm="1">
        <f t="array" ref="N13">ROUND(M13*K13/J13,0)*J13</f>
        <v>14</v>
      </c>
      <c r="O13" s="12"/>
      <c r="P13" s="12"/>
      <c r="Q13" s="8">
        <v>2</v>
      </c>
      <c r="R13" s="13">
        <v>0.5</v>
      </c>
      <c r="S13" s="13" cm="1">
        <f t="array" ref="S13">ROUNDUP(Q13+R13,0)</f>
        <v>3</v>
      </c>
      <c r="T13" t="s" s="23">
        <v>33</v>
      </c>
    </row>
    <row r="14" ht="16" customHeight="1">
      <c r="A14" s="30"/>
      <c r="B14" s="30"/>
      <c r="C14" t="s" s="16">
        <v>44</v>
      </c>
      <c r="D14" t="s" s="16">
        <v>25</v>
      </c>
      <c r="E14" s="17">
        <v>782</v>
      </c>
      <c r="F14" s="17">
        <v>130</v>
      </c>
      <c r="G14" s="18" cm="1">
        <f t="array" ref="G14">H14*Q14</f>
        <v>10</v>
      </c>
      <c r="H14" s="18" cm="1">
        <f t="array" ref="H14">P14*5</f>
        <v>10</v>
      </c>
      <c r="I14" t="s" s="16">
        <v>45</v>
      </c>
      <c r="J14" s="19"/>
      <c r="K14" s="19"/>
      <c r="L14" s="19"/>
      <c r="M14" s="20">
        <v>1</v>
      </c>
      <c r="N14" s="21"/>
      <c r="O14" t="s" s="16">
        <v>27</v>
      </c>
      <c r="P14" s="22" cm="1">
        <f t="array" ref="P14">CEILING(MIN(2,E14/'타설 '!B4),1)</f>
        <v>2</v>
      </c>
      <c r="Q14" s="18" cm="1">
        <f t="array" ref="Q14">MAX(1,IF(E14/(F14*H14)-INT(E14/(F14*H14))&lt;0.5,ROUNDDOWN(E14/(F14*H14),0),ROUNDUP(E14/(F14*H14),0)))</f>
        <v>1</v>
      </c>
      <c r="R14" s="13">
        <v>3</v>
      </c>
      <c r="S14" s="13" cm="1">
        <f t="array" ref="S14">ROUNDUP(Q14+R14,0)</f>
        <v>4</v>
      </c>
      <c r="T14" t="s" s="23">
        <v>28</v>
      </c>
    </row>
    <row r="15" ht="16" customHeight="1">
      <c r="A15" s="15"/>
      <c r="B15" s="15"/>
      <c r="C15" t="s" s="42">
        <v>46</v>
      </c>
      <c r="D15" t="s" s="42">
        <v>22</v>
      </c>
      <c r="E15" s="43" cm="1">
        <f t="array" ref="E15">E11+E13</f>
        <v>4855</v>
      </c>
      <c r="F15" s="43">
        <v>50</v>
      </c>
      <c r="G15" s="44" cm="1">
        <f t="array" ref="G15">ROUNDUP(E15/F15,0)</f>
        <v>98</v>
      </c>
      <c r="H15" s="44" cm="1">
        <f t="array" ref="H15">ROUNDUP(G15/Q15,0)</f>
        <v>7</v>
      </c>
      <c r="I15" t="s" s="42">
        <v>23</v>
      </c>
      <c r="J15" s="9">
        <v>2</v>
      </c>
      <c r="K15" s="9">
        <v>24</v>
      </c>
      <c r="L15" s="9" cm="1">
        <f t="array" ref="L15">N15/J15</f>
        <v>14</v>
      </c>
      <c r="M15" s="10">
        <v>1.2</v>
      </c>
      <c r="N15" s="11" cm="1">
        <f t="array" ref="N15">ROUND(M15*K15/J15,0)*J15</f>
        <v>28</v>
      </c>
      <c r="O15" s="45"/>
      <c r="P15" s="45"/>
      <c r="Q15" s="44">
        <v>16</v>
      </c>
      <c r="R15" s="13"/>
      <c r="S15" s="13" cm="1">
        <f t="array" ref="S15">ROUNDUP(Q15+R15,0)</f>
        <v>16</v>
      </c>
      <c r="T15" s="14"/>
    </row>
    <row r="16" ht="16" customHeight="1">
      <c r="A16" t="s" s="4">
        <v>37</v>
      </c>
      <c r="B16" t="s" s="4">
        <v>47</v>
      </c>
      <c r="C16" t="s" s="24">
        <v>30</v>
      </c>
      <c r="D16" t="s" s="24">
        <v>22</v>
      </c>
      <c r="E16" s="25"/>
      <c r="F16" s="25"/>
      <c r="G16" s="26"/>
      <c r="H16" s="26">
        <v>3</v>
      </c>
      <c r="I16" t="s" s="24">
        <v>23</v>
      </c>
      <c r="J16" s="27">
        <v>3</v>
      </c>
      <c r="K16" s="27">
        <v>6</v>
      </c>
      <c r="L16" s="27" cm="1">
        <f t="array" ref="L16">N16/J16</f>
        <v>2</v>
      </c>
      <c r="M16" s="28">
        <v>1</v>
      </c>
      <c r="N16" s="11" cm="1">
        <f t="array" ref="N16">ROUND(M16*K16/J16,0)*J16</f>
        <v>6</v>
      </c>
      <c r="O16" s="29"/>
      <c r="P16" s="29"/>
      <c r="Q16" s="26"/>
      <c r="R16" s="13">
        <v>1</v>
      </c>
      <c r="S16" s="13" cm="1">
        <f t="array" ref="S16">ROUNDUP(Q16+R16,0)</f>
        <v>1</v>
      </c>
      <c r="T16" s="14"/>
    </row>
    <row r="17" ht="16" customHeight="1">
      <c r="A17" s="30"/>
      <c r="B17" s="30"/>
      <c r="C17" t="s" s="31">
        <v>39</v>
      </c>
      <c r="D17" t="s" s="31">
        <v>32</v>
      </c>
      <c r="E17" s="32">
        <v>45.68</v>
      </c>
      <c r="F17" s="32">
        <v>0.7</v>
      </c>
      <c r="G17" s="33" cm="1">
        <f t="array" ref="G17">ROUNDUP(E17/F17,0)</f>
        <v>66</v>
      </c>
      <c r="H17" s="33" cm="1">
        <f t="array" ref="H17">ROUNDUP(G17/Q17,0)</f>
        <v>14</v>
      </c>
      <c r="I17" t="s" s="31">
        <v>23</v>
      </c>
      <c r="J17" s="9">
        <v>3</v>
      </c>
      <c r="K17" s="9">
        <v>18</v>
      </c>
      <c r="L17" s="9" cm="1">
        <f t="array" ref="L17">N17/J17</f>
        <v>7</v>
      </c>
      <c r="M17" s="10">
        <v>1.2</v>
      </c>
      <c r="N17" s="11" cm="1">
        <f t="array" ref="N17">ROUND(M17*K17/J17,0)*J17</f>
        <v>21</v>
      </c>
      <c r="O17" s="34"/>
      <c r="P17" s="34"/>
      <c r="Q17" s="33">
        <v>5</v>
      </c>
      <c r="R17" s="13">
        <v>0.5</v>
      </c>
      <c r="S17" s="13" cm="1">
        <f t="array" ref="S17">ROUNDUP(Q17+R17,0)</f>
        <v>6</v>
      </c>
      <c r="T17" t="s" s="23">
        <v>33</v>
      </c>
    </row>
    <row r="18" ht="16" customHeight="1">
      <c r="A18" s="30"/>
      <c r="B18" s="30"/>
      <c r="C18" t="s" s="6">
        <v>48</v>
      </c>
      <c r="D18" t="s" s="6">
        <v>22</v>
      </c>
      <c r="E18" s="7">
        <v>4564.8</v>
      </c>
      <c r="F18" s="7">
        <v>9</v>
      </c>
      <c r="G18" s="8" cm="1">
        <f t="array" ref="G18">ROUNDUP(E18/F18,0)</f>
        <v>508</v>
      </c>
      <c r="H18" s="8" cm="1">
        <f t="array" ref="H18">ROUNDUP(G18/Q18,0)</f>
        <v>27</v>
      </c>
      <c r="I18" t="s" s="6">
        <v>23</v>
      </c>
      <c r="J18" s="9">
        <v>2</v>
      </c>
      <c r="K18" s="9">
        <v>10</v>
      </c>
      <c r="L18" s="9" cm="1">
        <f t="array" ref="L18">N18/J18</f>
        <v>6</v>
      </c>
      <c r="M18" s="10">
        <v>1.2</v>
      </c>
      <c r="N18" s="11" cm="1">
        <f t="array" ref="N18">ROUND(M18*K18/J18,0)*J18</f>
        <v>12</v>
      </c>
      <c r="O18" s="12"/>
      <c r="P18" s="12"/>
      <c r="Q18" s="8">
        <v>19</v>
      </c>
      <c r="R18" s="13">
        <v>0.5</v>
      </c>
      <c r="S18" s="13" cm="1">
        <f t="array" ref="S18">ROUNDUP(Q18+R18,0)</f>
        <v>20</v>
      </c>
      <c r="T18" t="s" s="23">
        <v>33</v>
      </c>
    </row>
    <row r="19" ht="16" customHeight="1">
      <c r="A19" s="30"/>
      <c r="B19" s="30"/>
      <c r="C19" t="s" s="31">
        <v>42</v>
      </c>
      <c r="D19" t="s" s="31">
        <v>32</v>
      </c>
      <c r="E19" s="32">
        <v>45.68</v>
      </c>
      <c r="F19" s="32">
        <v>0.7</v>
      </c>
      <c r="G19" s="33" cm="1">
        <f t="array" ref="G19">ROUNDUP(E19/F19,0)</f>
        <v>66</v>
      </c>
      <c r="H19" s="33" cm="1">
        <f t="array" ref="H19">ROUNDUP(G19/Q19,0)</f>
        <v>14</v>
      </c>
      <c r="I19" t="s" s="31">
        <v>23</v>
      </c>
      <c r="J19" s="9">
        <v>3</v>
      </c>
      <c r="K19" s="9">
        <v>18</v>
      </c>
      <c r="L19" s="9" cm="1">
        <f t="array" ref="L19">N19/J19</f>
        <v>7</v>
      </c>
      <c r="M19" s="10">
        <v>1.2</v>
      </c>
      <c r="N19" s="11" cm="1">
        <f t="array" ref="N19">ROUND(M19*K19/J19,0)*J19</f>
        <v>21</v>
      </c>
      <c r="O19" s="34"/>
      <c r="P19" s="34"/>
      <c r="Q19" s="33">
        <v>5</v>
      </c>
      <c r="R19" s="13">
        <v>0.5</v>
      </c>
      <c r="S19" s="13" cm="1">
        <f t="array" ref="S19">ROUNDUP(Q19+R19,0)</f>
        <v>6</v>
      </c>
      <c r="T19" t="s" s="23">
        <v>33</v>
      </c>
    </row>
    <row r="20" ht="16" customHeight="1">
      <c r="A20" s="30"/>
      <c r="B20" s="30"/>
      <c r="C20" t="s" s="6">
        <v>43</v>
      </c>
      <c r="D20" t="s" s="6">
        <v>22</v>
      </c>
      <c r="E20" s="7">
        <v>253.6</v>
      </c>
      <c r="F20" s="7">
        <v>10</v>
      </c>
      <c r="G20" s="8" cm="1">
        <f t="array" ref="G20">ROUNDUP(E20/F20,0)</f>
        <v>26</v>
      </c>
      <c r="H20" s="8" cm="1">
        <f t="array" ref="H20">ROUNDUP(G20/Q20,0)</f>
        <v>13</v>
      </c>
      <c r="I20" t="s" s="6">
        <v>23</v>
      </c>
      <c r="J20" s="9">
        <v>2</v>
      </c>
      <c r="K20" s="9">
        <v>24</v>
      </c>
      <c r="L20" s="9" cm="1">
        <f t="array" ref="L20">N20/J20</f>
        <v>14</v>
      </c>
      <c r="M20" s="10">
        <v>1.2</v>
      </c>
      <c r="N20" s="11" cm="1">
        <f t="array" ref="N20">ROUND(M20*K20/J20,0)*J20</f>
        <v>28</v>
      </c>
      <c r="O20" s="12"/>
      <c r="P20" s="12"/>
      <c r="Q20" s="8">
        <v>2</v>
      </c>
      <c r="R20" s="13">
        <v>0.5</v>
      </c>
      <c r="S20" s="13" cm="1">
        <f t="array" ref="S20">ROUNDUP(Q20+R20,0)</f>
        <v>3</v>
      </c>
      <c r="T20" t="s" s="23">
        <v>33</v>
      </c>
    </row>
    <row r="21" ht="16" customHeight="1">
      <c r="A21" s="30"/>
      <c r="B21" s="30"/>
      <c r="C21" t="s" s="16">
        <v>44</v>
      </c>
      <c r="D21" t="s" s="16">
        <v>25</v>
      </c>
      <c r="E21" s="17">
        <v>748.2</v>
      </c>
      <c r="F21" s="17">
        <v>130</v>
      </c>
      <c r="G21" s="18" cm="1">
        <f t="array" ref="G21">H21*Q21</f>
        <v>10</v>
      </c>
      <c r="H21" s="18" cm="1">
        <f t="array" ref="H21">P21*5</f>
        <v>10</v>
      </c>
      <c r="I21" t="s" s="16">
        <v>45</v>
      </c>
      <c r="J21" s="19"/>
      <c r="K21" s="19"/>
      <c r="L21" s="19"/>
      <c r="M21" s="20">
        <v>1</v>
      </c>
      <c r="N21" s="21"/>
      <c r="O21" t="s" s="16">
        <v>27</v>
      </c>
      <c r="P21" s="22" cm="1">
        <f t="array" ref="P21">CEILING(MIN(2,E21/'타설 '!B4),1)</f>
        <v>2</v>
      </c>
      <c r="Q21" s="18" cm="1">
        <f t="array" ref="Q21">MAX(1,IF(E21/(F21*H21)-INT(E21/(F21*H21))&lt;0.5,ROUNDDOWN(E21/(F21*H21),0),ROUNDUP(E21/(F21*H21),0)))</f>
        <v>1</v>
      </c>
      <c r="R21" s="13">
        <v>3</v>
      </c>
      <c r="S21" s="13" cm="1">
        <f t="array" ref="S21">ROUNDUP(Q21+R21,0)</f>
        <v>4</v>
      </c>
      <c r="T21" t="s" s="23">
        <v>28</v>
      </c>
    </row>
    <row r="22" ht="16" customHeight="1">
      <c r="A22" s="15"/>
      <c r="B22" s="15"/>
      <c r="C22" t="s" s="42">
        <v>46</v>
      </c>
      <c r="D22" t="s" s="42">
        <v>22</v>
      </c>
      <c r="E22" s="43" cm="1">
        <f t="array" ref="E22">E18+E20</f>
        <v>4818.4</v>
      </c>
      <c r="F22" s="43">
        <v>50</v>
      </c>
      <c r="G22" s="44" cm="1">
        <f t="array" ref="G22">ROUNDUP(E22/F22,0)</f>
        <v>97</v>
      </c>
      <c r="H22" s="44" cm="1">
        <f t="array" ref="H22">ROUNDUP(G22/Q22,0)</f>
        <v>5</v>
      </c>
      <c r="I22" t="s" s="42">
        <v>23</v>
      </c>
      <c r="J22" s="9">
        <v>2</v>
      </c>
      <c r="K22" s="9">
        <v>26</v>
      </c>
      <c r="L22" s="9" cm="1">
        <f t="array" ref="L22">N22/J22</f>
        <v>16</v>
      </c>
      <c r="M22" s="10">
        <v>1.2</v>
      </c>
      <c r="N22" s="11" cm="1">
        <f t="array" ref="N22">ROUND(M22*K22/J22,0)*J22</f>
        <v>32</v>
      </c>
      <c r="O22" s="45"/>
      <c r="P22" s="45"/>
      <c r="Q22" s="44">
        <v>22</v>
      </c>
      <c r="R22" s="13"/>
      <c r="S22" s="13" cm="1">
        <f t="array" ref="S22">ROUNDUP(Q22+R22,0)</f>
        <v>22</v>
      </c>
      <c r="T22" s="14"/>
    </row>
  </sheetData>
  <mergeCells count="8">
    <mergeCell ref="A16:A22"/>
    <mergeCell ref="B16:B22"/>
    <mergeCell ref="A2:A3"/>
    <mergeCell ref="B2:B3"/>
    <mergeCell ref="A4:A7"/>
    <mergeCell ref="B4:B7"/>
    <mergeCell ref="A9:A15"/>
    <mergeCell ref="B9:B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T16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65" customWidth="1"/>
    <col min="2" max="2" width="12.3516" style="65" customWidth="1"/>
    <col min="3" max="3" width="14.1719" style="65" customWidth="1"/>
    <col min="4" max="4" width="4.17188" style="65" customWidth="1"/>
    <col min="5" max="5" width="7.5" style="65" customWidth="1"/>
    <col min="6" max="7" width="9.35156" style="65" customWidth="1"/>
    <col min="8" max="8" width="10.3516" style="65" customWidth="1"/>
    <col min="9" max="9" width="21.1719" style="65" customWidth="1"/>
    <col min="10" max="10" width="12.5" style="65" customWidth="1"/>
    <col min="11" max="11" width="7.85156" style="65" customWidth="1"/>
    <col min="12" max="12" width="9.35156" style="65" customWidth="1"/>
    <col min="13" max="13" width="12.5" style="65" customWidth="1"/>
    <col min="14" max="14" width="10.5" style="65" customWidth="1"/>
    <col min="15" max="15" width="12.5" style="65" customWidth="1"/>
    <col min="16" max="16" width="7.35156" style="65" customWidth="1"/>
    <col min="17" max="17" width="7.85156" style="65" customWidth="1"/>
    <col min="18" max="18" width="5.67188" style="65" customWidth="1"/>
    <col min="19" max="19" width="8.85156" style="65" customWidth="1"/>
    <col min="20" max="20" width="10.5" style="65" customWidth="1"/>
    <col min="21" max="16384" width="8.85156" style="65" customWidth="1"/>
  </cols>
  <sheetData>
    <row r="1" ht="16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2">
        <v>14</v>
      </c>
      <c r="P1" t="s" s="2">
        <v>15</v>
      </c>
      <c r="Q1" t="s" s="3">
        <v>16</v>
      </c>
      <c r="R1" t="s" s="2">
        <v>17</v>
      </c>
      <c r="S1" t="s" s="3">
        <v>18</v>
      </c>
      <c r="T1" t="s" s="2">
        <v>19</v>
      </c>
    </row>
    <row r="2" ht="16" customHeight="1">
      <c r="A2" t="s" s="4">
        <v>20</v>
      </c>
      <c r="B2" s="5"/>
      <c r="C2" t="s" s="6">
        <v>21</v>
      </c>
      <c r="D2" t="s" s="6">
        <v>22</v>
      </c>
      <c r="E2" s="7">
        <v>40</v>
      </c>
      <c r="F2" s="7">
        <v>10</v>
      </c>
      <c r="G2" s="8" cm="1">
        <f t="array" ref="G2">E2/F2</f>
        <v>4</v>
      </c>
      <c r="H2" s="8" cm="1">
        <f t="array" ref="H2">ROUNDUP(G2/Q2,0)</f>
        <v>4</v>
      </c>
      <c r="I2" t="s" s="6">
        <v>23</v>
      </c>
      <c r="J2" s="9">
        <v>2</v>
      </c>
      <c r="K2" s="9">
        <v>6</v>
      </c>
      <c r="L2" s="9" cm="1">
        <f t="array" ref="L2">N2/J2</f>
        <v>3</v>
      </c>
      <c r="M2" s="10" cm="1">
        <f t="array" ref="M2">1</f>
        <v>1</v>
      </c>
      <c r="N2" s="11" cm="1">
        <f t="array" ref="N2">ROUND(M2*K2/J2,0)*J2</f>
        <v>6</v>
      </c>
      <c r="O2" s="12"/>
      <c r="P2" s="12"/>
      <c r="Q2" s="8">
        <v>1</v>
      </c>
      <c r="R2" s="13"/>
      <c r="S2" s="13" cm="1">
        <f t="array" ref="S2">ROUNDUP(Q2+R2,0)</f>
        <v>1</v>
      </c>
      <c r="T2" s="14"/>
    </row>
    <row r="3" ht="16" customHeight="1">
      <c r="A3" s="15"/>
      <c r="B3" s="15"/>
      <c r="C3" t="s" s="16">
        <v>24</v>
      </c>
      <c r="D3" t="s" s="16">
        <v>25</v>
      </c>
      <c r="E3" s="17">
        <v>228</v>
      </c>
      <c r="F3" s="17">
        <v>130</v>
      </c>
      <c r="G3" s="18" cm="1">
        <f t="array" ref="G3">H3*Q3</f>
        <v>5</v>
      </c>
      <c r="H3" s="18" cm="1">
        <f t="array" ref="H3">P3*5</f>
        <v>5</v>
      </c>
      <c r="I3" t="s" s="16">
        <v>26</v>
      </c>
      <c r="J3" s="19"/>
      <c r="K3" s="19"/>
      <c r="L3" s="19"/>
      <c r="M3" s="20">
        <v>1</v>
      </c>
      <c r="N3" s="21"/>
      <c r="O3" t="s" s="16">
        <v>27</v>
      </c>
      <c r="P3" s="22" cm="1">
        <f t="array" ref="P3">CEILING(MIN(2,E3/'타설 '!B2),1)</f>
        <v>1</v>
      </c>
      <c r="Q3" s="18" cm="1">
        <f t="array" ref="Q3">MAX(1,IF(E3/(F3*H3)-INT(E3/(F3*H3))&lt;0.5,ROUNDDOWN(E3/(F3*H3),0),ROUNDUP(E3/(F3*H3),0)))</f>
        <v>1</v>
      </c>
      <c r="R3" s="13">
        <v>1</v>
      </c>
      <c r="S3" s="13" cm="1">
        <f t="array" ref="S3">ROUNDUP(Q3+R3,0)</f>
        <v>2</v>
      </c>
      <c r="T3" t="s" s="23">
        <v>28</v>
      </c>
    </row>
    <row r="4" ht="16" customHeight="1">
      <c r="A4" t="s" s="4">
        <v>29</v>
      </c>
      <c r="B4" s="5"/>
      <c r="C4" t="s" s="24">
        <v>30</v>
      </c>
      <c r="D4" t="s" s="24">
        <v>22</v>
      </c>
      <c r="E4" s="25"/>
      <c r="F4" s="25"/>
      <c r="G4" s="26"/>
      <c r="H4" s="26">
        <v>3</v>
      </c>
      <c r="I4" t="s" s="24">
        <v>23</v>
      </c>
      <c r="J4" s="27">
        <v>3</v>
      </c>
      <c r="K4" s="27">
        <v>6</v>
      </c>
      <c r="L4" s="27" cm="1">
        <f t="array" ref="L4">N4/J4</f>
        <v>2</v>
      </c>
      <c r="M4" s="28">
        <v>1</v>
      </c>
      <c r="N4" s="11" cm="1">
        <f t="array" ref="N4">ROUND(M4*K4/J4,0)*J4</f>
        <v>6</v>
      </c>
      <c r="O4" s="29"/>
      <c r="P4" s="29"/>
      <c r="Q4" s="26">
        <v>1</v>
      </c>
      <c r="R4" s="13"/>
      <c r="S4" s="13" cm="1">
        <f t="array" ref="S4">ROUNDUP(Q4+R4,0)</f>
        <v>1</v>
      </c>
      <c r="T4" s="14"/>
    </row>
    <row r="5" ht="16" customHeight="1">
      <c r="A5" s="30"/>
      <c r="B5" s="30"/>
      <c r="C5" t="s" s="31">
        <v>31</v>
      </c>
      <c r="D5" t="s" s="31">
        <v>32</v>
      </c>
      <c r="E5" s="32">
        <v>110.62</v>
      </c>
      <c r="F5" s="32">
        <v>1.1</v>
      </c>
      <c r="G5" s="33" cm="1">
        <f t="array" ref="G5">ROUNDUP(E5/F5,0)</f>
        <v>101</v>
      </c>
      <c r="H5" s="33" cm="1">
        <f t="array" ref="H5">ROUNDUP(G5/Q5,0)</f>
        <v>17</v>
      </c>
      <c r="I5" t="s" s="31">
        <v>23</v>
      </c>
      <c r="J5" s="9">
        <v>4</v>
      </c>
      <c r="K5" s="9">
        <v>24</v>
      </c>
      <c r="L5" s="9" cm="1">
        <f t="array" ref="L5">N5/J5</f>
        <v>8</v>
      </c>
      <c r="M5" s="10">
        <v>1.3</v>
      </c>
      <c r="N5" s="11" cm="1">
        <f t="array" ref="N5">ROUND(M5*K5/J5,0)*J5</f>
        <v>32</v>
      </c>
      <c r="O5" s="34"/>
      <c r="P5" s="34"/>
      <c r="Q5" s="33">
        <v>6</v>
      </c>
      <c r="R5" s="13">
        <v>0.5</v>
      </c>
      <c r="S5" s="13" cm="1">
        <f t="array" ref="S5">ROUNDUP(Q5+R5,0)</f>
        <v>7</v>
      </c>
      <c r="T5" t="s" s="23">
        <v>33</v>
      </c>
    </row>
    <row r="6" ht="16" customHeight="1">
      <c r="A6" s="30"/>
      <c r="B6" s="30"/>
      <c r="C6" t="s" s="6">
        <v>34</v>
      </c>
      <c r="D6" t="s" s="6">
        <v>22</v>
      </c>
      <c r="E6" s="7">
        <v>120</v>
      </c>
      <c r="F6" s="7">
        <v>10</v>
      </c>
      <c r="G6" s="8" cm="1">
        <f t="array" ref="G6">ROUNDUP(E6/F6,0)</f>
        <v>12</v>
      </c>
      <c r="H6" s="8" cm="1">
        <f t="array" ref="H6">ROUNDUP(G6/Q6,0)</f>
        <v>6</v>
      </c>
      <c r="I6" t="s" s="6">
        <v>23</v>
      </c>
      <c r="J6" s="9">
        <v>3</v>
      </c>
      <c r="K6" s="9">
        <v>6</v>
      </c>
      <c r="L6" s="9" cm="1">
        <f t="array" ref="L6">N6/J6</f>
        <v>2</v>
      </c>
      <c r="M6" s="10">
        <v>1</v>
      </c>
      <c r="N6" s="11" cm="1">
        <f t="array" ref="N6">ROUND(M6*K6/J6,0)*J6</f>
        <v>6</v>
      </c>
      <c r="O6" s="12"/>
      <c r="P6" s="12"/>
      <c r="Q6" s="8">
        <v>2</v>
      </c>
      <c r="R6" s="13">
        <v>0.5</v>
      </c>
      <c r="S6" s="13" cm="1">
        <f t="array" ref="S6">ROUNDUP(Q6+R6,0)</f>
        <v>3</v>
      </c>
      <c r="T6" t="s" s="23">
        <v>33</v>
      </c>
    </row>
    <row r="7" ht="16" customHeight="1">
      <c r="A7" s="15"/>
      <c r="B7" s="15"/>
      <c r="C7" t="s" s="16">
        <v>35</v>
      </c>
      <c r="D7" t="s" s="16">
        <v>25</v>
      </c>
      <c r="E7" s="17">
        <v>1643</v>
      </c>
      <c r="F7" s="17">
        <v>130</v>
      </c>
      <c r="G7" s="18" cm="1">
        <f t="array" ref="G7">H7*Q7</f>
        <v>10</v>
      </c>
      <c r="H7" s="18" cm="1">
        <f t="array" ref="H7">P7*5</f>
        <v>10</v>
      </c>
      <c r="I7" t="s" s="16">
        <v>36</v>
      </c>
      <c r="J7" s="19"/>
      <c r="K7" s="19"/>
      <c r="L7" s="19"/>
      <c r="M7" s="20">
        <v>1</v>
      </c>
      <c r="N7" s="21"/>
      <c r="O7" t="s" s="16">
        <v>27</v>
      </c>
      <c r="P7" s="22" cm="1">
        <f t="array" ref="P7">CEILING(MIN(2,E7/'타설 '!B3),1)</f>
        <v>2</v>
      </c>
      <c r="Q7" s="18" cm="1">
        <f t="array" ref="Q7">MAX(1,IF(E7/(F7*H7)-INT(E7/(F7*H7))&lt;0.5,ROUNDDOWN(E7/(F7*H7),0),ROUNDUP(E7/(F7*H7),0)))</f>
        <v>1</v>
      </c>
      <c r="R7" s="13">
        <v>3</v>
      </c>
      <c r="S7" s="13" cm="1">
        <f t="array" ref="S7">ROUNDUP(Q7+R7,0)</f>
        <v>4</v>
      </c>
      <c r="T7" t="s" s="23">
        <v>28</v>
      </c>
    </row>
    <row r="8" ht="16" customHeight="1">
      <c r="A8" s="35"/>
      <c r="B8" s="35"/>
      <c r="C8" s="35"/>
      <c r="D8" s="35"/>
      <c r="E8" s="36"/>
      <c r="F8" s="36"/>
      <c r="G8" s="37"/>
      <c r="H8" s="35"/>
      <c r="I8" s="35"/>
      <c r="J8" s="38"/>
      <c r="K8" s="38"/>
      <c r="L8" s="38"/>
      <c r="M8" s="39"/>
      <c r="N8" s="38"/>
      <c r="O8" s="35"/>
      <c r="P8" s="35"/>
      <c r="Q8" s="40"/>
      <c r="R8" s="40"/>
      <c r="S8" s="40"/>
      <c r="T8" s="35"/>
    </row>
    <row r="9" ht="16" customHeight="1">
      <c r="A9" t="s" s="4">
        <v>37</v>
      </c>
      <c r="B9" t="s" s="4">
        <v>64</v>
      </c>
      <c r="C9" t="s" s="24">
        <v>30</v>
      </c>
      <c r="D9" t="s" s="24">
        <v>22</v>
      </c>
      <c r="E9" s="25"/>
      <c r="F9" s="25"/>
      <c r="G9" s="26"/>
      <c r="H9" s="26">
        <v>3</v>
      </c>
      <c r="I9" t="s" s="24">
        <v>23</v>
      </c>
      <c r="J9" s="27">
        <v>3</v>
      </c>
      <c r="K9" s="27">
        <v>6</v>
      </c>
      <c r="L9" s="27" cm="1">
        <f t="array" ref="L9">N9/J9</f>
        <v>2</v>
      </c>
      <c r="M9" s="28">
        <v>1</v>
      </c>
      <c r="N9" s="11" cm="1">
        <f t="array" ref="N9">ROUND(M9*K9/J9,0)*J9</f>
        <v>6</v>
      </c>
      <c r="O9" s="29"/>
      <c r="P9" s="29"/>
      <c r="Q9" s="41">
        <v>1</v>
      </c>
      <c r="R9" s="13"/>
      <c r="S9" s="13" cm="1">
        <f t="array" ref="S9">ROUNDUP(Q9+R9,0)</f>
        <v>1</v>
      </c>
      <c r="T9" s="14"/>
    </row>
    <row r="10" ht="16" customHeight="1">
      <c r="A10" s="30"/>
      <c r="B10" s="30"/>
      <c r="C10" t="s" s="31">
        <v>39</v>
      </c>
      <c r="D10" t="s" s="31">
        <v>32</v>
      </c>
      <c r="E10" s="32">
        <v>53.1</v>
      </c>
      <c r="F10" s="32">
        <v>0.8</v>
      </c>
      <c r="G10" s="33" cm="1">
        <f t="array" ref="G10">ROUNDUP(E10/F10,0)</f>
        <v>67</v>
      </c>
      <c r="H10" s="33" cm="1">
        <f t="array" ref="H10">ROUNDUP(G10/Q10,0)</f>
        <v>14</v>
      </c>
      <c r="I10" t="s" s="31">
        <v>23</v>
      </c>
      <c r="J10" s="9">
        <v>3</v>
      </c>
      <c r="K10" s="9">
        <v>18</v>
      </c>
      <c r="L10" s="9" cm="1">
        <f t="array" ref="L10">N10/J10</f>
        <v>7</v>
      </c>
      <c r="M10" s="10">
        <v>1.2</v>
      </c>
      <c r="N10" s="11" cm="1">
        <f t="array" ref="N10">ROUND(M10*K10/J10,0)*J10</f>
        <v>21</v>
      </c>
      <c r="O10" s="34"/>
      <c r="P10" s="34"/>
      <c r="Q10" s="33">
        <v>5</v>
      </c>
      <c r="R10" s="13">
        <v>0.5</v>
      </c>
      <c r="S10" s="13" cm="1">
        <f t="array" ref="S10">ROUNDUP(Q10+R10,0)</f>
        <v>6</v>
      </c>
      <c r="T10" t="s" s="23">
        <v>33</v>
      </c>
    </row>
    <row r="11" ht="16" customHeight="1">
      <c r="A11" s="30"/>
      <c r="B11" s="30"/>
      <c r="C11" t="s" s="66">
        <v>65</v>
      </c>
      <c r="D11" t="s" s="66">
        <v>22</v>
      </c>
      <c r="E11" s="67">
        <v>400</v>
      </c>
      <c r="F11" s="67">
        <v>20</v>
      </c>
      <c r="G11" s="68" cm="1">
        <f t="array" ref="G11">ROUNDUP(E11/F11,0)</f>
        <v>20</v>
      </c>
      <c r="H11" s="68" cm="1">
        <f t="array" ref="H11">ROUNDUP(G11/Q11,0)</f>
        <v>4</v>
      </c>
      <c r="I11" s="69"/>
      <c r="J11" s="70">
        <v>5</v>
      </c>
      <c r="K11" s="71">
        <v>25</v>
      </c>
      <c r="L11" s="9" cm="1">
        <f t="array" ref="L11">N11/J11</f>
        <v>6</v>
      </c>
      <c r="M11" s="10">
        <v>1.2</v>
      </c>
      <c r="N11" s="72" cm="1">
        <f t="array" ref="N11">ROUND(M11*K11/J11,0)*J11</f>
        <v>30</v>
      </c>
      <c r="O11" s="69"/>
      <c r="P11" s="69"/>
      <c r="Q11" s="68">
        <v>6</v>
      </c>
      <c r="R11" s="13"/>
      <c r="S11" s="73" cm="1">
        <f t="array" ref="S11">ROUNDUP(Q11+R11,0)</f>
        <v>6</v>
      </c>
      <c r="T11" s="74"/>
    </row>
    <row r="12" ht="16" customHeight="1">
      <c r="A12" s="30"/>
      <c r="B12" s="30"/>
      <c r="C12" t="s" s="6">
        <v>66</v>
      </c>
      <c r="D12" t="s" s="6">
        <v>22</v>
      </c>
      <c r="E12" s="7">
        <v>4612.25</v>
      </c>
      <c r="F12" s="7">
        <v>11</v>
      </c>
      <c r="G12" s="8" cm="1">
        <f t="array" ref="G12">ROUNDUP(E12/F12,0)</f>
        <v>420</v>
      </c>
      <c r="H12" s="8" cm="1">
        <f t="array" ref="H12">ROUNDUP(G12/Q12,0)</f>
        <v>25</v>
      </c>
      <c r="I12" t="s" s="6">
        <v>23</v>
      </c>
      <c r="J12" s="9">
        <v>2</v>
      </c>
      <c r="K12" s="9">
        <v>16</v>
      </c>
      <c r="L12" s="9" cm="1">
        <f t="array" ref="L12">N12/J12</f>
        <v>10</v>
      </c>
      <c r="M12" s="10">
        <v>1.2</v>
      </c>
      <c r="N12" s="75" cm="1">
        <f t="array" ref="N12">ROUND(M12*K12/J12,0)*J12</f>
        <v>20</v>
      </c>
      <c r="O12" s="12"/>
      <c r="P12" s="12"/>
      <c r="Q12" s="8">
        <v>17</v>
      </c>
      <c r="R12" s="13">
        <v>1</v>
      </c>
      <c r="S12" s="76" cm="1">
        <f t="array" ref="S12">ROUNDUP(Q12+R12,0)</f>
        <v>18</v>
      </c>
      <c r="T12" t="s" s="23">
        <v>41</v>
      </c>
    </row>
    <row r="13" ht="16" customHeight="1">
      <c r="A13" s="30"/>
      <c r="B13" s="30"/>
      <c r="C13" t="s" s="31">
        <v>42</v>
      </c>
      <c r="D13" t="s" s="31">
        <v>32</v>
      </c>
      <c r="E13" s="32">
        <v>64.91</v>
      </c>
      <c r="F13" s="32">
        <v>0.8</v>
      </c>
      <c r="G13" s="33" cm="1">
        <f t="array" ref="G13">ROUNDUP(E13/F13,0)</f>
        <v>82</v>
      </c>
      <c r="H13" s="33" cm="1">
        <f t="array" ref="H13">ROUNDUP(G13/Q13,0)</f>
        <v>17</v>
      </c>
      <c r="I13" t="s" s="31">
        <v>23</v>
      </c>
      <c r="J13" s="9">
        <v>3</v>
      </c>
      <c r="K13" s="9">
        <v>18</v>
      </c>
      <c r="L13" s="9" cm="1">
        <f t="array" ref="L13">N13/J13</f>
        <v>7</v>
      </c>
      <c r="M13" s="10">
        <v>1.2</v>
      </c>
      <c r="N13" s="11" cm="1">
        <f t="array" ref="N13">ROUND(M13*K13/J13,0)*J13</f>
        <v>21</v>
      </c>
      <c r="O13" s="34"/>
      <c r="P13" s="34"/>
      <c r="Q13" s="33">
        <v>5</v>
      </c>
      <c r="R13" s="13">
        <v>0.5</v>
      </c>
      <c r="S13" s="13" cm="1">
        <f t="array" ref="S13">ROUNDUP(Q13+R13,0)</f>
        <v>6</v>
      </c>
      <c r="T13" t="s" s="23">
        <v>33</v>
      </c>
    </row>
    <row r="14" ht="16" customHeight="1">
      <c r="A14" s="30"/>
      <c r="B14" s="30"/>
      <c r="C14" t="s" s="6">
        <v>43</v>
      </c>
      <c r="D14" t="s" s="6">
        <v>22</v>
      </c>
      <c r="E14" s="7">
        <v>242.75</v>
      </c>
      <c r="F14" s="7">
        <v>11</v>
      </c>
      <c r="G14" s="8" cm="1">
        <f t="array" ref="G14">ROUNDUP(E14/F14,0)</f>
        <v>23</v>
      </c>
      <c r="H14" s="8" cm="1">
        <f t="array" ref="H14">ROUNDUP(G14/Q14,0)</f>
        <v>12</v>
      </c>
      <c r="I14" t="s" s="6">
        <v>23</v>
      </c>
      <c r="J14" s="9">
        <v>2</v>
      </c>
      <c r="K14" s="9">
        <v>12</v>
      </c>
      <c r="L14" s="9" cm="1">
        <f t="array" ref="L14">N14/J14</f>
        <v>7</v>
      </c>
      <c r="M14" s="10">
        <v>1.2</v>
      </c>
      <c r="N14" s="11" cm="1">
        <f t="array" ref="N14">ROUND(M14*K14/J14,0)*J14</f>
        <v>14</v>
      </c>
      <c r="O14" s="12"/>
      <c r="P14" s="12"/>
      <c r="Q14" s="8">
        <v>2</v>
      </c>
      <c r="R14" s="13">
        <v>0.5</v>
      </c>
      <c r="S14" s="13" cm="1">
        <f t="array" ref="S14">ROUNDUP(Q14+R14,0)</f>
        <v>3</v>
      </c>
      <c r="T14" t="s" s="23">
        <v>33</v>
      </c>
    </row>
    <row r="15" ht="16" customHeight="1">
      <c r="A15" s="30"/>
      <c r="B15" s="30"/>
      <c r="C15" t="s" s="16">
        <v>44</v>
      </c>
      <c r="D15" t="s" s="16">
        <v>25</v>
      </c>
      <c r="E15" s="17">
        <v>782</v>
      </c>
      <c r="F15" s="17">
        <v>130</v>
      </c>
      <c r="G15" s="18" cm="1">
        <f t="array" ref="G15">H15*Q15</f>
        <v>10</v>
      </c>
      <c r="H15" s="18" cm="1">
        <f t="array" ref="H15">P15*5</f>
        <v>10</v>
      </c>
      <c r="I15" t="s" s="16">
        <v>45</v>
      </c>
      <c r="J15" s="19"/>
      <c r="K15" s="19"/>
      <c r="L15" s="19"/>
      <c r="M15" s="20">
        <v>1</v>
      </c>
      <c r="N15" s="21"/>
      <c r="O15" t="s" s="16">
        <v>27</v>
      </c>
      <c r="P15" s="22" cm="1">
        <f t="array" ref="P15">CEILING(MIN(2,E15/'타설 '!B4),1)</f>
        <v>2</v>
      </c>
      <c r="Q15" s="18" cm="1">
        <f t="array" ref="Q15">MAX(1,IF(E15/(F15*H15)-INT(E15/(F15*H15))&lt;0.5,ROUNDDOWN(E15/(F15*H15),0),ROUNDUP(E15/(F15*H15),0)))</f>
        <v>1</v>
      </c>
      <c r="R15" s="13">
        <v>3</v>
      </c>
      <c r="S15" s="13" cm="1">
        <f t="array" ref="S15">ROUNDUP(Q15+R15,0)</f>
        <v>4</v>
      </c>
      <c r="T15" t="s" s="23">
        <v>28</v>
      </c>
    </row>
    <row r="16" ht="16" customHeight="1">
      <c r="A16" s="15"/>
      <c r="B16" s="15"/>
      <c r="C16" t="s" s="42">
        <v>46</v>
      </c>
      <c r="D16" t="s" s="42">
        <v>22</v>
      </c>
      <c r="E16" s="43" cm="1">
        <f t="array" ref="E16">E12+E14</f>
        <v>4855</v>
      </c>
      <c r="F16" s="43">
        <v>50</v>
      </c>
      <c r="G16" s="44" cm="1">
        <f t="array" ref="G16">ROUNDUP(E16/F16,0)</f>
        <v>98</v>
      </c>
      <c r="H16" s="44" cm="1">
        <f t="array" ref="H16">ROUNDUP(G16/Q16,0)</f>
        <v>7</v>
      </c>
      <c r="I16" t="s" s="42">
        <v>23</v>
      </c>
      <c r="J16" s="9">
        <v>2</v>
      </c>
      <c r="K16" s="9">
        <v>24</v>
      </c>
      <c r="L16" s="9" cm="1">
        <f t="array" ref="L16">N16/J16</f>
        <v>14</v>
      </c>
      <c r="M16" s="10">
        <v>1.2</v>
      </c>
      <c r="N16" s="11" cm="1">
        <f t="array" ref="N16">ROUND(M16*K16/J16,0)*J16</f>
        <v>28</v>
      </c>
      <c r="O16" s="45"/>
      <c r="P16" s="45"/>
      <c r="Q16" s="44">
        <v>16</v>
      </c>
      <c r="R16" s="13"/>
      <c r="S16" s="13" cm="1">
        <f t="array" ref="S16">ROUNDUP(Q16+R16,0)</f>
        <v>16</v>
      </c>
      <c r="T16" s="14"/>
    </row>
  </sheetData>
  <mergeCells count="6">
    <mergeCell ref="A2:A3"/>
    <mergeCell ref="B2:B3"/>
    <mergeCell ref="A4:A7"/>
    <mergeCell ref="B4:B7"/>
    <mergeCell ref="A9:A16"/>
    <mergeCell ref="B9:B1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" customHeight="1" outlineLevelRow="0" outlineLevelCol="0"/>
  <cols>
    <col min="1" max="1" width="16.3516" style="77" customWidth="1"/>
    <col min="2" max="2" width="10.8516" style="77" customWidth="1"/>
    <col min="3" max="16384" width="16.3516" style="77" customWidth="1"/>
  </cols>
  <sheetData>
    <row r="1" ht="15.65" customHeight="1">
      <c r="A1" t="s" s="78">
        <v>67</v>
      </c>
      <c r="B1" t="s" s="78">
        <v>4</v>
      </c>
    </row>
    <row r="2" ht="16" customHeight="1">
      <c r="A2" t="s" s="79">
        <v>20</v>
      </c>
      <c r="B2" s="80">
        <v>650</v>
      </c>
    </row>
    <row r="3" ht="16.75" customHeight="1">
      <c r="A3" t="s" s="81">
        <v>68</v>
      </c>
      <c r="B3" s="82">
        <v>650</v>
      </c>
    </row>
    <row r="4" ht="16.75" customHeight="1">
      <c r="A4" t="s" s="81">
        <v>69</v>
      </c>
      <c r="B4" s="80">
        <v>500</v>
      </c>
    </row>
    <row r="5" ht="16.75" customHeight="1">
      <c r="A5" t="s" s="81">
        <v>70</v>
      </c>
      <c r="B5" s="80">
        <v>200</v>
      </c>
    </row>
    <row r="6" ht="16.75" customHeight="1">
      <c r="A6" t="s" s="81">
        <v>71</v>
      </c>
      <c r="B6" s="80">
        <v>400</v>
      </c>
    </row>
    <row r="7" ht="16.75" customHeight="1">
      <c r="A7" t="s" s="81">
        <v>72</v>
      </c>
      <c r="B7" s="80">
        <v>320</v>
      </c>
    </row>
    <row r="8" ht="16.75" customHeight="1">
      <c r="A8" t="s" s="81">
        <v>73</v>
      </c>
      <c r="B8" s="80">
        <v>230</v>
      </c>
    </row>
    <row r="9" ht="16.75" customHeight="1">
      <c r="A9" t="s" s="81">
        <v>74</v>
      </c>
      <c r="B9" s="80">
        <v>230</v>
      </c>
    </row>
    <row r="10" ht="16" customHeight="1">
      <c r="A10" t="s" s="79">
        <v>75</v>
      </c>
      <c r="B10" t="s" s="23">
        <v>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