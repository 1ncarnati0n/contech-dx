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대당 타설량" sheetId="1" r:id="rId5"/>
    <sheet name="버림, 기초" sheetId="2" r:id="rId6"/>
    <sheet name="지하 주차장" sheetId="3" r:id="rId7"/>
    <sheet name="지하 층고 6.5m이상" sheetId="4" r:id="rId8"/>
    <sheet name="주동 지하층" sheetId="5" r:id="rId9"/>
    <sheet name="지상층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<sst xmlns="http://schemas.openxmlformats.org/spreadsheetml/2006/main" uniqueCount="78">
  <si>
    <t>구분</t>
  </si>
  <si>
    <t>타설량</t>
  </si>
  <si>
    <t>버림</t>
  </si>
  <si>
    <t>기초 대당타설량</t>
  </si>
  <si>
    <t>지하 대당타설량</t>
  </si>
  <si>
    <t>일반층 대당타설량</t>
  </si>
  <si>
    <t>1층 대당타설량</t>
  </si>
  <si>
    <t>기준층 대당타설량</t>
  </si>
  <si>
    <t>최상층 대당타설량</t>
  </si>
  <si>
    <t>PH층 대당타설량</t>
  </si>
  <si>
    <t>펌프차 대수산정기준</t>
  </si>
  <si>
    <t>동별 최대 2대</t>
  </si>
  <si>
    <t>층수</t>
  </si>
  <si>
    <t>세부공종</t>
  </si>
  <si>
    <t>단위</t>
  </si>
  <si>
    <t>수량</t>
  </si>
  <si>
    <t>인당 생산성</t>
  </si>
  <si>
    <t>총 투입인원</t>
  </si>
  <si>
    <t>1일 투입인원</t>
  </si>
  <si>
    <t>산정 기준</t>
  </si>
  <si>
    <t>작업조 기준인원</t>
  </si>
  <si>
    <t>기준 인원</t>
  </si>
  <si>
    <t>최대 작업조</t>
  </si>
  <si>
    <t>부분별 보정계수</t>
  </si>
  <si>
    <t>최대투입인원</t>
  </si>
  <si>
    <t>투입장비명</t>
  </si>
  <si>
    <t>장비대수</t>
  </si>
  <si>
    <t xml:space="preserve"> 순작업일</t>
  </si>
  <si>
    <t>간접일</t>
  </si>
  <si>
    <t>총작업일수</t>
  </si>
  <si>
    <t>간접작업항목</t>
  </si>
  <si>
    <t>버림틀설치</t>
  </si>
  <si>
    <t>㎡</t>
  </si>
  <si>
    <t>일수고정</t>
  </si>
  <si>
    <t>버림타설</t>
  </si>
  <si>
    <t>㎥</t>
  </si>
  <si>
    <t>장비대수*4명 /버림부분</t>
  </si>
  <si>
    <t>콘크리트 펌프차</t>
  </si>
  <si>
    <t>양생</t>
  </si>
  <si>
    <t>기초</t>
  </si>
  <si>
    <t>먹매김</t>
  </si>
  <si>
    <t>기초철근조립</t>
  </si>
  <si>
    <t>ton</t>
  </si>
  <si>
    <t>검측</t>
  </si>
  <si>
    <t>끊어치기 작업</t>
  </si>
  <si>
    <t>기초타설</t>
  </si>
  <si>
    <t>장비대수*5명 /기초부분</t>
  </si>
  <si>
    <t>지하층</t>
  </si>
  <si>
    <t>B2</t>
  </si>
  <si>
    <t>벽 철근조립</t>
  </si>
  <si>
    <t>지하2층 거푸집 설치</t>
  </si>
  <si>
    <t>보강/검측</t>
  </si>
  <si>
    <t>보슬라브 철근조립</t>
  </si>
  <si>
    <t>마감작업</t>
  </si>
  <si>
    <t>타설</t>
  </si>
  <si>
    <t>장비대수*5명 /지하골조부분</t>
  </si>
  <si>
    <t>거푸집 해체/정리</t>
  </si>
  <si>
    <t>B1</t>
  </si>
  <si>
    <t>지하1층 거푸집 설치</t>
  </si>
  <si>
    <t>층고6.5m 이상</t>
  </si>
  <si>
    <t>시스템동바리</t>
  </si>
  <si>
    <t>거푸집 설치</t>
  </si>
  <si>
    <t>피트층 거푸집 설치</t>
  </si>
  <si>
    <t>피트층 타설</t>
  </si>
  <si>
    <t>일반층</t>
  </si>
  <si>
    <t>유로폼 설치</t>
  </si>
  <si>
    <t>장비대수*4명 /일반층</t>
  </si>
  <si>
    <t>셋팅층</t>
  </si>
  <si>
    <t>갱폼 설치</t>
  </si>
  <si>
    <t>앵커/안전발판</t>
  </si>
  <si>
    <t>알폼 조립</t>
  </si>
  <si>
    <t>장비대수*6명 /셋팅층</t>
  </si>
  <si>
    <t>기준층</t>
  </si>
  <si>
    <t>장비대수*6명 /기준층</t>
  </si>
  <si>
    <t>최상층</t>
  </si>
  <si>
    <t>장비대수*6명 /최상층</t>
  </si>
  <si>
    <t>옥탑층</t>
  </si>
  <si>
    <t>장비대수*4명 /옥탑층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</si>
</sst>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6">
    <font>
      <sz val="11"/>
      <color indexed="8"/>
      <name val="맑은 고딕"/>
    </font>
    <font>
      <sz val="12"/>
      <color indexed="8"/>
      <name val="Helvetica Neue"/>
    </font>
    <font>
      <sz val="14"/>
      <color indexed="8"/>
      <name val="Calibri"/>
    </font>
    <font>
      <b val="1"/>
      <sz val="11"/>
      <color indexed="8"/>
      <name val="맑은 고딕"/>
    </font>
    <font>
      <sz val="15"/>
      <color indexed="8"/>
      <name val="Calibri"/>
    </font>
    <font>
      <sz val="11"/>
      <color indexed="11"/>
      <name val="맑은 고딕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84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left" vertical="center" wrapText="1"/>
    </xf>
    <xf numFmtId="4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horizontal="left" vertical="center" wrapText="1"/>
    </xf>
    <xf numFmtId="49" fontId="0" borderId="1" applyNumberFormat="1" applyFont="1" applyFill="0" applyBorder="1" applyAlignment="1" applyProtection="0">
      <alignment vertical="center" wrapText="1"/>
    </xf>
    <xf numFmtId="0" fontId="0" borderId="1" applyNumberFormat="1" applyFont="1" applyFill="0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center"/>
    </xf>
    <xf numFmtId="49" fontId="0" borderId="1" applyNumberFormat="1" applyFont="1" applyFill="0" applyBorder="1" applyAlignment="1" applyProtection="0">
      <alignment horizontal="center" vertical="center"/>
    </xf>
    <xf numFmtId="49" fontId="5" borderId="1" applyNumberFormat="1" applyFont="1" applyFill="0" applyBorder="1" applyAlignment="1" applyProtection="0">
      <alignment horizontal="center" vertical="center"/>
    </xf>
    <xf numFmtId="49" fontId="0" borderId="2" applyNumberFormat="1" applyFont="1" applyFill="0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vertical="center"/>
    </xf>
    <xf numFmtId="2" fontId="0" fillId="3" borderId="1" applyNumberFormat="1" applyFont="1" applyFill="1" applyBorder="1" applyAlignment="1" applyProtection="0">
      <alignment vertical="center"/>
    </xf>
    <xf numFmtId="59" fontId="0" fillId="3" borderId="1" applyNumberFormat="1" applyFont="1" applyFill="1" applyBorder="1" applyAlignment="1" applyProtection="0">
      <alignment vertical="center"/>
    </xf>
    <xf numFmtId="0" fontId="0" fillId="4" borderId="1" applyNumberFormat="1" applyFont="1" applyFill="1" applyBorder="1" applyAlignment="1" applyProtection="0">
      <alignment horizontal="center" vertical="bottom"/>
    </xf>
    <xf numFmtId="2" fontId="0" fillId="4" borderId="1" applyNumberFormat="1" applyFont="1" applyFill="1" applyBorder="1" applyAlignment="1" applyProtection="0">
      <alignment horizontal="center" vertical="bottom"/>
    </xf>
    <xf numFmtId="0" fontId="0" borderId="1" applyNumberFormat="1" applyFont="1" applyFill="0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vertical="center"/>
    </xf>
    <xf numFmtId="59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borderId="3" applyNumberFormat="0" applyFont="1" applyFill="0" applyBorder="1" applyAlignment="1" applyProtection="0">
      <alignment horizontal="center" vertical="center"/>
    </xf>
    <xf numFmtId="49" fontId="0" fillId="5" borderId="1" applyNumberFormat="1" applyFont="1" applyFill="1" applyBorder="1" applyAlignment="1" applyProtection="0">
      <alignment vertical="center"/>
    </xf>
    <xf numFmtId="2" fontId="0" fillId="5" borderId="1" applyNumberFormat="1" applyFont="1" applyFill="1" applyBorder="1" applyAlignment="1" applyProtection="0">
      <alignment vertical="center"/>
    </xf>
    <xf numFmtId="59" fontId="0" fillId="5" borderId="1" applyNumberFormat="1" applyFont="1" applyFill="1" applyBorder="1" applyAlignment="1" applyProtection="0">
      <alignment vertical="center"/>
    </xf>
    <xf numFmtId="0" fontId="0" fillId="5" borderId="1" applyNumberFormat="0" applyFont="1" applyFill="1" applyBorder="1" applyAlignment="1" applyProtection="0">
      <alignment horizontal="center" vertical="center"/>
    </xf>
    <xf numFmtId="2" fontId="0" fillId="5" borderId="1" applyNumberFormat="1" applyFont="1" applyFill="1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horizontal="center" vertical="center"/>
    </xf>
    <xf numFmtId="2" fontId="3" fillId="5" borderId="1" applyNumberFormat="1" applyFont="1" applyFill="1" applyBorder="1" applyAlignment="1" applyProtection="0">
      <alignment vertical="center"/>
    </xf>
    <xf numFmtId="49" fontId="0" fillId="6" borderId="1" applyNumberFormat="1" applyFont="1" applyFill="1" applyBorder="1" applyAlignment="1" applyProtection="0">
      <alignment vertical="center"/>
    </xf>
    <xf numFmtId="2" fontId="0" fillId="6" borderId="1" applyNumberFormat="1" applyFont="1" applyFill="1" applyBorder="1" applyAlignment="1" applyProtection="0">
      <alignment vertical="center"/>
    </xf>
    <xf numFmtId="59" fontId="0" fillId="6" borderId="1" applyNumberFormat="1" applyFont="1" applyFill="1" applyBorder="1" applyAlignment="1" applyProtection="0">
      <alignment vertical="center"/>
    </xf>
    <xf numFmtId="0" fontId="0" fillId="6" borderId="1" applyNumberFormat="1" applyFont="1" applyFill="1" applyBorder="1" applyAlignment="1" applyProtection="0">
      <alignment horizontal="center" vertical="center"/>
    </xf>
    <xf numFmtId="2" fontId="0" fillId="6" borderId="1" applyNumberFormat="1" applyFont="1" applyFill="1" applyBorder="1" applyAlignment="1" applyProtection="0">
      <alignment horizontal="center" vertical="center"/>
    </xf>
    <xf numFmtId="0" fontId="0" fillId="6" borderId="1" applyNumberFormat="0" applyFont="1" applyFill="1" applyBorder="1" applyAlignment="1" applyProtection="0">
      <alignment vertical="center"/>
    </xf>
    <xf numFmtId="0" fontId="0" borderId="4" applyNumberFormat="0" applyFont="1" applyFill="0" applyBorder="1" applyAlignment="1" applyProtection="0">
      <alignment horizontal="center" vertical="center"/>
    </xf>
    <xf numFmtId="49" fontId="0" fillId="7" borderId="1" applyNumberFormat="1" applyFont="1" applyFill="1" applyBorder="1" applyAlignment="1" applyProtection="0">
      <alignment vertical="center"/>
    </xf>
    <xf numFmtId="2" fontId="0" fillId="7" borderId="1" applyNumberFormat="1" applyFont="1" applyFill="1" applyBorder="1" applyAlignment="1" applyProtection="0">
      <alignment vertical="center"/>
    </xf>
    <xf numFmtId="59" fontId="0" fillId="7" borderId="1" applyNumberFormat="1" applyFont="1" applyFill="1" applyBorder="1" applyAlignment="1" applyProtection="0">
      <alignment vertical="center"/>
    </xf>
    <xf numFmtId="0" fontId="0" fillId="7" borderId="1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6" borderId="1" applyNumberFormat="1" applyFont="1" applyFill="1" applyBorder="1" applyAlignment="1" applyProtection="0">
      <alignment vertical="center"/>
    </xf>
    <xf numFmtId="49" fontId="0" fillId="8" borderId="1" applyNumberFormat="1" applyFont="1" applyFill="1" applyBorder="1" applyAlignment="1" applyProtection="0">
      <alignment vertical="center"/>
    </xf>
    <xf numFmtId="2" fontId="0" fillId="8" borderId="1" applyNumberFormat="1" applyFont="1" applyFill="1" applyBorder="1" applyAlignment="1" applyProtection="0">
      <alignment vertical="center"/>
    </xf>
    <xf numFmtId="59" fontId="0" fillId="8" borderId="1" applyNumberFormat="1" applyFont="1" applyFill="1" applyBorder="1" applyAlignment="1" applyProtection="0">
      <alignment vertical="center"/>
    </xf>
    <xf numFmtId="0" fontId="0" fillId="8" borderId="1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9" borderId="1" applyNumberFormat="1" applyFont="1" applyFill="1" applyBorder="1" applyAlignment="1" applyProtection="0">
      <alignment vertical="center"/>
    </xf>
    <xf numFmtId="2" fontId="0" fillId="9" borderId="1" applyNumberFormat="1" applyFont="1" applyFill="1" applyBorder="1" applyAlignment="1" applyProtection="0">
      <alignment vertical="center"/>
    </xf>
    <xf numFmtId="59" fontId="0" fillId="9" borderId="1" applyNumberFormat="1" applyFont="1" applyFill="1" applyBorder="1" applyAlignment="1" applyProtection="0">
      <alignment vertical="center"/>
    </xf>
    <xf numFmtId="0" fontId="0" fillId="9" borderId="1" applyNumberFormat="0" applyFont="1" applyFill="1" applyBorder="1" applyAlignment="1" applyProtection="0">
      <alignment vertical="center"/>
    </xf>
    <xf numFmtId="0" fontId="5" fillId="4" borderId="1" applyNumberFormat="1" applyFont="1" applyFill="1" applyBorder="1" applyAlignment="1" applyProtection="0">
      <alignment horizontal="center" vertical="bottom"/>
    </xf>
    <xf numFmtId="1" fontId="0" fillId="4" borderId="1" applyNumberFormat="1" applyFont="1" applyFill="1" applyBorder="1" applyAlignment="1" applyProtection="0">
      <alignment horizontal="center" vertical="bottom"/>
    </xf>
    <xf numFmtId="0" fontId="0" borderId="2" applyNumberFormat="1" applyFont="1" applyFill="0" applyBorder="1" applyAlignment="1" applyProtection="0">
      <alignment horizontal="center" vertical="center"/>
    </xf>
    <xf numFmtId="59" fontId="0" borderId="2" applyNumberFormat="1" applyFont="1" applyFill="0" applyBorder="1" applyAlignment="1" applyProtection="0">
      <alignment vertical="center"/>
    </xf>
    <xf numFmtId="59" fontId="5" borderId="1" applyNumberFormat="1" applyFont="1" applyFill="0" applyBorder="1" applyAlignment="1" applyProtection="0">
      <alignment vertical="center"/>
    </xf>
    <xf numFmtId="0" fontId="0" borderId="3" applyNumberFormat="1" applyFont="1" applyFill="0" applyBorder="1" applyAlignment="1" applyProtection="0">
      <alignment horizontal="center" vertical="center"/>
    </xf>
    <xf numFmtId="59" fontId="0" borderId="3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4" borderId="1" applyNumberFormat="1" applyFont="1" applyFill="1" applyBorder="1" applyAlignment="1" applyProtection="0">
      <alignment horizontal="center" vertical="center" wrapText="1"/>
    </xf>
    <xf numFmtId="0" fontId="0" fillId="4" borderId="2" applyNumberFormat="0" applyFont="1" applyFill="1" applyBorder="1" applyAlignment="1" applyProtection="0">
      <alignment horizontal="center" vertical="center" wrapText="1"/>
    </xf>
    <xf numFmtId="0" fontId="0" borderId="1" applyNumberFormat="1" applyFont="1" applyFill="0" applyBorder="1" applyAlignment="1" applyProtection="0">
      <alignment vertical="center"/>
    </xf>
    <xf numFmtId="0" fontId="0" fillId="4" borderId="1" applyNumberFormat="0" applyFont="1" applyFill="1" applyBorder="1" applyAlignment="1" applyProtection="0">
      <alignment horizontal="center"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  <xf numFmtId="0" fontId="0" fillId="4" borderId="3" applyNumberFormat="0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center"/>
    </xf>
    <xf numFmtId="2" fontId="0" borderId="5" applyNumberFormat="1" applyFont="1" applyFill="0" applyBorder="1" applyAlignment="1" applyProtection="0">
      <alignment vertical="center"/>
    </xf>
    <xf numFmtId="59" fontId="0" borderId="5" applyNumberFormat="1" applyFont="1" applyFill="0" applyBorder="1" applyAlignment="1" applyProtection="0">
      <alignment vertical="center"/>
    </xf>
    <xf numFmtId="2" fontId="0" borderId="5" applyNumberFormat="1" applyFont="1" applyFill="0" applyBorder="1" applyAlignment="1" applyProtection="0">
      <alignment horizontal="center" vertical="center"/>
    </xf>
    <xf numFmtId="2" fontId="3" borderId="5" applyNumberFormat="1" applyFont="1" applyFill="0" applyBorder="1" applyAlignment="1" applyProtection="0">
      <alignment vertical="center"/>
    </xf>
    <xf numFmtId="49" fontId="0" fillId="10" borderId="1" applyNumberFormat="1" applyFont="1" applyFill="1" applyBorder="1" applyAlignment="1" applyProtection="0">
      <alignment vertical="center"/>
    </xf>
    <xf numFmtId="2" fontId="0" fillId="10" borderId="1" applyNumberFormat="1" applyFont="1" applyFill="1" applyBorder="1" applyAlignment="1" applyProtection="0">
      <alignment vertical="center"/>
    </xf>
    <xf numFmtId="59" fontId="0" fillId="10" borderId="1" applyNumberFormat="1" applyFont="1" applyFill="1" applyBorder="1" applyAlignment="1" applyProtection="0">
      <alignment vertical="center"/>
    </xf>
    <xf numFmtId="0" fontId="0" fillId="10" borderId="1" applyNumberFormat="0" applyFont="1" applyFill="1" applyBorder="1" applyAlignment="1" applyProtection="0">
      <alignment vertical="center"/>
    </xf>
    <xf numFmtId="49" fontId="0" fillId="11" borderId="1" applyNumberFormat="1" applyFont="1" applyFill="1" applyBorder="1" applyAlignment="1" applyProtection="0">
      <alignment vertical="center"/>
    </xf>
    <xf numFmtId="2" fontId="0" fillId="11" borderId="1" applyNumberFormat="1" applyFont="1" applyFill="1" applyBorder="1" applyAlignment="1" applyProtection="0">
      <alignment vertical="center"/>
    </xf>
    <xf numFmtId="59" fontId="0" fillId="11" borderId="1" applyNumberFormat="1" applyFont="1" applyFill="1" applyBorder="1" applyAlignment="1" applyProtection="0">
      <alignment vertical="center"/>
    </xf>
    <xf numFmtId="0" fontId="0" fillId="11" borderId="1" applyNumberFormat="0" applyFont="1" applyFill="1" applyBorder="1" applyAlignment="1" applyProtection="0">
      <alignment vertical="center"/>
    </xf>
    <xf numFmtId="59" fontId="0" borderId="5" applyNumberFormat="1" applyFont="1" applyFill="0" applyBorder="1" applyAlignment="1" applyProtection="0">
      <alignment horizontal="right" vertical="center"/>
    </xf>
    <xf numFmtId="0" fontId="3" fillId="4" borderId="5" applyNumberFormat="0" applyFont="1" applyFill="1" applyBorder="1" applyAlignment="1" applyProtection="0">
      <alignment horizontal="center" vertical="center" wrapText="1"/>
    </xf>
    <xf numFmtId="2" fontId="3" fillId="4" borderId="5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7f7f7f"/>
      <rgbColor rgb="ffff0000"/>
      <rgbColor rgb="ffaaaaaa"/>
      <rgbColor rgb="ffebd4e9"/>
      <rgbColor rgb="ffffffff"/>
      <rgbColor rgb="fffae2d5"/>
      <rgbColor rgb="ffd8d8d8"/>
      <rgbColor rgb="ffdbedd5"/>
      <rgbColor rgb="ffc2c9cf"/>
      <rgbColor rgb="ff94ca81"/>
      <rgbColor rgb="ffc57fbe"/>
      <rgbColor rgb="ffd8aad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3" customHeight="1" outlineLevelRow="0" outlineLevelCol="0"/>
  <cols>
    <col min="1" max="1" width="15.6719" style="1" customWidth="1"/>
    <col min="2" max="2" width="10.8516" style="1" customWidth="1"/>
    <col min="3" max="16384" width="16.3516" style="1" customWidth="1"/>
  </cols>
  <sheetData>
    <row r="1" ht="16" customHeight="1">
      <c r="A1" t="s" s="2">
        <v>0</v>
      </c>
      <c r="B1" t="s" s="3">
        <v>1</v>
      </c>
    </row>
    <row r="2" ht="16" customHeight="1">
      <c r="A2" t="s" s="4">
        <v>2</v>
      </c>
      <c r="B2" s="5">
        <v>650</v>
      </c>
    </row>
    <row r="3" ht="16.75" customHeight="1">
      <c r="A3" t="s" s="6">
        <v>3</v>
      </c>
      <c r="B3" s="7">
        <v>650</v>
      </c>
    </row>
    <row r="4" ht="16.75" customHeight="1">
      <c r="A4" t="s" s="6">
        <v>4</v>
      </c>
      <c r="B4" s="5">
        <v>500</v>
      </c>
    </row>
    <row r="5" ht="16.75" customHeight="1">
      <c r="A5" t="s" s="6">
        <v>5</v>
      </c>
      <c r="B5" s="5">
        <v>200</v>
      </c>
    </row>
    <row r="6" ht="16.75" customHeight="1">
      <c r="A6" t="s" s="6">
        <v>6</v>
      </c>
      <c r="B6" s="5">
        <v>400</v>
      </c>
    </row>
    <row r="7" ht="16.75" customHeight="1">
      <c r="A7" t="s" s="6">
        <v>7</v>
      </c>
      <c r="B7" s="5">
        <v>320</v>
      </c>
    </row>
    <row r="8" ht="16.75" customHeight="1">
      <c r="A8" t="s" s="6">
        <v>8</v>
      </c>
      <c r="B8" s="5">
        <v>230</v>
      </c>
    </row>
    <row r="9" ht="16.75" customHeight="1">
      <c r="A9" t="s" s="6">
        <v>9</v>
      </c>
      <c r="B9" s="5">
        <v>230</v>
      </c>
    </row>
    <row r="10" ht="16" customHeight="1">
      <c r="A10" t="s" s="4">
        <v>10</v>
      </c>
      <c r="B10" t="s" s="4">
        <v>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T7"/>
  <sheetViews>
    <sheetView workbookViewId="0" showGridLines="0" defaultGridColor="1"/>
  </sheetViews>
  <sheetFormatPr defaultColWidth="8.83333" defaultRowHeight="16.5" customHeight="1" outlineLevelRow="0" outlineLevelCol="0"/>
  <cols>
    <col min="1" max="2" width="4.17188" style="8" customWidth="1"/>
    <col min="3" max="3" width="11" style="8" customWidth="1"/>
    <col min="4" max="4" width="4.17188" style="8" customWidth="1"/>
    <col min="5" max="5" width="7.5" style="8" customWidth="1"/>
    <col min="6" max="7" width="9.35156" style="8" customWidth="1"/>
    <col min="8" max="8" width="10.3516" style="8" customWidth="1"/>
    <col min="9" max="9" width="18" style="8" customWidth="1"/>
    <col min="10" max="10" width="12.5" style="8" customWidth="1"/>
    <col min="11" max="11" width="7.85156" style="8" customWidth="1"/>
    <col min="12" max="12" width="9.35156" style="8" customWidth="1"/>
    <col min="13" max="13" width="12.5" style="8" customWidth="1"/>
    <col min="14" max="14" width="10.5" style="8" customWidth="1"/>
    <col min="15" max="15" width="12.5" style="8" customWidth="1"/>
    <col min="16" max="16" width="7.35156" style="8" customWidth="1"/>
    <col min="17" max="17" width="7.85156" style="8" customWidth="1"/>
    <col min="18" max="18" width="5.67188" style="8" customWidth="1"/>
    <col min="19" max="19" width="8.85156" style="8" customWidth="1"/>
    <col min="20" max="20" width="10.5" style="8" customWidth="1"/>
    <col min="21" max="16384" width="8.85156" style="8" customWidth="1"/>
  </cols>
  <sheetData>
    <row r="1" ht="16" customHeight="1">
      <c r="A1" t="s" s="9">
        <v>0</v>
      </c>
      <c r="B1" t="s" s="9">
        <v>12</v>
      </c>
      <c r="C1" t="s" s="10">
        <v>13</v>
      </c>
      <c r="D1" t="s" s="9">
        <v>14</v>
      </c>
      <c r="E1" t="s" s="9">
        <v>15</v>
      </c>
      <c r="F1" t="s" s="10">
        <v>16</v>
      </c>
      <c r="G1" t="s" s="10">
        <v>17</v>
      </c>
      <c r="H1" t="s" s="10">
        <v>18</v>
      </c>
      <c r="I1" t="s" s="10">
        <v>19</v>
      </c>
      <c r="J1" t="s" s="10">
        <v>20</v>
      </c>
      <c r="K1" t="s" s="10">
        <v>21</v>
      </c>
      <c r="L1" t="s" s="10">
        <v>22</v>
      </c>
      <c r="M1" t="s" s="10">
        <v>23</v>
      </c>
      <c r="N1" t="s" s="10">
        <v>24</v>
      </c>
      <c r="O1" t="s" s="9">
        <v>25</v>
      </c>
      <c r="P1" t="s" s="9">
        <v>26</v>
      </c>
      <c r="Q1" t="s" s="10">
        <v>27</v>
      </c>
      <c r="R1" t="s" s="9">
        <v>28</v>
      </c>
      <c r="S1" t="s" s="10">
        <v>29</v>
      </c>
      <c r="T1" t="s" s="9">
        <v>30</v>
      </c>
    </row>
    <row r="2" ht="16" customHeight="1">
      <c r="A2" t="s" s="11">
        <v>2</v>
      </c>
      <c r="B2" s="12"/>
      <c r="C2" t="s" s="13">
        <v>31</v>
      </c>
      <c r="D2" t="s" s="13">
        <v>32</v>
      </c>
      <c r="E2" s="14">
        <v>40</v>
      </c>
      <c r="F2" s="14">
        <v>10</v>
      </c>
      <c r="G2" s="15" cm="1">
        <f t="array" ref="G2">E2/F2</f>
        <v>4</v>
      </c>
      <c r="H2" s="15" cm="1">
        <f t="array" ref="H2">ROUNDUP(G2/Q2,0)</f>
        <v>4</v>
      </c>
      <c r="I2" t="s" s="13">
        <v>33</v>
      </c>
      <c r="J2" s="16">
        <v>2</v>
      </c>
      <c r="K2" s="16">
        <v>6</v>
      </c>
      <c r="L2" s="16" cm="1">
        <f t="array" ref="L2">N2/J2</f>
        <v>3</v>
      </c>
      <c r="M2" s="17" cm="1">
        <f t="array" ref="M2">1</f>
        <v>1</v>
      </c>
      <c r="N2" s="18" cm="1">
        <f t="array" ref="N2">ROUND(M2*K2/J2,0)*J2</f>
        <v>6</v>
      </c>
      <c r="O2" s="19"/>
      <c r="P2" s="19"/>
      <c r="Q2" s="15">
        <v>1</v>
      </c>
      <c r="R2" s="20"/>
      <c r="S2" s="20" cm="1">
        <f t="array" ref="S2">ROUNDUP(Q2+R2,0)</f>
        <v>1</v>
      </c>
      <c r="T2" s="21"/>
    </row>
    <row r="3" ht="16" customHeight="1">
      <c r="A3" s="22"/>
      <c r="B3" s="22"/>
      <c r="C3" t="s" s="23">
        <v>34</v>
      </c>
      <c r="D3" t="s" s="23">
        <v>35</v>
      </c>
      <c r="E3" s="24">
        <v>228</v>
      </c>
      <c r="F3" s="24">
        <v>130</v>
      </c>
      <c r="G3" s="25" cm="1">
        <f t="array" ref="G3">H3*Q3</f>
        <v>4</v>
      </c>
      <c r="H3" s="25" cm="1">
        <f t="array" ref="H3">P3*4</f>
        <v>4</v>
      </c>
      <c r="I3" t="s" s="23">
        <v>36</v>
      </c>
      <c r="J3" s="26"/>
      <c r="K3" s="26"/>
      <c r="L3" s="26"/>
      <c r="M3" s="27">
        <v>1</v>
      </c>
      <c r="N3" s="28"/>
      <c r="O3" t="s" s="23">
        <v>37</v>
      </c>
      <c r="P3" s="29" cm="1">
        <f t="array" ref="P3">CEILING(MIN(2,E3/'대당 타설량'!B2),1)</f>
        <v>1</v>
      </c>
      <c r="Q3" s="25" cm="1">
        <f t="array" ref="Q3">MAX(1,IF(E3/(F3*H3)-INT(E3/(F3*H3))&lt;0.5,ROUNDDOWN(E3/(F3*H3),0),ROUNDUP(E3/(F3*H3),0)))</f>
        <v>1</v>
      </c>
      <c r="R3" s="20">
        <v>1</v>
      </c>
      <c r="S3" s="20" cm="1">
        <f t="array" ref="S3">ROUNDUP(Q3+R3,0)</f>
        <v>2</v>
      </c>
      <c r="T3" t="s" s="4">
        <v>38</v>
      </c>
    </row>
    <row r="4" ht="16" customHeight="1">
      <c r="A4" t="s" s="11">
        <v>39</v>
      </c>
      <c r="B4" s="12"/>
      <c r="C4" t="s" s="30">
        <v>40</v>
      </c>
      <c r="D4" t="s" s="30">
        <v>32</v>
      </c>
      <c r="E4" s="31"/>
      <c r="F4" s="31"/>
      <c r="G4" s="32"/>
      <c r="H4" s="32">
        <v>3</v>
      </c>
      <c r="I4" t="s" s="30">
        <v>33</v>
      </c>
      <c r="J4" s="33">
        <v>3</v>
      </c>
      <c r="K4" s="33">
        <v>6</v>
      </c>
      <c r="L4" s="33" cm="1">
        <f t="array" ref="L4">N4/J4</f>
        <v>2</v>
      </c>
      <c r="M4" s="34">
        <v>1</v>
      </c>
      <c r="N4" s="18" cm="1">
        <f t="array" ref="N4">ROUND(M4*K4/J4,0)*J4</f>
        <v>6</v>
      </c>
      <c r="O4" s="35"/>
      <c r="P4" s="35"/>
      <c r="Q4" s="32">
        <v>1</v>
      </c>
      <c r="R4" s="20"/>
      <c r="S4" s="20" cm="1">
        <f t="array" ref="S4">ROUNDUP(Q4+R4,0)</f>
        <v>1</v>
      </c>
      <c r="T4" s="21"/>
    </row>
    <row r="5" ht="16" customHeight="1">
      <c r="A5" s="36"/>
      <c r="B5" s="36"/>
      <c r="C5" t="s" s="37">
        <v>41</v>
      </c>
      <c r="D5" t="s" s="37">
        <v>42</v>
      </c>
      <c r="E5" s="38">
        <v>110.62</v>
      </c>
      <c r="F5" s="38">
        <v>1.1</v>
      </c>
      <c r="G5" s="39" cm="1">
        <f t="array" ref="G5">ROUNDUP(E5/F5,0)</f>
        <v>101</v>
      </c>
      <c r="H5" s="39" cm="1">
        <f t="array" ref="H5">ROUNDUP(G5/Q5,0)</f>
        <v>17</v>
      </c>
      <c r="I5" t="s" s="37">
        <v>33</v>
      </c>
      <c r="J5" s="16">
        <v>4</v>
      </c>
      <c r="K5" s="16">
        <v>24</v>
      </c>
      <c r="L5" s="16" cm="1">
        <f t="array" ref="L5">N5/J5</f>
        <v>8</v>
      </c>
      <c r="M5" s="17">
        <v>1.3</v>
      </c>
      <c r="N5" s="18" cm="1">
        <f t="array" ref="N5">ROUND(M5*K5/J5,0)*J5</f>
        <v>32</v>
      </c>
      <c r="O5" s="40"/>
      <c r="P5" s="40"/>
      <c r="Q5" s="39">
        <v>6</v>
      </c>
      <c r="R5" s="20">
        <v>0.5</v>
      </c>
      <c r="S5" s="20" cm="1">
        <f t="array" ref="S5">ROUNDUP(Q5+R5,0)</f>
        <v>7</v>
      </c>
      <c r="T5" t="s" s="4">
        <v>43</v>
      </c>
    </row>
    <row r="6" ht="16" customHeight="1">
      <c r="A6" s="36"/>
      <c r="B6" s="36"/>
      <c r="C6" t="s" s="13">
        <v>44</v>
      </c>
      <c r="D6" t="s" s="13">
        <v>32</v>
      </c>
      <c r="E6" s="14">
        <v>120</v>
      </c>
      <c r="F6" s="14">
        <v>10</v>
      </c>
      <c r="G6" s="15" cm="1">
        <f t="array" ref="G6">ROUNDUP(E6/F6,0)</f>
        <v>12</v>
      </c>
      <c r="H6" s="15" cm="1">
        <f t="array" ref="H6">ROUNDUP(G6/Q6,0)</f>
        <v>6</v>
      </c>
      <c r="I6" t="s" s="13">
        <v>33</v>
      </c>
      <c r="J6" s="16">
        <v>3</v>
      </c>
      <c r="K6" s="16">
        <v>6</v>
      </c>
      <c r="L6" s="16" cm="1">
        <f t="array" ref="L6">N6/J6</f>
        <v>2</v>
      </c>
      <c r="M6" s="17">
        <v>1</v>
      </c>
      <c r="N6" s="18" cm="1">
        <f t="array" ref="N6">ROUND(M6*K6/J6,0)*J6</f>
        <v>6</v>
      </c>
      <c r="O6" s="19"/>
      <c r="P6" s="19"/>
      <c r="Q6" s="15">
        <v>2</v>
      </c>
      <c r="R6" s="20">
        <v>0.5</v>
      </c>
      <c r="S6" s="20" cm="1">
        <f t="array" ref="S6">ROUNDUP(Q6+R6,0)</f>
        <v>3</v>
      </c>
      <c r="T6" t="s" s="4">
        <v>43</v>
      </c>
    </row>
    <row r="7" ht="16" customHeight="1">
      <c r="A7" s="22"/>
      <c r="B7" s="22"/>
      <c r="C7" t="s" s="23">
        <v>45</v>
      </c>
      <c r="D7" t="s" s="23">
        <v>35</v>
      </c>
      <c r="E7" s="24">
        <v>1643</v>
      </c>
      <c r="F7" s="24">
        <v>130</v>
      </c>
      <c r="G7" s="25" cm="1">
        <f t="array" ref="G7">H7*Q7</f>
        <v>10</v>
      </c>
      <c r="H7" s="25" cm="1">
        <f t="array" ref="H7">P7*5</f>
        <v>10</v>
      </c>
      <c r="I7" t="s" s="23">
        <v>46</v>
      </c>
      <c r="J7" s="26"/>
      <c r="K7" s="26"/>
      <c r="L7" s="26"/>
      <c r="M7" s="27">
        <v>1</v>
      </c>
      <c r="N7" s="28"/>
      <c r="O7" t="s" s="23">
        <v>37</v>
      </c>
      <c r="P7" s="29" cm="1">
        <f t="array" ref="P7">CEILING(MIN(2,E7/'대당 타설량'!B3),1)</f>
        <v>2</v>
      </c>
      <c r="Q7" s="25" cm="1">
        <f t="array" ref="Q7">MAX(1,IF(E7/(F7*H7)-INT(E7/(F7*H7))&lt;0.5,ROUNDDOWN(E7/(F7*H7),0),ROUNDUP(E7/(F7*H7),0)))</f>
        <v>1</v>
      </c>
      <c r="R7" s="20">
        <v>3</v>
      </c>
      <c r="S7" s="20" cm="1">
        <f t="array" ref="S7">ROUNDUP(Q7+R7,0)</f>
        <v>4</v>
      </c>
      <c r="T7" t="s" s="4">
        <v>38</v>
      </c>
    </row>
  </sheetData>
  <mergeCells count="4">
    <mergeCell ref="A2:A3"/>
    <mergeCell ref="A4:A7"/>
    <mergeCell ref="B2:B3"/>
    <mergeCell ref="B4:B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T15"/>
  <sheetViews>
    <sheetView workbookViewId="0" showGridLines="0" defaultGridColor="1"/>
  </sheetViews>
  <sheetFormatPr defaultColWidth="8.83333" defaultRowHeight="16.5" customHeight="1" outlineLevelRow="0" outlineLevelCol="0"/>
  <cols>
    <col min="1" max="1" width="5.67188" style="41" customWidth="1"/>
    <col min="2" max="2" width="4.17188" style="41" customWidth="1"/>
    <col min="3" max="3" width="15.6719" style="41" customWidth="1"/>
    <col min="4" max="4" width="4.17188" style="41" customWidth="1"/>
    <col min="5" max="5" width="7.5" style="41" customWidth="1"/>
    <col min="6" max="7" width="9.35156" style="41" customWidth="1"/>
    <col min="8" max="8" width="10.3516" style="41" customWidth="1"/>
    <col min="9" max="9" width="21.1719" style="41" customWidth="1"/>
    <col min="10" max="10" width="12.5" style="41" customWidth="1"/>
    <col min="11" max="11" width="7.85156" style="41" customWidth="1"/>
    <col min="12" max="12" width="9.35156" style="41" customWidth="1"/>
    <col min="13" max="13" width="12.5" style="41" customWidth="1"/>
    <col min="14" max="14" width="10.5" style="41" customWidth="1"/>
    <col min="15" max="15" width="12.5" style="41" customWidth="1"/>
    <col min="16" max="16" width="7.35156" style="41" customWidth="1"/>
    <col min="17" max="17" width="7.85156" style="41" customWidth="1"/>
    <col min="18" max="18" width="5.67188" style="41" customWidth="1"/>
    <col min="19" max="19" width="8.85156" style="41" customWidth="1"/>
    <col min="20" max="20" width="10.5" style="41" customWidth="1"/>
    <col min="21" max="16384" width="8.85156" style="41" customWidth="1"/>
  </cols>
  <sheetData>
    <row r="1" ht="16" customHeight="1">
      <c r="A1" t="s" s="9">
        <v>0</v>
      </c>
      <c r="B1" t="s" s="9">
        <v>12</v>
      </c>
      <c r="C1" t="s" s="10">
        <v>13</v>
      </c>
      <c r="D1" t="s" s="9">
        <v>14</v>
      </c>
      <c r="E1" t="s" s="9">
        <v>15</v>
      </c>
      <c r="F1" t="s" s="10">
        <v>16</v>
      </c>
      <c r="G1" t="s" s="10">
        <v>17</v>
      </c>
      <c r="H1" t="s" s="10">
        <v>18</v>
      </c>
      <c r="I1" t="s" s="10">
        <v>19</v>
      </c>
      <c r="J1" t="s" s="10">
        <v>20</v>
      </c>
      <c r="K1" t="s" s="10">
        <v>21</v>
      </c>
      <c r="L1" t="s" s="10">
        <v>22</v>
      </c>
      <c r="M1" t="s" s="10">
        <v>23</v>
      </c>
      <c r="N1" t="s" s="10">
        <v>24</v>
      </c>
      <c r="O1" t="s" s="9">
        <v>25</v>
      </c>
      <c r="P1" t="s" s="9">
        <v>26</v>
      </c>
      <c r="Q1" t="s" s="10">
        <v>27</v>
      </c>
      <c r="R1" t="s" s="9">
        <v>28</v>
      </c>
      <c r="S1" t="s" s="10">
        <v>29</v>
      </c>
      <c r="T1" t="s" s="9">
        <v>30</v>
      </c>
    </row>
    <row r="2" ht="16" customHeight="1">
      <c r="A2" t="s" s="11">
        <v>47</v>
      </c>
      <c r="B2" t="s" s="11">
        <v>48</v>
      </c>
      <c r="C2" t="s" s="30">
        <v>40</v>
      </c>
      <c r="D2" t="s" s="30">
        <v>32</v>
      </c>
      <c r="E2" s="31"/>
      <c r="F2" s="31"/>
      <c r="G2" s="32"/>
      <c r="H2" s="32">
        <v>3</v>
      </c>
      <c r="I2" t="s" s="30">
        <v>33</v>
      </c>
      <c r="J2" s="33">
        <v>3</v>
      </c>
      <c r="K2" s="33">
        <v>6</v>
      </c>
      <c r="L2" s="33" cm="1">
        <f t="array" ref="L2">N2/J2</f>
        <v>2</v>
      </c>
      <c r="M2" s="34">
        <v>1</v>
      </c>
      <c r="N2" s="18" cm="1">
        <f t="array" ref="N2">ROUND(M2*K2/J2,0)*J2</f>
        <v>6</v>
      </c>
      <c r="O2" s="35"/>
      <c r="P2" s="35"/>
      <c r="Q2" s="42">
        <v>1</v>
      </c>
      <c r="R2" s="20"/>
      <c r="S2" s="20" cm="1">
        <f t="array" ref="S2">ROUNDUP(Q2+R2,0)</f>
        <v>1</v>
      </c>
      <c r="T2" s="21"/>
    </row>
    <row r="3" ht="16" customHeight="1">
      <c r="A3" s="36"/>
      <c r="B3" s="36"/>
      <c r="C3" t="s" s="37">
        <v>49</v>
      </c>
      <c r="D3" t="s" s="37">
        <v>42</v>
      </c>
      <c r="E3" s="38">
        <v>53.1</v>
      </c>
      <c r="F3" s="38">
        <v>0.8</v>
      </c>
      <c r="G3" s="39" cm="1">
        <f t="array" ref="G3">ROUNDUP(E3/F3,0)</f>
        <v>67</v>
      </c>
      <c r="H3" s="39" cm="1">
        <f t="array" ref="H3">ROUNDUP(G3/Q3,0)</f>
        <v>14</v>
      </c>
      <c r="I3" t="s" s="37">
        <v>33</v>
      </c>
      <c r="J3" s="16">
        <v>3</v>
      </c>
      <c r="K3" s="16">
        <v>18</v>
      </c>
      <c r="L3" s="16" cm="1">
        <f t="array" ref="L3">N3/J3</f>
        <v>7</v>
      </c>
      <c r="M3" s="17">
        <v>1.2</v>
      </c>
      <c r="N3" s="18" cm="1">
        <f t="array" ref="N3">ROUND(M3*K3/J3,0)*J3</f>
        <v>21</v>
      </c>
      <c r="O3" s="40"/>
      <c r="P3" s="40"/>
      <c r="Q3" s="39">
        <v>5</v>
      </c>
      <c r="R3" s="20">
        <v>0.5</v>
      </c>
      <c r="S3" s="20" cm="1">
        <f t="array" ref="S3">ROUNDUP(Q3+R3,0)</f>
        <v>6</v>
      </c>
      <c r="T3" t="s" s="4">
        <v>43</v>
      </c>
    </row>
    <row r="4" ht="16" customHeight="1">
      <c r="A4" s="36"/>
      <c r="B4" s="36"/>
      <c r="C4" t="s" s="13">
        <v>50</v>
      </c>
      <c r="D4" t="s" s="13">
        <v>32</v>
      </c>
      <c r="E4" s="14">
        <v>4612.25</v>
      </c>
      <c r="F4" s="14">
        <v>11</v>
      </c>
      <c r="G4" s="15" cm="1">
        <f t="array" ref="G4">ROUNDUP(E4/F4,0)</f>
        <v>420</v>
      </c>
      <c r="H4" s="15" cm="1">
        <f t="array" ref="H4">ROUNDUP(G4/Q4,0)</f>
        <v>25</v>
      </c>
      <c r="I4" t="s" s="13">
        <v>33</v>
      </c>
      <c r="J4" s="16">
        <v>2</v>
      </c>
      <c r="K4" s="16">
        <v>16</v>
      </c>
      <c r="L4" s="16" cm="1">
        <f t="array" ref="L4">N4/J4</f>
        <v>10</v>
      </c>
      <c r="M4" s="17">
        <v>1.2</v>
      </c>
      <c r="N4" s="18" cm="1">
        <f t="array" ref="N4">ROUND(M4*K4/J4,0)*J4</f>
        <v>20</v>
      </c>
      <c r="O4" s="19"/>
      <c r="P4" s="19"/>
      <c r="Q4" s="15">
        <v>17</v>
      </c>
      <c r="R4" s="20">
        <v>1</v>
      </c>
      <c r="S4" s="20" cm="1">
        <f t="array" ref="S4">ROUNDUP(Q4+R4,0)</f>
        <v>18</v>
      </c>
      <c r="T4" t="s" s="4">
        <v>51</v>
      </c>
    </row>
    <row r="5" ht="16" customHeight="1">
      <c r="A5" s="36"/>
      <c r="B5" s="36"/>
      <c r="C5" t="s" s="37">
        <v>52</v>
      </c>
      <c r="D5" t="s" s="37">
        <v>42</v>
      </c>
      <c r="E5" s="38">
        <v>64.91</v>
      </c>
      <c r="F5" s="38">
        <v>0.8</v>
      </c>
      <c r="G5" s="39" cm="1">
        <f t="array" ref="G5">ROUNDUP(E5/F5,0)</f>
        <v>82</v>
      </c>
      <c r="H5" s="39" cm="1">
        <f t="array" ref="H5">ROUNDUP(G5/Q5,0)</f>
        <v>17</v>
      </c>
      <c r="I5" t="s" s="37">
        <v>33</v>
      </c>
      <c r="J5" s="16">
        <v>3</v>
      </c>
      <c r="K5" s="16">
        <v>18</v>
      </c>
      <c r="L5" s="16" cm="1">
        <f t="array" ref="L5">N5/J5</f>
        <v>7</v>
      </c>
      <c r="M5" s="17">
        <v>1.2</v>
      </c>
      <c r="N5" s="18" cm="1">
        <f t="array" ref="N5">ROUND(M5*K5/J5,0)*J5</f>
        <v>21</v>
      </c>
      <c r="O5" s="40"/>
      <c r="P5" s="40"/>
      <c r="Q5" s="39">
        <v>5</v>
      </c>
      <c r="R5" s="20">
        <v>0.5</v>
      </c>
      <c r="S5" s="20" cm="1">
        <f t="array" ref="S5">ROUNDUP(Q5+R5,0)</f>
        <v>6</v>
      </c>
      <c r="T5" t="s" s="4">
        <v>43</v>
      </c>
    </row>
    <row r="6" ht="16" customHeight="1">
      <c r="A6" s="36"/>
      <c r="B6" s="36"/>
      <c r="C6" t="s" s="13">
        <v>53</v>
      </c>
      <c r="D6" t="s" s="13">
        <v>32</v>
      </c>
      <c r="E6" s="14">
        <v>242.75</v>
      </c>
      <c r="F6" s="14">
        <v>11</v>
      </c>
      <c r="G6" s="15" cm="1">
        <f t="array" ref="G6">ROUNDUP(E6/F6,0)</f>
        <v>23</v>
      </c>
      <c r="H6" s="15" cm="1">
        <f t="array" ref="H6">ROUNDUP(G6/Q6,0)</f>
        <v>12</v>
      </c>
      <c r="I6" t="s" s="13">
        <v>33</v>
      </c>
      <c r="J6" s="16">
        <v>2</v>
      </c>
      <c r="K6" s="16">
        <v>12</v>
      </c>
      <c r="L6" s="16" cm="1">
        <f t="array" ref="L6">N6/J6</f>
        <v>7</v>
      </c>
      <c r="M6" s="17">
        <v>1.2</v>
      </c>
      <c r="N6" s="18" cm="1">
        <f t="array" ref="N6">ROUND(M6*K6/J6,0)*J6</f>
        <v>14</v>
      </c>
      <c r="O6" s="19"/>
      <c r="P6" s="19"/>
      <c r="Q6" s="15">
        <v>2</v>
      </c>
      <c r="R6" s="20">
        <v>0.5</v>
      </c>
      <c r="S6" s="20" cm="1">
        <f t="array" ref="S6">ROUNDUP(Q6+R6,0)</f>
        <v>3</v>
      </c>
      <c r="T6" t="s" s="4">
        <v>43</v>
      </c>
    </row>
    <row r="7" ht="16" customHeight="1">
      <c r="A7" s="36"/>
      <c r="B7" s="36"/>
      <c r="C7" t="s" s="23">
        <v>54</v>
      </c>
      <c r="D7" t="s" s="23">
        <v>35</v>
      </c>
      <c r="E7" s="24">
        <v>782</v>
      </c>
      <c r="F7" s="24">
        <v>130</v>
      </c>
      <c r="G7" s="25" cm="1">
        <f t="array" ref="G7">H7*Q7</f>
        <v>10</v>
      </c>
      <c r="H7" s="25" cm="1">
        <f t="array" ref="H7">P7*5</f>
        <v>10</v>
      </c>
      <c r="I7" t="s" s="23">
        <v>55</v>
      </c>
      <c r="J7" s="26"/>
      <c r="K7" s="26"/>
      <c r="L7" s="26"/>
      <c r="M7" s="27">
        <v>1</v>
      </c>
      <c r="N7" s="28"/>
      <c r="O7" t="s" s="23">
        <v>37</v>
      </c>
      <c r="P7" s="29" cm="1">
        <f t="array" ref="P7">CEILING(MIN(2,E7/'대당 타설량'!B4),1)</f>
        <v>2</v>
      </c>
      <c r="Q7" s="25" cm="1">
        <f t="array" ref="Q7">MAX(1,IF(E7/(F7*H7)-INT(E7/(F7*H7))&lt;0.5,ROUNDDOWN(E7/(F7*H7),0),ROUNDUP(E7/(F7*H7),0)))</f>
        <v>1</v>
      </c>
      <c r="R7" s="20">
        <v>3</v>
      </c>
      <c r="S7" s="20" cm="1">
        <f t="array" ref="S7">ROUNDUP(Q7+R7,0)</f>
        <v>4</v>
      </c>
      <c r="T7" t="s" s="4">
        <v>38</v>
      </c>
    </row>
    <row r="8" ht="16" customHeight="1">
      <c r="A8" s="22"/>
      <c r="B8" s="22"/>
      <c r="C8" t="s" s="43">
        <v>56</v>
      </c>
      <c r="D8" t="s" s="43">
        <v>32</v>
      </c>
      <c r="E8" s="44" cm="1">
        <f t="array" ref="E8">E4+E6</f>
        <v>4855</v>
      </c>
      <c r="F8" s="44">
        <v>50</v>
      </c>
      <c r="G8" s="45" cm="1">
        <f t="array" ref="G8">ROUNDUP(E8/F8,0)</f>
        <v>98</v>
      </c>
      <c r="H8" s="45" cm="1">
        <f t="array" ref="H8">ROUNDUP(G8/Q8,0)</f>
        <v>7</v>
      </c>
      <c r="I8" t="s" s="43">
        <v>33</v>
      </c>
      <c r="J8" s="16">
        <v>2</v>
      </c>
      <c r="K8" s="16">
        <v>24</v>
      </c>
      <c r="L8" s="16" cm="1">
        <f t="array" ref="L8">N8/J8</f>
        <v>14</v>
      </c>
      <c r="M8" s="17">
        <v>1.2</v>
      </c>
      <c r="N8" s="18" cm="1">
        <f t="array" ref="N8">ROUND(M8*K8/J8,0)*J8</f>
        <v>28</v>
      </c>
      <c r="O8" s="46"/>
      <c r="P8" s="46"/>
      <c r="Q8" s="45">
        <v>16</v>
      </c>
      <c r="R8" s="20"/>
      <c r="S8" s="20" cm="1">
        <f t="array" ref="S8">ROUNDUP(Q8+R8,0)</f>
        <v>16</v>
      </c>
      <c r="T8" s="21"/>
    </row>
    <row r="9" ht="16" customHeight="1">
      <c r="A9" t="s" s="11">
        <v>47</v>
      </c>
      <c r="B9" t="s" s="11">
        <v>57</v>
      </c>
      <c r="C9" t="s" s="30">
        <v>40</v>
      </c>
      <c r="D9" t="s" s="30">
        <v>32</v>
      </c>
      <c r="E9" s="31"/>
      <c r="F9" s="31"/>
      <c r="G9" s="32"/>
      <c r="H9" s="32">
        <v>3</v>
      </c>
      <c r="I9" t="s" s="30">
        <v>33</v>
      </c>
      <c r="J9" s="33">
        <v>3</v>
      </c>
      <c r="K9" s="33">
        <v>6</v>
      </c>
      <c r="L9" s="33" cm="1">
        <f t="array" ref="L9">N9/J9</f>
        <v>2</v>
      </c>
      <c r="M9" s="34">
        <v>1</v>
      </c>
      <c r="N9" s="18" cm="1">
        <f t="array" ref="N9">ROUND(M9*K9/J9,0)*J9</f>
        <v>6</v>
      </c>
      <c r="O9" s="35"/>
      <c r="P9" s="35"/>
      <c r="Q9" s="32"/>
      <c r="R9" s="20">
        <v>1</v>
      </c>
      <c r="S9" s="20" cm="1">
        <f t="array" ref="S9">ROUNDUP(Q9+R9,0)</f>
        <v>1</v>
      </c>
      <c r="T9" s="21"/>
    </row>
    <row r="10" ht="16" customHeight="1">
      <c r="A10" s="36"/>
      <c r="B10" s="36"/>
      <c r="C10" t="s" s="37">
        <v>49</v>
      </c>
      <c r="D10" t="s" s="37">
        <v>42</v>
      </c>
      <c r="E10" s="38">
        <v>45.68</v>
      </c>
      <c r="F10" s="38">
        <v>0.7</v>
      </c>
      <c r="G10" s="39" cm="1">
        <f t="array" ref="G10">ROUNDUP(E10/F10,0)</f>
        <v>66</v>
      </c>
      <c r="H10" s="39" cm="1">
        <f t="array" ref="H10">ROUNDUP(G10/Q10,0)</f>
        <v>14</v>
      </c>
      <c r="I10" t="s" s="37">
        <v>33</v>
      </c>
      <c r="J10" s="16">
        <v>3</v>
      </c>
      <c r="K10" s="16">
        <v>18</v>
      </c>
      <c r="L10" s="16" cm="1">
        <f t="array" ref="L10">N10/J10</f>
        <v>7</v>
      </c>
      <c r="M10" s="17">
        <v>1.2</v>
      </c>
      <c r="N10" s="18" cm="1">
        <f t="array" ref="N10">ROUND(M10*K10/J10,0)*J10</f>
        <v>21</v>
      </c>
      <c r="O10" s="40"/>
      <c r="P10" s="40"/>
      <c r="Q10" s="39">
        <v>5</v>
      </c>
      <c r="R10" s="20">
        <v>0.5</v>
      </c>
      <c r="S10" s="20" cm="1">
        <f t="array" ref="S10">ROUNDUP(Q10+R10,0)</f>
        <v>6</v>
      </c>
      <c r="T10" t="s" s="4">
        <v>43</v>
      </c>
    </row>
    <row r="11" ht="16" customHeight="1">
      <c r="A11" s="36"/>
      <c r="B11" s="36"/>
      <c r="C11" t="s" s="13">
        <v>58</v>
      </c>
      <c r="D11" t="s" s="13">
        <v>32</v>
      </c>
      <c r="E11" s="14">
        <v>4564.8</v>
      </c>
      <c r="F11" s="14">
        <v>9</v>
      </c>
      <c r="G11" s="15" cm="1">
        <f t="array" ref="G11">ROUNDUP(E11/F11,0)</f>
        <v>508</v>
      </c>
      <c r="H11" s="15" cm="1">
        <f t="array" ref="H11">ROUNDUP(G11/Q11,0)</f>
        <v>27</v>
      </c>
      <c r="I11" t="s" s="13">
        <v>33</v>
      </c>
      <c r="J11" s="16">
        <v>2</v>
      </c>
      <c r="K11" s="16">
        <v>10</v>
      </c>
      <c r="L11" s="16" cm="1">
        <f t="array" ref="L11">N11/J11</f>
        <v>6</v>
      </c>
      <c r="M11" s="17">
        <v>1.2</v>
      </c>
      <c r="N11" s="18" cm="1">
        <f t="array" ref="N11">ROUND(M11*K11/J11,0)*J11</f>
        <v>12</v>
      </c>
      <c r="O11" s="19"/>
      <c r="P11" s="19"/>
      <c r="Q11" s="15">
        <v>19</v>
      </c>
      <c r="R11" s="20">
        <v>0.5</v>
      </c>
      <c r="S11" s="20" cm="1">
        <f t="array" ref="S11">ROUNDUP(Q11+R11,0)</f>
        <v>20</v>
      </c>
      <c r="T11" t="s" s="4">
        <v>43</v>
      </c>
    </row>
    <row r="12" ht="16" customHeight="1">
      <c r="A12" s="36"/>
      <c r="B12" s="36"/>
      <c r="C12" t="s" s="37">
        <v>52</v>
      </c>
      <c r="D12" t="s" s="37">
        <v>42</v>
      </c>
      <c r="E12" s="38">
        <v>45.68</v>
      </c>
      <c r="F12" s="38">
        <v>0.7</v>
      </c>
      <c r="G12" s="39" cm="1">
        <f t="array" ref="G12">ROUNDUP(E12/F12,0)</f>
        <v>66</v>
      </c>
      <c r="H12" s="39" cm="1">
        <f t="array" ref="H12">ROUNDUP(G12/Q12,0)</f>
        <v>14</v>
      </c>
      <c r="I12" t="s" s="37">
        <v>33</v>
      </c>
      <c r="J12" s="16">
        <v>3</v>
      </c>
      <c r="K12" s="16">
        <v>18</v>
      </c>
      <c r="L12" s="16" cm="1">
        <f t="array" ref="L12">N12/J12</f>
        <v>7</v>
      </c>
      <c r="M12" s="17">
        <v>1.2</v>
      </c>
      <c r="N12" s="18" cm="1">
        <f t="array" ref="N12">ROUND(M12*K12/J12,0)*J12</f>
        <v>21</v>
      </c>
      <c r="O12" s="40"/>
      <c r="P12" s="40"/>
      <c r="Q12" s="39">
        <v>5</v>
      </c>
      <c r="R12" s="20">
        <v>0.5</v>
      </c>
      <c r="S12" s="20" cm="1">
        <f t="array" ref="S12">ROUNDUP(Q12+R12,0)</f>
        <v>6</v>
      </c>
      <c r="T12" t="s" s="4">
        <v>43</v>
      </c>
    </row>
    <row r="13" ht="16" customHeight="1">
      <c r="A13" s="36"/>
      <c r="B13" s="36"/>
      <c r="C13" t="s" s="13">
        <v>53</v>
      </c>
      <c r="D13" t="s" s="13">
        <v>32</v>
      </c>
      <c r="E13" s="14">
        <v>253.6</v>
      </c>
      <c r="F13" s="14">
        <v>10</v>
      </c>
      <c r="G13" s="15" cm="1">
        <f t="array" ref="G13">ROUNDUP(E13/F13,0)</f>
        <v>26</v>
      </c>
      <c r="H13" s="15" cm="1">
        <f t="array" ref="H13">ROUNDUP(G13/Q13,0)</f>
        <v>13</v>
      </c>
      <c r="I13" t="s" s="13">
        <v>33</v>
      </c>
      <c r="J13" s="16">
        <v>2</v>
      </c>
      <c r="K13" s="16">
        <v>24</v>
      </c>
      <c r="L13" s="16" cm="1">
        <f t="array" ref="L13">N13/J13</f>
        <v>14</v>
      </c>
      <c r="M13" s="17">
        <v>1.2</v>
      </c>
      <c r="N13" s="18" cm="1">
        <f t="array" ref="N13">ROUND(M13*K13/J13,0)*J13</f>
        <v>28</v>
      </c>
      <c r="O13" s="19"/>
      <c r="P13" s="19"/>
      <c r="Q13" s="15">
        <v>2</v>
      </c>
      <c r="R13" s="20">
        <v>0.5</v>
      </c>
      <c r="S13" s="20" cm="1">
        <f t="array" ref="S13">ROUNDUP(Q13+R13,0)</f>
        <v>3</v>
      </c>
      <c r="T13" t="s" s="4">
        <v>43</v>
      </c>
    </row>
    <row r="14" ht="16" customHeight="1">
      <c r="A14" s="36"/>
      <c r="B14" s="36"/>
      <c r="C14" t="s" s="23">
        <v>54</v>
      </c>
      <c r="D14" t="s" s="23">
        <v>35</v>
      </c>
      <c r="E14" s="24">
        <v>748.2</v>
      </c>
      <c r="F14" s="24">
        <v>130</v>
      </c>
      <c r="G14" s="25" cm="1">
        <f t="array" ref="G14">H14*Q14</f>
        <v>10</v>
      </c>
      <c r="H14" s="25" cm="1">
        <f t="array" ref="H14">P14*5</f>
        <v>10</v>
      </c>
      <c r="I14" t="s" s="23">
        <v>55</v>
      </c>
      <c r="J14" s="26"/>
      <c r="K14" s="26"/>
      <c r="L14" s="26"/>
      <c r="M14" s="27">
        <v>1</v>
      </c>
      <c r="N14" s="28"/>
      <c r="O14" t="s" s="23">
        <v>37</v>
      </c>
      <c r="P14" s="29" cm="1">
        <f t="array" ref="P14">CEILING(MIN(2,E14/'대당 타설량'!B4),1)</f>
        <v>2</v>
      </c>
      <c r="Q14" s="25" cm="1">
        <f t="array" ref="Q14">MAX(1,IF(E14/(F14*H14)-INT(E14/(F14*H14))&lt;0.5,ROUNDDOWN(E14/(F14*H14),0),ROUNDUP(E14/(F14*H14),0)))</f>
        <v>1</v>
      </c>
      <c r="R14" s="20">
        <v>3</v>
      </c>
      <c r="S14" s="20" cm="1">
        <f t="array" ref="S14">ROUNDUP(Q14+R14,0)</f>
        <v>4</v>
      </c>
      <c r="T14" t="s" s="4">
        <v>38</v>
      </c>
    </row>
    <row r="15" ht="16" customHeight="1">
      <c r="A15" s="22"/>
      <c r="B15" s="22"/>
      <c r="C15" t="s" s="43">
        <v>56</v>
      </c>
      <c r="D15" t="s" s="43">
        <v>32</v>
      </c>
      <c r="E15" s="44" cm="1">
        <f t="array" ref="E15">E11+E13</f>
        <v>4818.4</v>
      </c>
      <c r="F15" s="44">
        <v>50</v>
      </c>
      <c r="G15" s="45" cm="1">
        <f t="array" ref="G15">ROUNDUP(E15/F15,0)</f>
        <v>97</v>
      </c>
      <c r="H15" s="45" cm="1">
        <f t="array" ref="H15">ROUNDUP(G15/Q15,0)</f>
        <v>5</v>
      </c>
      <c r="I15" t="s" s="43">
        <v>33</v>
      </c>
      <c r="J15" s="16">
        <v>2</v>
      </c>
      <c r="K15" s="16">
        <v>26</v>
      </c>
      <c r="L15" s="16" cm="1">
        <f t="array" ref="L15">N15/J15</f>
        <v>16</v>
      </c>
      <c r="M15" s="17">
        <v>1.2</v>
      </c>
      <c r="N15" s="18" cm="1">
        <f t="array" ref="N15">ROUND(M15*K15/J15,0)*J15</f>
        <v>32</v>
      </c>
      <c r="O15" s="46"/>
      <c r="P15" s="46"/>
      <c r="Q15" s="45">
        <v>22</v>
      </c>
      <c r="R15" s="20"/>
      <c r="S15" s="20" cm="1">
        <f t="array" ref="S15">ROUNDUP(Q15+R15,0)</f>
        <v>22</v>
      </c>
      <c r="T15" s="21"/>
    </row>
  </sheetData>
  <mergeCells count="4">
    <mergeCell ref="A9:A15"/>
    <mergeCell ref="B9:B15"/>
    <mergeCell ref="A2:A8"/>
    <mergeCell ref="B2:B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T9"/>
  <sheetViews>
    <sheetView workbookViewId="0" showGridLines="0" defaultGridColor="1"/>
  </sheetViews>
  <sheetFormatPr defaultColWidth="8.83333" defaultRowHeight="16.5" customHeight="1" outlineLevelRow="0" outlineLevelCol="0"/>
  <cols>
    <col min="1" max="1" width="5.67188" style="47" customWidth="1"/>
    <col min="2" max="2" width="11.8516" style="47" customWidth="1"/>
    <col min="3" max="3" width="14.1719" style="47" customWidth="1"/>
    <col min="4" max="4" width="4.17188" style="47" customWidth="1"/>
    <col min="5" max="5" width="7.5" style="47" customWidth="1"/>
    <col min="6" max="7" width="9.35156" style="47" customWidth="1"/>
    <col min="8" max="8" width="10.3516" style="47" customWidth="1"/>
    <col min="9" max="9" width="21.1719" style="47" customWidth="1"/>
    <col min="10" max="10" width="12.5" style="47" customWidth="1"/>
    <col min="11" max="11" width="7.85156" style="47" customWidth="1"/>
    <col min="12" max="12" width="9.35156" style="47" customWidth="1"/>
    <col min="13" max="13" width="12.5" style="47" customWidth="1"/>
    <col min="14" max="14" width="10.5" style="47" customWidth="1"/>
    <col min="15" max="15" width="12.5" style="47" customWidth="1"/>
    <col min="16" max="16" width="7.35156" style="47" customWidth="1"/>
    <col min="17" max="17" width="7.85156" style="47" customWidth="1"/>
    <col min="18" max="18" width="5.67188" style="47" customWidth="1"/>
    <col min="19" max="19" width="8.85156" style="47" customWidth="1"/>
    <col min="20" max="20" width="10.5" style="47" customWidth="1"/>
    <col min="21" max="16384" width="8.85156" style="47" customWidth="1"/>
  </cols>
  <sheetData>
    <row r="1" ht="16" customHeight="1">
      <c r="A1" t="s" s="9">
        <v>0</v>
      </c>
      <c r="B1" t="s" s="9">
        <v>12</v>
      </c>
      <c r="C1" t="s" s="10">
        <v>13</v>
      </c>
      <c r="D1" t="s" s="9">
        <v>14</v>
      </c>
      <c r="E1" t="s" s="9">
        <v>15</v>
      </c>
      <c r="F1" t="s" s="10">
        <v>16</v>
      </c>
      <c r="G1" t="s" s="10">
        <v>17</v>
      </c>
      <c r="H1" t="s" s="10">
        <v>18</v>
      </c>
      <c r="I1" t="s" s="10">
        <v>19</v>
      </c>
      <c r="J1" t="s" s="10">
        <v>20</v>
      </c>
      <c r="K1" t="s" s="10">
        <v>21</v>
      </c>
      <c r="L1" t="s" s="10">
        <v>22</v>
      </c>
      <c r="M1" t="s" s="10">
        <v>23</v>
      </c>
      <c r="N1" t="s" s="10">
        <v>24</v>
      </c>
      <c r="O1" t="s" s="9">
        <v>25</v>
      </c>
      <c r="P1" t="s" s="9">
        <v>26</v>
      </c>
      <c r="Q1" t="s" s="10">
        <v>27</v>
      </c>
      <c r="R1" t="s" s="9">
        <v>28</v>
      </c>
      <c r="S1" t="s" s="10">
        <v>29</v>
      </c>
      <c r="T1" t="s" s="9">
        <v>30</v>
      </c>
    </row>
    <row r="2" ht="16" customHeight="1">
      <c r="A2" t="s" s="11">
        <v>47</v>
      </c>
      <c r="B2" t="s" s="11">
        <v>59</v>
      </c>
      <c r="C2" t="s" s="30">
        <v>40</v>
      </c>
      <c r="D2" t="s" s="30">
        <v>32</v>
      </c>
      <c r="E2" s="31"/>
      <c r="F2" s="31"/>
      <c r="G2" s="32"/>
      <c r="H2" s="32">
        <v>3</v>
      </c>
      <c r="I2" t="s" s="30">
        <v>33</v>
      </c>
      <c r="J2" s="33">
        <v>3</v>
      </c>
      <c r="K2" s="33">
        <v>6</v>
      </c>
      <c r="L2" s="33" cm="1">
        <f t="array" ref="L2">N2/J2</f>
        <v>2</v>
      </c>
      <c r="M2" s="34">
        <v>1</v>
      </c>
      <c r="N2" s="18" cm="1">
        <f t="array" ref="N2">ROUND(M2*K2/J2,0)*J2</f>
        <v>6</v>
      </c>
      <c r="O2" s="35"/>
      <c r="P2" s="35"/>
      <c r="Q2" s="42">
        <v>1</v>
      </c>
      <c r="R2" s="20"/>
      <c r="S2" s="20" cm="1">
        <f t="array" ref="S2">ROUNDUP(Q2+R2,0)</f>
        <v>1</v>
      </c>
      <c r="T2" s="21"/>
    </row>
    <row r="3" ht="16" customHeight="1">
      <c r="A3" s="36"/>
      <c r="B3" s="36"/>
      <c r="C3" t="s" s="37">
        <v>49</v>
      </c>
      <c r="D3" t="s" s="37">
        <v>42</v>
      </c>
      <c r="E3" s="38">
        <v>53.1</v>
      </c>
      <c r="F3" s="38">
        <v>0.8</v>
      </c>
      <c r="G3" s="39" cm="1">
        <f t="array" ref="G3">ROUNDUP(E3/F3,0)</f>
        <v>67</v>
      </c>
      <c r="H3" s="39" cm="1">
        <f t="array" ref="H3">ROUNDUP(G3/Q3,0)</f>
        <v>14</v>
      </c>
      <c r="I3" t="s" s="37">
        <v>33</v>
      </c>
      <c r="J3" s="16">
        <v>3</v>
      </c>
      <c r="K3" s="16">
        <v>18</v>
      </c>
      <c r="L3" s="16" cm="1">
        <f t="array" ref="L3">N3/J3</f>
        <v>7</v>
      </c>
      <c r="M3" s="17">
        <v>1.2</v>
      </c>
      <c r="N3" s="18" cm="1">
        <f t="array" ref="N3">ROUND(M3*K3/J3,0)*J3</f>
        <v>21</v>
      </c>
      <c r="O3" s="40"/>
      <c r="P3" s="40"/>
      <c r="Q3" s="39">
        <v>5</v>
      </c>
      <c r="R3" s="20">
        <v>0.5</v>
      </c>
      <c r="S3" s="20" cm="1">
        <f t="array" ref="S3">ROUNDUP(Q3+R3,0)</f>
        <v>6</v>
      </c>
      <c r="T3" t="s" s="4">
        <v>43</v>
      </c>
    </row>
    <row r="4" ht="16" customHeight="1">
      <c r="A4" s="36"/>
      <c r="B4" s="36"/>
      <c r="C4" t="s" s="48">
        <v>60</v>
      </c>
      <c r="D4" t="s" s="48">
        <v>32</v>
      </c>
      <c r="E4" s="49">
        <v>400</v>
      </c>
      <c r="F4" s="49">
        <v>20</v>
      </c>
      <c r="G4" s="50" cm="1">
        <f t="array" ref="G4">ROUNDUP(E4/F4,0)</f>
        <v>20</v>
      </c>
      <c r="H4" s="50" cm="1">
        <f t="array" ref="H4">ROUNDUP(G4/Q4,0)</f>
        <v>4</v>
      </c>
      <c r="I4" s="51"/>
      <c r="J4" s="52">
        <v>5</v>
      </c>
      <c r="K4" s="53">
        <v>25</v>
      </c>
      <c r="L4" s="16" cm="1">
        <f t="array" ref="L4">N4/J4</f>
        <v>6</v>
      </c>
      <c r="M4" s="17">
        <v>1.2</v>
      </c>
      <c r="N4" s="54" cm="1">
        <f t="array" ref="N4">ROUND(M4*K4/J4,0)*J4</f>
        <v>30</v>
      </c>
      <c r="O4" s="51"/>
      <c r="P4" s="51"/>
      <c r="Q4" s="50">
        <v>6</v>
      </c>
      <c r="R4" s="20"/>
      <c r="S4" s="55" cm="1">
        <f t="array" ref="S4">ROUNDUP(Q4+R4,0)</f>
        <v>6</v>
      </c>
      <c r="T4" s="56"/>
    </row>
    <row r="5" ht="16" customHeight="1">
      <c r="A5" s="36"/>
      <c r="B5" s="36"/>
      <c r="C5" t="s" s="13">
        <v>61</v>
      </c>
      <c r="D5" t="s" s="13">
        <v>32</v>
      </c>
      <c r="E5" s="14">
        <v>4612.25</v>
      </c>
      <c r="F5" s="14">
        <v>11</v>
      </c>
      <c r="G5" s="15" cm="1">
        <f t="array" ref="G5">ROUNDUP(E5/F5,0)</f>
        <v>420</v>
      </c>
      <c r="H5" s="15" cm="1">
        <f t="array" ref="H5">ROUNDUP(G5/Q5,0)</f>
        <v>25</v>
      </c>
      <c r="I5" t="s" s="13">
        <v>33</v>
      </c>
      <c r="J5" s="16">
        <v>2</v>
      </c>
      <c r="K5" s="16">
        <v>16</v>
      </c>
      <c r="L5" s="16" cm="1">
        <f t="array" ref="L5">N5/J5</f>
        <v>10</v>
      </c>
      <c r="M5" s="17">
        <v>1.2</v>
      </c>
      <c r="N5" s="57" cm="1">
        <f t="array" ref="N5">ROUND(M5*K5/J5,0)*J5</f>
        <v>20</v>
      </c>
      <c r="O5" s="19"/>
      <c r="P5" s="19"/>
      <c r="Q5" s="15">
        <v>17</v>
      </c>
      <c r="R5" s="20">
        <v>1</v>
      </c>
      <c r="S5" s="58" cm="1">
        <f t="array" ref="S5">ROUNDUP(Q5+R5,0)</f>
        <v>18</v>
      </c>
      <c r="T5" t="s" s="4">
        <v>51</v>
      </c>
    </row>
    <row r="6" ht="16" customHeight="1">
      <c r="A6" s="36"/>
      <c r="B6" s="36"/>
      <c r="C6" t="s" s="37">
        <v>52</v>
      </c>
      <c r="D6" t="s" s="37">
        <v>42</v>
      </c>
      <c r="E6" s="38">
        <v>64.91</v>
      </c>
      <c r="F6" s="38">
        <v>0.8</v>
      </c>
      <c r="G6" s="39" cm="1">
        <f t="array" ref="G6">ROUNDUP(E6/F6,0)</f>
        <v>82</v>
      </c>
      <c r="H6" s="39" cm="1">
        <f t="array" ref="H6">ROUNDUP(G6/Q6,0)</f>
        <v>17</v>
      </c>
      <c r="I6" t="s" s="37">
        <v>33</v>
      </c>
      <c r="J6" s="16">
        <v>3</v>
      </c>
      <c r="K6" s="16">
        <v>18</v>
      </c>
      <c r="L6" s="16" cm="1">
        <f t="array" ref="L6">N6/J6</f>
        <v>7</v>
      </c>
      <c r="M6" s="17">
        <v>1.2</v>
      </c>
      <c r="N6" s="18" cm="1">
        <f t="array" ref="N6">ROUND(M6*K6/J6,0)*J6</f>
        <v>21</v>
      </c>
      <c r="O6" s="40"/>
      <c r="P6" s="40"/>
      <c r="Q6" s="39">
        <v>5</v>
      </c>
      <c r="R6" s="20">
        <v>0.5</v>
      </c>
      <c r="S6" s="20" cm="1">
        <f t="array" ref="S6">ROUNDUP(Q6+R6,0)</f>
        <v>6</v>
      </c>
      <c r="T6" t="s" s="4">
        <v>43</v>
      </c>
    </row>
    <row r="7" ht="16" customHeight="1">
      <c r="A7" s="36"/>
      <c r="B7" s="36"/>
      <c r="C7" t="s" s="13">
        <v>53</v>
      </c>
      <c r="D7" t="s" s="13">
        <v>32</v>
      </c>
      <c r="E7" s="14">
        <v>242.75</v>
      </c>
      <c r="F7" s="14">
        <v>11</v>
      </c>
      <c r="G7" s="15" cm="1">
        <f t="array" ref="G7">ROUNDUP(E7/F7,0)</f>
        <v>23</v>
      </c>
      <c r="H7" s="15" cm="1">
        <f t="array" ref="H7">ROUNDUP(G7/Q7,0)</f>
        <v>12</v>
      </c>
      <c r="I7" t="s" s="13">
        <v>33</v>
      </c>
      <c r="J7" s="16">
        <v>2</v>
      </c>
      <c r="K7" s="16">
        <v>12</v>
      </c>
      <c r="L7" s="16" cm="1">
        <f t="array" ref="L7">N7/J7</f>
        <v>7</v>
      </c>
      <c r="M7" s="17">
        <v>1.2</v>
      </c>
      <c r="N7" s="18" cm="1">
        <f t="array" ref="N7">ROUND(M7*K7/J7,0)*J7</f>
        <v>14</v>
      </c>
      <c r="O7" s="19"/>
      <c r="P7" s="19"/>
      <c r="Q7" s="15">
        <v>2</v>
      </c>
      <c r="R7" s="20">
        <v>0.5</v>
      </c>
      <c r="S7" s="20" cm="1">
        <f t="array" ref="S7">ROUNDUP(Q7+R7,0)</f>
        <v>3</v>
      </c>
      <c r="T7" t="s" s="4">
        <v>43</v>
      </c>
    </row>
    <row r="8" ht="16" customHeight="1">
      <c r="A8" s="36"/>
      <c r="B8" s="36"/>
      <c r="C8" t="s" s="23">
        <v>54</v>
      </c>
      <c r="D8" t="s" s="23">
        <v>35</v>
      </c>
      <c r="E8" s="24">
        <v>782</v>
      </c>
      <c r="F8" s="24">
        <v>130</v>
      </c>
      <c r="G8" s="25" cm="1">
        <f t="array" ref="G8">H8*Q8</f>
        <v>10</v>
      </c>
      <c r="H8" s="25" cm="1">
        <f t="array" ref="H8">P8*5</f>
        <v>10</v>
      </c>
      <c r="I8" t="s" s="23">
        <v>55</v>
      </c>
      <c r="J8" s="26"/>
      <c r="K8" s="26"/>
      <c r="L8" s="26"/>
      <c r="M8" s="27">
        <v>1</v>
      </c>
      <c r="N8" s="28"/>
      <c r="O8" t="s" s="23">
        <v>37</v>
      </c>
      <c r="P8" s="29" cm="1">
        <f t="array" ref="P8">CEILING(MIN(2,E8/'대당 타설량'!B4),1)</f>
        <v>2</v>
      </c>
      <c r="Q8" s="25" cm="1">
        <f t="array" ref="Q8">MAX(1,IF(E8/(F8*H8)-INT(E8/(F8*H8))&lt;0.5,ROUNDDOWN(E8/(F8*H8),0),ROUNDUP(E8/(F8*H8),0)))</f>
        <v>1</v>
      </c>
      <c r="R8" s="20">
        <v>3</v>
      </c>
      <c r="S8" s="20" cm="1">
        <f t="array" ref="S8">ROUNDUP(Q8+R8,0)</f>
        <v>4</v>
      </c>
      <c r="T8" t="s" s="4">
        <v>38</v>
      </c>
    </row>
    <row r="9" ht="16" customHeight="1">
      <c r="A9" s="22"/>
      <c r="B9" s="22"/>
      <c r="C9" t="s" s="43">
        <v>56</v>
      </c>
      <c r="D9" t="s" s="43">
        <v>32</v>
      </c>
      <c r="E9" s="44" cm="1">
        <f t="array" ref="E9">E5+E7</f>
        <v>4855</v>
      </c>
      <c r="F9" s="44">
        <v>50</v>
      </c>
      <c r="G9" s="45" cm="1">
        <f t="array" ref="G9">ROUNDUP(E9/F9,0)</f>
        <v>98</v>
      </c>
      <c r="H9" s="45" cm="1">
        <f t="array" ref="H9">ROUNDUP(G9/Q9,0)</f>
        <v>7</v>
      </c>
      <c r="I9" t="s" s="43">
        <v>33</v>
      </c>
      <c r="J9" s="16">
        <v>2</v>
      </c>
      <c r="K9" s="16">
        <v>24</v>
      </c>
      <c r="L9" s="16" cm="1">
        <f t="array" ref="L9">N9/J9</f>
        <v>14</v>
      </c>
      <c r="M9" s="17">
        <v>1.2</v>
      </c>
      <c r="N9" s="18" cm="1">
        <f t="array" ref="N9">ROUND(M9*K9/J9,0)*J9</f>
        <v>28</v>
      </c>
      <c r="O9" s="46"/>
      <c r="P9" s="46"/>
      <c r="Q9" s="45">
        <v>16</v>
      </c>
      <c r="R9" s="20"/>
      <c r="S9" s="20" cm="1">
        <f t="array" ref="S9">ROUNDUP(Q9+R9,0)</f>
        <v>16</v>
      </c>
      <c r="T9" s="21"/>
    </row>
  </sheetData>
  <mergeCells count="2">
    <mergeCell ref="A2:A9"/>
    <mergeCell ref="B2:B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T19"/>
  <sheetViews>
    <sheetView workbookViewId="0" showGridLines="0" defaultGridColor="1"/>
  </sheetViews>
  <sheetFormatPr defaultColWidth="8.83333" defaultRowHeight="16.5" customHeight="1" outlineLevelRow="0" outlineLevelCol="0"/>
  <cols>
    <col min="1" max="1" width="5.67188" style="59" customWidth="1"/>
    <col min="2" max="2" width="4.17188" style="59" customWidth="1"/>
    <col min="3" max="3" width="15.6719" style="59" customWidth="1"/>
    <col min="4" max="4" width="4.17188" style="59" customWidth="1"/>
    <col min="5" max="5" width="7.5" style="59" customWidth="1"/>
    <col min="6" max="7" width="9.35156" style="59" customWidth="1"/>
    <col min="8" max="8" width="10.3516" style="59" customWidth="1"/>
    <col min="9" max="9" width="21.1719" style="59" customWidth="1"/>
    <col min="10" max="10" width="12.5" style="59" customWidth="1"/>
    <col min="11" max="11" width="7.85156" style="59" customWidth="1"/>
    <col min="12" max="12" width="9.35156" style="59" customWidth="1"/>
    <col min="13" max="13" width="12.5" style="59" customWidth="1"/>
    <col min="14" max="14" width="10.5" style="59" customWidth="1"/>
    <col min="15" max="15" width="12.5" style="59" customWidth="1"/>
    <col min="16" max="16" width="7.35156" style="59" customWidth="1"/>
    <col min="17" max="17" width="7.85156" style="59" customWidth="1"/>
    <col min="18" max="18" width="5.67188" style="59" customWidth="1"/>
    <col min="19" max="19" width="8.85156" style="59" customWidth="1"/>
    <col min="20" max="20" width="10.5" style="59" customWidth="1"/>
    <col min="21" max="16384" width="8.85156" style="59" customWidth="1"/>
  </cols>
  <sheetData>
    <row r="1" ht="16" customHeight="1">
      <c r="A1" t="s" s="9">
        <v>0</v>
      </c>
      <c r="B1" t="s" s="9">
        <v>12</v>
      </c>
      <c r="C1" t="s" s="10">
        <v>13</v>
      </c>
      <c r="D1" t="s" s="9">
        <v>14</v>
      </c>
      <c r="E1" t="s" s="9">
        <v>15</v>
      </c>
      <c r="F1" t="s" s="10">
        <v>16</v>
      </c>
      <c r="G1" t="s" s="10">
        <v>17</v>
      </c>
      <c r="H1" t="s" s="10">
        <v>18</v>
      </c>
      <c r="I1" t="s" s="10">
        <v>19</v>
      </c>
      <c r="J1" t="s" s="10">
        <v>20</v>
      </c>
      <c r="K1" t="s" s="10">
        <v>21</v>
      </c>
      <c r="L1" t="s" s="10">
        <v>22</v>
      </c>
      <c r="M1" t="s" s="10">
        <v>23</v>
      </c>
      <c r="N1" t="s" s="10">
        <v>24</v>
      </c>
      <c r="O1" t="s" s="9">
        <v>25</v>
      </c>
      <c r="P1" t="s" s="9">
        <v>26</v>
      </c>
      <c r="Q1" t="s" s="10">
        <v>27</v>
      </c>
      <c r="R1" t="s" s="9">
        <v>28</v>
      </c>
      <c r="S1" t="s" s="10">
        <v>29</v>
      </c>
      <c r="T1" t="s" s="9">
        <v>30</v>
      </c>
    </row>
    <row r="2" ht="16" customHeight="1">
      <c r="A2" t="s" s="11">
        <v>47</v>
      </c>
      <c r="B2" t="s" s="11">
        <v>48</v>
      </c>
      <c r="C2" t="s" s="30">
        <v>40</v>
      </c>
      <c r="D2" t="s" s="30">
        <v>32</v>
      </c>
      <c r="E2" s="31"/>
      <c r="F2" s="31"/>
      <c r="G2" s="32"/>
      <c r="H2" s="32">
        <v>3</v>
      </c>
      <c r="I2" t="s" s="30">
        <v>33</v>
      </c>
      <c r="J2" s="33">
        <v>3</v>
      </c>
      <c r="K2" s="33">
        <v>6</v>
      </c>
      <c r="L2" s="33" cm="1">
        <f t="array" ref="L2">N2/J2</f>
        <v>2</v>
      </c>
      <c r="M2" s="34">
        <v>1</v>
      </c>
      <c r="N2" s="18" cm="1">
        <f t="array" ref="N2">ROUND(M2*K2/J2,0)*J2</f>
        <v>6</v>
      </c>
      <c r="O2" s="35"/>
      <c r="P2" s="35"/>
      <c r="Q2" s="42">
        <v>1</v>
      </c>
      <c r="R2" s="20"/>
      <c r="S2" s="20" cm="1">
        <f t="array" ref="S2">ROUNDUP(Q2+R2,0)</f>
        <v>1</v>
      </c>
      <c r="T2" s="21"/>
    </row>
    <row r="3" ht="16" customHeight="1">
      <c r="A3" s="36"/>
      <c r="B3" s="36"/>
      <c r="C3" t="s" s="37">
        <v>49</v>
      </c>
      <c r="D3" t="s" s="37">
        <v>42</v>
      </c>
      <c r="E3" s="38">
        <v>53.1</v>
      </c>
      <c r="F3" s="38">
        <v>0.8</v>
      </c>
      <c r="G3" s="39" cm="1">
        <f t="array" ref="G3">ROUNDUP(E3/F3,0)</f>
        <v>67</v>
      </c>
      <c r="H3" s="39" cm="1">
        <f t="array" ref="H3">ROUNDUP(G3/Q3,0)</f>
        <v>14</v>
      </c>
      <c r="I3" t="s" s="37">
        <v>33</v>
      </c>
      <c r="J3" s="16">
        <v>3</v>
      </c>
      <c r="K3" s="16">
        <v>18</v>
      </c>
      <c r="L3" s="16" cm="1">
        <f t="array" ref="L3">N3/J3</f>
        <v>7</v>
      </c>
      <c r="M3" s="17">
        <v>1.2</v>
      </c>
      <c r="N3" s="18" cm="1">
        <f t="array" ref="N3">ROUND(M3*K3/J3,0)*J3</f>
        <v>21</v>
      </c>
      <c r="O3" s="40"/>
      <c r="P3" s="40"/>
      <c r="Q3" s="39">
        <v>5</v>
      </c>
      <c r="R3" s="20">
        <v>0.5</v>
      </c>
      <c r="S3" s="20" cm="1">
        <f t="array" ref="S3">ROUNDUP(Q3+R3,0)</f>
        <v>6</v>
      </c>
      <c r="T3" t="s" s="4">
        <v>43</v>
      </c>
    </row>
    <row r="4" ht="16" customHeight="1">
      <c r="A4" s="36"/>
      <c r="B4" s="36"/>
      <c r="C4" t="s" s="13">
        <v>50</v>
      </c>
      <c r="D4" t="s" s="13">
        <v>32</v>
      </c>
      <c r="E4" s="14">
        <v>4612.25</v>
      </c>
      <c r="F4" s="14">
        <v>11</v>
      </c>
      <c r="G4" s="15" cm="1">
        <f t="array" ref="G4">ROUNDUP(E4/F4,0)</f>
        <v>420</v>
      </c>
      <c r="H4" s="15" cm="1">
        <f t="array" ref="H4">ROUNDUP(G4/Q4,0)</f>
        <v>25</v>
      </c>
      <c r="I4" t="s" s="13">
        <v>33</v>
      </c>
      <c r="J4" s="16">
        <v>2</v>
      </c>
      <c r="K4" s="16">
        <v>16</v>
      </c>
      <c r="L4" s="16" cm="1">
        <f t="array" ref="L4">N4/J4</f>
        <v>10</v>
      </c>
      <c r="M4" s="17">
        <v>1.2</v>
      </c>
      <c r="N4" s="18" cm="1">
        <f t="array" ref="N4">ROUND(M4*K4/J4,0)*J4</f>
        <v>20</v>
      </c>
      <c r="O4" s="19"/>
      <c r="P4" s="19"/>
      <c r="Q4" s="15">
        <v>17</v>
      </c>
      <c r="R4" s="20">
        <v>1</v>
      </c>
      <c r="S4" s="20" cm="1">
        <f t="array" ref="S4">ROUNDUP(Q4+R4,0)</f>
        <v>18</v>
      </c>
      <c r="T4" t="s" s="4">
        <v>51</v>
      </c>
    </row>
    <row r="5" ht="16" customHeight="1">
      <c r="A5" s="36"/>
      <c r="B5" s="36"/>
      <c r="C5" t="s" s="37">
        <v>52</v>
      </c>
      <c r="D5" t="s" s="37">
        <v>42</v>
      </c>
      <c r="E5" s="38">
        <v>64.91</v>
      </c>
      <c r="F5" s="38">
        <v>0.8</v>
      </c>
      <c r="G5" s="39" cm="1">
        <f t="array" ref="G5">ROUNDUP(E5/F5,0)</f>
        <v>82</v>
      </c>
      <c r="H5" s="39" cm="1">
        <f t="array" ref="H5">ROUNDUP(G5/Q5,0)</f>
        <v>17</v>
      </c>
      <c r="I5" t="s" s="37">
        <v>33</v>
      </c>
      <c r="J5" s="16">
        <v>3</v>
      </c>
      <c r="K5" s="16">
        <v>18</v>
      </c>
      <c r="L5" s="16" cm="1">
        <f t="array" ref="L5">N5/J5</f>
        <v>7</v>
      </c>
      <c r="M5" s="17">
        <v>1.2</v>
      </c>
      <c r="N5" s="18" cm="1">
        <f t="array" ref="N5">ROUND(M5*K5/J5,0)*J5</f>
        <v>21</v>
      </c>
      <c r="O5" s="40"/>
      <c r="P5" s="40"/>
      <c r="Q5" s="39">
        <v>5</v>
      </c>
      <c r="R5" s="20">
        <v>0.5</v>
      </c>
      <c r="S5" s="20" cm="1">
        <f t="array" ref="S5">ROUNDUP(Q5+R5,0)</f>
        <v>6</v>
      </c>
      <c r="T5" t="s" s="4">
        <v>43</v>
      </c>
    </row>
    <row r="6" ht="16" customHeight="1">
      <c r="A6" s="36"/>
      <c r="B6" s="36"/>
      <c r="C6" t="s" s="13">
        <v>53</v>
      </c>
      <c r="D6" t="s" s="13">
        <v>32</v>
      </c>
      <c r="E6" s="14">
        <v>242.75</v>
      </c>
      <c r="F6" s="14">
        <v>11</v>
      </c>
      <c r="G6" s="15" cm="1">
        <f t="array" ref="G6">ROUNDUP(E6/F6,0)</f>
        <v>23</v>
      </c>
      <c r="H6" s="15" cm="1">
        <f t="array" ref="H6">ROUNDUP(G6/Q6,0)</f>
        <v>12</v>
      </c>
      <c r="I6" t="s" s="13">
        <v>33</v>
      </c>
      <c r="J6" s="16">
        <v>2</v>
      </c>
      <c r="K6" s="16">
        <v>12</v>
      </c>
      <c r="L6" s="16" cm="1">
        <f t="array" ref="L6">N6/J6</f>
        <v>7</v>
      </c>
      <c r="M6" s="17">
        <v>1.2</v>
      </c>
      <c r="N6" s="18" cm="1">
        <f t="array" ref="N6">ROUND(M6*K6/J6,0)*J6</f>
        <v>14</v>
      </c>
      <c r="O6" s="19"/>
      <c r="P6" s="19"/>
      <c r="Q6" s="15">
        <v>2</v>
      </c>
      <c r="R6" s="20">
        <v>0.5</v>
      </c>
      <c r="S6" s="20" cm="1">
        <f t="array" ref="S6">ROUNDUP(Q6+R6,0)</f>
        <v>3</v>
      </c>
      <c r="T6" t="s" s="4">
        <v>43</v>
      </c>
    </row>
    <row r="7" ht="16" customHeight="1">
      <c r="A7" s="36"/>
      <c r="B7" s="36"/>
      <c r="C7" t="s" s="23">
        <v>54</v>
      </c>
      <c r="D7" t="s" s="23">
        <v>35</v>
      </c>
      <c r="E7" s="24">
        <v>782</v>
      </c>
      <c r="F7" s="24">
        <v>130</v>
      </c>
      <c r="G7" s="25" cm="1">
        <f t="array" ref="G7">H7*Q7</f>
        <v>10</v>
      </c>
      <c r="H7" s="25" cm="1">
        <f t="array" ref="H7">P7*5</f>
        <v>10</v>
      </c>
      <c r="I7" t="s" s="23">
        <v>55</v>
      </c>
      <c r="J7" s="26"/>
      <c r="K7" s="26"/>
      <c r="L7" s="26"/>
      <c r="M7" s="27">
        <v>1</v>
      </c>
      <c r="N7" s="28"/>
      <c r="O7" t="s" s="23">
        <v>37</v>
      </c>
      <c r="P7" s="29" cm="1">
        <f t="array" ref="P7">CEILING(MIN(2,E7/'대당 타설량'!B4),1)</f>
        <v>2</v>
      </c>
      <c r="Q7" s="25" cm="1">
        <f t="array" ref="Q7">MAX(1,IF(E7/(F7*H7)-INT(E7/(F7*H7))&lt;0.5,ROUNDDOWN(E7/(F7*H7),0),ROUNDUP(E7/(F7*H7),0)))</f>
        <v>1</v>
      </c>
      <c r="R7" s="20">
        <v>3</v>
      </c>
      <c r="S7" s="20" cm="1">
        <f t="array" ref="S7">ROUNDUP(Q7+R7,0)</f>
        <v>4</v>
      </c>
      <c r="T7" t="s" s="4">
        <v>38</v>
      </c>
    </row>
    <row r="8" ht="16" customHeight="1">
      <c r="A8" s="22"/>
      <c r="B8" s="22"/>
      <c r="C8" t="s" s="43">
        <v>56</v>
      </c>
      <c r="D8" t="s" s="43">
        <v>32</v>
      </c>
      <c r="E8" s="44" cm="1">
        <f t="array" ref="E8">E4+E6</f>
        <v>4855</v>
      </c>
      <c r="F8" s="44">
        <v>50</v>
      </c>
      <c r="G8" s="45" cm="1">
        <f t="array" ref="G8">ROUNDUP(E8/F8,0)</f>
        <v>98</v>
      </c>
      <c r="H8" s="45" cm="1">
        <f t="array" ref="H8">ROUNDUP(G8/Q8,0)</f>
        <v>7</v>
      </c>
      <c r="I8" t="s" s="43">
        <v>33</v>
      </c>
      <c r="J8" s="16">
        <v>2</v>
      </c>
      <c r="K8" s="16">
        <v>24</v>
      </c>
      <c r="L8" s="16" cm="1">
        <f t="array" ref="L8">N8/J8</f>
        <v>14</v>
      </c>
      <c r="M8" s="17">
        <v>1.2</v>
      </c>
      <c r="N8" s="18" cm="1">
        <f t="array" ref="N8">ROUND(M8*K8/J8,0)*J8</f>
        <v>28</v>
      </c>
      <c r="O8" s="46"/>
      <c r="P8" s="46"/>
      <c r="Q8" s="45">
        <v>16</v>
      </c>
      <c r="R8" s="20"/>
      <c r="S8" s="20" cm="1">
        <f t="array" ref="S8">ROUNDUP(Q8+R8,0)</f>
        <v>16</v>
      </c>
      <c r="T8" s="21"/>
    </row>
    <row r="9" ht="16" customHeight="1">
      <c r="A9" t="s" s="11">
        <v>47</v>
      </c>
      <c r="B9" t="s" s="11">
        <v>57</v>
      </c>
      <c r="C9" t="s" s="30">
        <v>40</v>
      </c>
      <c r="D9" t="s" s="30">
        <v>32</v>
      </c>
      <c r="E9" s="31"/>
      <c r="F9" s="31"/>
      <c r="G9" s="32"/>
      <c r="H9" s="32">
        <v>3</v>
      </c>
      <c r="I9" t="s" s="30">
        <v>33</v>
      </c>
      <c r="J9" s="33">
        <v>3</v>
      </c>
      <c r="K9" s="33">
        <v>6</v>
      </c>
      <c r="L9" s="33" cm="1">
        <f t="array" ref="L9">N9/J9</f>
        <v>2</v>
      </c>
      <c r="M9" s="34">
        <v>1</v>
      </c>
      <c r="N9" s="18" cm="1">
        <f t="array" ref="N9">ROUND(M9*K9/J9,0)*J9</f>
        <v>6</v>
      </c>
      <c r="O9" s="35"/>
      <c r="P9" s="35"/>
      <c r="Q9" s="32"/>
      <c r="R9" s="20">
        <v>1</v>
      </c>
      <c r="S9" s="20" cm="1">
        <f t="array" ref="S9">ROUNDUP(Q9+R9,0)</f>
        <v>1</v>
      </c>
      <c r="T9" s="21"/>
    </row>
    <row r="10" ht="16" customHeight="1">
      <c r="A10" s="36"/>
      <c r="B10" s="36"/>
      <c r="C10" t="s" s="37">
        <v>49</v>
      </c>
      <c r="D10" t="s" s="37">
        <v>42</v>
      </c>
      <c r="E10" s="38">
        <v>45.68</v>
      </c>
      <c r="F10" s="38">
        <v>0.7</v>
      </c>
      <c r="G10" s="39" cm="1">
        <f t="array" ref="G10">ROUNDUP(E10/F10,0)</f>
        <v>66</v>
      </c>
      <c r="H10" s="39" cm="1">
        <f t="array" ref="H10">ROUNDUP(G10/Q10,0)</f>
        <v>14</v>
      </c>
      <c r="I10" t="s" s="37">
        <v>33</v>
      </c>
      <c r="J10" s="16">
        <v>3</v>
      </c>
      <c r="K10" s="16">
        <v>18</v>
      </c>
      <c r="L10" s="16" cm="1">
        <f t="array" ref="L10">N10/J10</f>
        <v>7</v>
      </c>
      <c r="M10" s="17">
        <v>1.2</v>
      </c>
      <c r="N10" s="18" cm="1">
        <f t="array" ref="N10">ROUND(M10*K10/J10,0)*J10</f>
        <v>21</v>
      </c>
      <c r="O10" s="40"/>
      <c r="P10" s="40"/>
      <c r="Q10" s="39">
        <v>5</v>
      </c>
      <c r="R10" s="20">
        <v>0.5</v>
      </c>
      <c r="S10" s="20" cm="1">
        <f t="array" ref="S10">ROUNDUP(Q10+R10,0)</f>
        <v>6</v>
      </c>
      <c r="T10" t="s" s="4">
        <v>43</v>
      </c>
    </row>
    <row r="11" ht="16" customHeight="1">
      <c r="A11" s="36"/>
      <c r="B11" s="36"/>
      <c r="C11" t="s" s="13">
        <v>58</v>
      </c>
      <c r="D11" t="s" s="13">
        <v>32</v>
      </c>
      <c r="E11" s="14">
        <v>4564.8</v>
      </c>
      <c r="F11" s="14">
        <v>9</v>
      </c>
      <c r="G11" s="15" cm="1">
        <f t="array" ref="G11">ROUNDUP(E11/F11,0)</f>
        <v>508</v>
      </c>
      <c r="H11" s="15" cm="1">
        <f t="array" ref="H11">ROUNDUP(G11/Q11,0)</f>
        <v>27</v>
      </c>
      <c r="I11" t="s" s="13">
        <v>33</v>
      </c>
      <c r="J11" s="16">
        <v>2</v>
      </c>
      <c r="K11" s="16">
        <v>10</v>
      </c>
      <c r="L11" s="16" cm="1">
        <f t="array" ref="L11">N11/J11</f>
        <v>6</v>
      </c>
      <c r="M11" s="17">
        <v>1.2</v>
      </c>
      <c r="N11" s="18" cm="1">
        <f t="array" ref="N11">ROUND(M11*K11/J11,0)*J11</f>
        <v>12</v>
      </c>
      <c r="O11" s="19"/>
      <c r="P11" s="19"/>
      <c r="Q11" s="15">
        <v>19</v>
      </c>
      <c r="R11" s="20">
        <v>0.5</v>
      </c>
      <c r="S11" s="20" cm="1">
        <f t="array" ref="S11">ROUNDUP(Q11+R11,0)</f>
        <v>20</v>
      </c>
      <c r="T11" t="s" s="4">
        <v>43</v>
      </c>
    </row>
    <row r="12" ht="16" customHeight="1">
      <c r="A12" s="36"/>
      <c r="B12" s="36"/>
      <c r="C12" t="s" s="37">
        <v>52</v>
      </c>
      <c r="D12" t="s" s="37">
        <v>42</v>
      </c>
      <c r="E12" s="38">
        <v>45.68</v>
      </c>
      <c r="F12" s="38">
        <v>0.7</v>
      </c>
      <c r="G12" s="39" cm="1">
        <f t="array" ref="G12">ROUNDUP(E12/F12,0)</f>
        <v>66</v>
      </c>
      <c r="H12" s="39" cm="1">
        <f t="array" ref="H12">ROUNDUP(G12/Q12,0)</f>
        <v>14</v>
      </c>
      <c r="I12" t="s" s="37">
        <v>33</v>
      </c>
      <c r="J12" s="16">
        <v>3</v>
      </c>
      <c r="K12" s="16">
        <v>18</v>
      </c>
      <c r="L12" s="16" cm="1">
        <f t="array" ref="L12">N12/J12</f>
        <v>7</v>
      </c>
      <c r="M12" s="17">
        <v>1.2</v>
      </c>
      <c r="N12" s="18" cm="1">
        <f t="array" ref="N12">ROUND(M12*K12/J12,0)*J12</f>
        <v>21</v>
      </c>
      <c r="O12" s="40"/>
      <c r="P12" s="40"/>
      <c r="Q12" s="39">
        <v>5</v>
      </c>
      <c r="R12" s="20">
        <v>0.5</v>
      </c>
      <c r="S12" s="20" cm="1">
        <f t="array" ref="S12">ROUNDUP(Q12+R12,0)</f>
        <v>6</v>
      </c>
      <c r="T12" t="s" s="4">
        <v>43</v>
      </c>
    </row>
    <row r="13" ht="16" customHeight="1">
      <c r="A13" s="36"/>
      <c r="B13" s="36"/>
      <c r="C13" t="s" s="13">
        <v>53</v>
      </c>
      <c r="D13" t="s" s="13">
        <v>32</v>
      </c>
      <c r="E13" s="14">
        <v>253.6</v>
      </c>
      <c r="F13" s="14">
        <v>10</v>
      </c>
      <c r="G13" s="15" cm="1">
        <f t="array" ref="G13">ROUNDUP(E13/F13,0)</f>
        <v>26</v>
      </c>
      <c r="H13" s="15" cm="1">
        <f t="array" ref="H13">ROUNDUP(G13/Q13,0)</f>
        <v>13</v>
      </c>
      <c r="I13" t="s" s="13">
        <v>33</v>
      </c>
      <c r="J13" s="16">
        <v>2</v>
      </c>
      <c r="K13" s="16">
        <v>24</v>
      </c>
      <c r="L13" s="16" cm="1">
        <f t="array" ref="L13">N13/J13</f>
        <v>14</v>
      </c>
      <c r="M13" s="17">
        <v>1.2</v>
      </c>
      <c r="N13" s="18" cm="1">
        <f t="array" ref="N13">ROUND(M13*K13/J13,0)*J13</f>
        <v>28</v>
      </c>
      <c r="O13" s="19"/>
      <c r="P13" s="19"/>
      <c r="Q13" s="15">
        <v>2</v>
      </c>
      <c r="R13" s="20">
        <v>0.5</v>
      </c>
      <c r="S13" s="20" cm="1">
        <f t="array" ref="S13">ROUNDUP(Q13+R13,0)</f>
        <v>3</v>
      </c>
      <c r="T13" t="s" s="4">
        <v>43</v>
      </c>
    </row>
    <row r="14" ht="16" customHeight="1">
      <c r="A14" s="36"/>
      <c r="B14" s="36"/>
      <c r="C14" t="s" s="23">
        <v>54</v>
      </c>
      <c r="D14" t="s" s="23">
        <v>35</v>
      </c>
      <c r="E14" s="24">
        <v>748.2</v>
      </c>
      <c r="F14" s="24">
        <v>130</v>
      </c>
      <c r="G14" s="25" cm="1">
        <f t="array" ref="G14">H14*Q14</f>
        <v>10</v>
      </c>
      <c r="H14" s="25" cm="1">
        <f t="array" ref="H14">P14*5</f>
        <v>10</v>
      </c>
      <c r="I14" t="s" s="23">
        <v>55</v>
      </c>
      <c r="J14" s="26"/>
      <c r="K14" s="26"/>
      <c r="L14" s="26"/>
      <c r="M14" s="27">
        <v>1</v>
      </c>
      <c r="N14" s="28"/>
      <c r="O14" t="s" s="23">
        <v>37</v>
      </c>
      <c r="P14" s="29" cm="1">
        <f t="array" ref="P14">CEILING(MIN(2,E14/'대당 타설량'!B4),1)</f>
        <v>2</v>
      </c>
      <c r="Q14" s="25" cm="1">
        <f t="array" ref="Q14">MAX(1,IF(E14/(F14*H14)-INT(E14/(F14*H14))&lt;0.5,ROUNDDOWN(E14/(F14*H14),0),ROUNDUP(E14/(F14*H14),0)))</f>
        <v>1</v>
      </c>
      <c r="R14" s="20">
        <v>3</v>
      </c>
      <c r="S14" s="20" cm="1">
        <f t="array" ref="S14">ROUNDUP(Q14+R14,0)</f>
        <v>4</v>
      </c>
      <c r="T14" t="s" s="4">
        <v>38</v>
      </c>
    </row>
    <row r="15" ht="16" customHeight="1">
      <c r="A15" s="36"/>
      <c r="B15" s="36"/>
      <c r="C15" t="s" s="37">
        <v>49</v>
      </c>
      <c r="D15" t="s" s="37">
        <v>42</v>
      </c>
      <c r="E15" s="38">
        <v>30.45</v>
      </c>
      <c r="F15" s="38">
        <v>0.7</v>
      </c>
      <c r="G15" s="39" cm="1">
        <f t="array" ref="G15">ROUNDUP(E15/F15,0)</f>
        <v>44</v>
      </c>
      <c r="H15" s="39" cm="1">
        <f t="array" ref="H15">ROUNDUP(G15/Q15,0)</f>
        <v>15</v>
      </c>
      <c r="I15" t="s" s="37">
        <v>33</v>
      </c>
      <c r="J15" s="16">
        <v>3</v>
      </c>
      <c r="K15" s="16">
        <v>18</v>
      </c>
      <c r="L15" s="16" cm="1">
        <f t="array" ref="L15">N15/J15</f>
        <v>7</v>
      </c>
      <c r="M15" s="17">
        <v>1.2</v>
      </c>
      <c r="N15" s="18" cm="1">
        <f t="array" ref="N15">ROUND(M15*K15/J15,0)*J15</f>
        <v>21</v>
      </c>
      <c r="O15" s="40"/>
      <c r="P15" s="40"/>
      <c r="Q15" s="39">
        <v>3</v>
      </c>
      <c r="R15" s="20">
        <v>0.5</v>
      </c>
      <c r="S15" s="20" cm="1">
        <f t="array" ref="S15">ROUNDUP(Q15+R15,0)</f>
        <v>4</v>
      </c>
      <c r="T15" t="s" s="4">
        <v>43</v>
      </c>
    </row>
    <row r="16" ht="16" customHeight="1">
      <c r="A16" s="36"/>
      <c r="B16" s="36"/>
      <c r="C16" t="s" s="13">
        <v>62</v>
      </c>
      <c r="D16" t="s" s="13">
        <v>32</v>
      </c>
      <c r="E16" s="14">
        <v>253.6</v>
      </c>
      <c r="F16" s="14">
        <v>10</v>
      </c>
      <c r="G16" s="15" cm="1">
        <f t="array" ref="G16">ROUNDUP(E16/F16,0)</f>
        <v>26</v>
      </c>
      <c r="H16" s="15" cm="1">
        <f t="array" ref="H16">ROUNDUP(G16/Q16,0)</f>
        <v>13</v>
      </c>
      <c r="I16" t="s" s="13">
        <v>33</v>
      </c>
      <c r="J16" s="16">
        <v>2</v>
      </c>
      <c r="K16" s="16">
        <v>24</v>
      </c>
      <c r="L16" s="16" cm="1">
        <f t="array" ref="L16">N16/J16</f>
        <v>14</v>
      </c>
      <c r="M16" s="17">
        <v>1.2</v>
      </c>
      <c r="N16" s="18" cm="1">
        <f t="array" ref="N16">ROUND(M16*K16/J16,0)*J16</f>
        <v>28</v>
      </c>
      <c r="O16" s="19"/>
      <c r="P16" s="19"/>
      <c r="Q16" s="15">
        <v>2</v>
      </c>
      <c r="R16" s="20">
        <v>0.5</v>
      </c>
      <c r="S16" s="20" cm="1">
        <f t="array" ref="S16">ROUNDUP(Q16+R16,0)</f>
        <v>3</v>
      </c>
      <c r="T16" t="s" s="4">
        <v>43</v>
      </c>
    </row>
    <row r="17" ht="16" customHeight="1">
      <c r="A17" s="36"/>
      <c r="B17" s="36"/>
      <c r="C17" t="s" s="37">
        <v>52</v>
      </c>
      <c r="D17" t="s" s="37">
        <v>42</v>
      </c>
      <c r="E17" s="38">
        <v>30.45</v>
      </c>
      <c r="F17" s="38">
        <v>0.7</v>
      </c>
      <c r="G17" s="39" cm="1">
        <f t="array" ref="G17">ROUNDUP(E17/F17,0)</f>
        <v>44</v>
      </c>
      <c r="H17" s="39" cm="1">
        <f t="array" ref="H17">ROUNDUP(G17/Q17,0)</f>
        <v>15</v>
      </c>
      <c r="I17" t="s" s="37">
        <v>33</v>
      </c>
      <c r="J17" s="16">
        <v>3</v>
      </c>
      <c r="K17" s="16">
        <v>18</v>
      </c>
      <c r="L17" s="16" cm="1">
        <f t="array" ref="L17">N17/J17</f>
        <v>7</v>
      </c>
      <c r="M17" s="17">
        <v>1.2</v>
      </c>
      <c r="N17" s="18" cm="1">
        <f t="array" ref="N17">ROUND(M17*K17/J17,0)*J17</f>
        <v>21</v>
      </c>
      <c r="O17" s="40"/>
      <c r="P17" s="40"/>
      <c r="Q17" s="39">
        <v>3</v>
      </c>
      <c r="R17" s="20">
        <v>0.5</v>
      </c>
      <c r="S17" s="20" cm="1">
        <f t="array" ref="S17">ROUNDUP(Q17+R17,0)</f>
        <v>4</v>
      </c>
      <c r="T17" t="s" s="4">
        <v>43</v>
      </c>
    </row>
    <row r="18" ht="16" customHeight="1">
      <c r="A18" s="36"/>
      <c r="B18" s="36"/>
      <c r="C18" t="s" s="23">
        <v>63</v>
      </c>
      <c r="D18" t="s" s="23">
        <v>35</v>
      </c>
      <c r="E18" s="24">
        <v>498.8</v>
      </c>
      <c r="F18" s="24">
        <v>130</v>
      </c>
      <c r="G18" s="25" cm="1">
        <f t="array" ref="G18">H18*Q18</f>
        <v>5</v>
      </c>
      <c r="H18" s="25" cm="1">
        <f t="array" ref="H18">P18*5</f>
        <v>5</v>
      </c>
      <c r="I18" t="s" s="23">
        <v>55</v>
      </c>
      <c r="J18" s="26"/>
      <c r="K18" s="26"/>
      <c r="L18" s="26"/>
      <c r="M18" s="27">
        <v>1</v>
      </c>
      <c r="N18" s="28"/>
      <c r="O18" t="s" s="23">
        <v>37</v>
      </c>
      <c r="P18" s="29" cm="1">
        <f t="array" ref="P18">CEILING(MIN(2,E18/'대당 타설량'!B4),1)</f>
        <v>1</v>
      </c>
      <c r="Q18" s="25" cm="1">
        <f t="array" ref="Q18">MAX(1,IF(E18/(F18*H18)-INT(E18/(F18*H18))&lt;0.5,ROUNDDOWN(E18/(F18*H18),0),ROUNDUP(E18/(F18*H18),0)))</f>
        <v>1</v>
      </c>
      <c r="R18" s="20">
        <v>3</v>
      </c>
      <c r="S18" s="20" cm="1">
        <f t="array" ref="S18">ROUNDUP(Q18+R18,0)</f>
        <v>4</v>
      </c>
      <c r="T18" t="s" s="4">
        <v>38</v>
      </c>
    </row>
    <row r="19" ht="16" customHeight="1">
      <c r="A19" s="22"/>
      <c r="B19" s="22"/>
      <c r="C19" t="s" s="43">
        <v>56</v>
      </c>
      <c r="D19" t="s" s="43">
        <v>32</v>
      </c>
      <c r="E19" s="44" cm="1">
        <f t="array" ref="E19">E11+E13+E16</f>
        <v>5072</v>
      </c>
      <c r="F19" s="44">
        <v>50</v>
      </c>
      <c r="G19" s="45" cm="1">
        <f t="array" ref="G19">ROUNDUP(E19/F19,0)</f>
        <v>102</v>
      </c>
      <c r="H19" s="45" cm="1">
        <f t="array" ref="H19">ROUNDUP(G19/Q19,0)</f>
        <v>5</v>
      </c>
      <c r="I19" t="s" s="43">
        <v>33</v>
      </c>
      <c r="J19" s="16">
        <v>2</v>
      </c>
      <c r="K19" s="16">
        <v>26</v>
      </c>
      <c r="L19" s="16" cm="1">
        <f t="array" ref="L19">N19/J19</f>
        <v>16</v>
      </c>
      <c r="M19" s="17">
        <v>1.2</v>
      </c>
      <c r="N19" s="18" cm="1">
        <f t="array" ref="N19">ROUND(M19*K19/J19,0)*J19</f>
        <v>32</v>
      </c>
      <c r="O19" s="46"/>
      <c r="P19" s="46"/>
      <c r="Q19" s="45">
        <v>22</v>
      </c>
      <c r="R19" s="20"/>
      <c r="S19" s="20" cm="1">
        <f t="array" ref="S19">ROUNDUP(Q19+R19,0)</f>
        <v>22</v>
      </c>
      <c r="T19" s="21"/>
    </row>
  </sheetData>
  <mergeCells count="4">
    <mergeCell ref="A9:A19"/>
    <mergeCell ref="B9:B19"/>
    <mergeCell ref="A2:A8"/>
    <mergeCell ref="B2:B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T35"/>
  <sheetViews>
    <sheetView workbookViewId="0" showGridLines="0" defaultGridColor="1"/>
  </sheetViews>
  <sheetFormatPr defaultColWidth="8.83333" defaultRowHeight="16.5" customHeight="1" outlineLevelRow="0" outlineLevelCol="0"/>
  <cols>
    <col min="1" max="1" width="5.67188" style="60" customWidth="1"/>
    <col min="2" max="2" width="4.17188" style="60" customWidth="1"/>
    <col min="3" max="3" width="15.6719" style="60" customWidth="1"/>
    <col min="4" max="4" width="4.17188" style="60" customWidth="1"/>
    <col min="5" max="5" width="7.5" style="60" customWidth="1"/>
    <col min="6" max="7" width="9.35156" style="60" customWidth="1"/>
    <col min="8" max="8" width="10.3516" style="60" customWidth="1"/>
    <col min="9" max="9" width="21.1719" style="60" customWidth="1"/>
    <col min="10" max="10" width="12.5" style="60" customWidth="1"/>
    <col min="11" max="11" width="7.85156" style="60" customWidth="1"/>
    <col min="12" max="12" width="9.35156" style="60" customWidth="1"/>
    <col min="13" max="13" width="12.5" style="60" customWidth="1"/>
    <col min="14" max="14" width="10.5" style="60" customWidth="1"/>
    <col min="15" max="15" width="12.5" style="60" customWidth="1"/>
    <col min="16" max="16" width="7.35156" style="60" customWidth="1"/>
    <col min="17" max="17" width="7.85156" style="60" customWidth="1"/>
    <col min="18" max="18" width="5.67188" style="60" customWidth="1"/>
    <col min="19" max="19" width="8.85156" style="60" customWidth="1"/>
    <col min="20" max="20" width="11" style="60" customWidth="1"/>
    <col min="21" max="16384" width="8.85156" style="60" customWidth="1"/>
  </cols>
  <sheetData>
    <row r="1" ht="16" customHeight="1">
      <c r="A1" t="s" s="9">
        <v>0</v>
      </c>
      <c r="B1" t="s" s="9">
        <v>12</v>
      </c>
      <c r="C1" t="s" s="10">
        <v>13</v>
      </c>
      <c r="D1" t="s" s="9">
        <v>14</v>
      </c>
      <c r="E1" t="s" s="9">
        <v>15</v>
      </c>
      <c r="F1" t="s" s="10">
        <v>16</v>
      </c>
      <c r="G1" t="s" s="10">
        <v>17</v>
      </c>
      <c r="H1" t="s" s="10">
        <v>18</v>
      </c>
      <c r="I1" t="s" s="10">
        <v>19</v>
      </c>
      <c r="J1" t="s" s="10">
        <v>20</v>
      </c>
      <c r="K1" t="s" s="10">
        <v>21</v>
      </c>
      <c r="L1" t="s" s="10">
        <v>22</v>
      </c>
      <c r="M1" t="s" s="10">
        <v>23</v>
      </c>
      <c r="N1" t="s" s="10">
        <v>24</v>
      </c>
      <c r="O1" t="s" s="9">
        <v>25</v>
      </c>
      <c r="P1" t="s" s="9">
        <v>26</v>
      </c>
      <c r="Q1" t="s" s="10">
        <v>27</v>
      </c>
      <c r="R1" t="s" s="9">
        <v>28</v>
      </c>
      <c r="S1" t="s" s="10">
        <v>29</v>
      </c>
      <c r="T1" t="s" s="9">
        <v>30</v>
      </c>
    </row>
    <row r="2" ht="16" customHeight="1">
      <c r="A2" t="s" s="61">
        <v>64</v>
      </c>
      <c r="B2" s="62"/>
      <c r="C2" t="s" s="30">
        <v>40</v>
      </c>
      <c r="D2" t="s" s="30">
        <v>32</v>
      </c>
      <c r="E2" s="31"/>
      <c r="F2" s="31"/>
      <c r="G2" s="32"/>
      <c r="H2" s="32">
        <v>3</v>
      </c>
      <c r="I2" s="35"/>
      <c r="J2" s="33">
        <v>3</v>
      </c>
      <c r="K2" s="33">
        <v>6</v>
      </c>
      <c r="L2" s="33" cm="1">
        <f t="array" ref="L2">N2/J2</f>
        <v>2</v>
      </c>
      <c r="M2" s="34">
        <v>1</v>
      </c>
      <c r="N2" s="18" cm="1">
        <f t="array" ref="N2">ROUND(M2*K2/J2,0)*J2</f>
        <v>6</v>
      </c>
      <c r="O2" s="35"/>
      <c r="P2" s="35"/>
      <c r="Q2" s="35"/>
      <c r="R2" s="63">
        <v>1</v>
      </c>
      <c r="S2" s="20" cm="1">
        <f t="array" ref="S2">ROUNDUP(Q2+R2,0)</f>
        <v>1</v>
      </c>
      <c r="T2" t="s" s="4">
        <v>43</v>
      </c>
    </row>
    <row r="3" ht="16" customHeight="1">
      <c r="A3" s="64"/>
      <c r="B3" s="65"/>
      <c r="C3" t="s" s="37">
        <v>49</v>
      </c>
      <c r="D3" t="s" s="37">
        <v>42</v>
      </c>
      <c r="E3" s="38">
        <v>4.97</v>
      </c>
      <c r="F3" s="38">
        <v>0.7</v>
      </c>
      <c r="G3" s="39" cm="1">
        <f t="array" ref="G3">ROUNDUP(E3/F3,0)</f>
        <v>8</v>
      </c>
      <c r="H3" s="39" cm="1">
        <f t="array" ref="H3">ROUNDUP(G3/Q3,0)</f>
        <v>8</v>
      </c>
      <c r="I3" t="s" s="37">
        <v>33</v>
      </c>
      <c r="J3" s="16">
        <v>3</v>
      </c>
      <c r="K3" s="16">
        <v>15</v>
      </c>
      <c r="L3" s="16" cm="1">
        <f t="array" ref="L3">N3/J3</f>
        <v>4</v>
      </c>
      <c r="M3" s="17">
        <v>0.85</v>
      </c>
      <c r="N3" s="18" cm="1">
        <f t="array" ref="N3">ROUND(M3*K3/J3,0)*J3</f>
        <v>12</v>
      </c>
      <c r="O3" s="40"/>
      <c r="P3" s="40"/>
      <c r="Q3" s="39">
        <v>1</v>
      </c>
      <c r="R3" s="20">
        <v>0.5</v>
      </c>
      <c r="S3" s="20" cm="1">
        <f t="array" ref="S3">ROUNDUP(Q3+R3,0)</f>
        <v>2</v>
      </c>
      <c r="T3" t="s" s="4">
        <v>43</v>
      </c>
    </row>
    <row r="4" ht="16" customHeight="1">
      <c r="A4" s="64"/>
      <c r="B4" s="65"/>
      <c r="C4" t="s" s="13">
        <v>65</v>
      </c>
      <c r="D4" t="s" s="13">
        <v>32</v>
      </c>
      <c r="E4" s="14">
        <v>291</v>
      </c>
      <c r="F4" s="14">
        <v>9</v>
      </c>
      <c r="G4" s="15" cm="1">
        <f t="array" ref="G4">ROUNDUP(E4/F4,0)</f>
        <v>33</v>
      </c>
      <c r="H4" s="15" cm="1">
        <f t="array" ref="H4">ROUNDUP(G4/Q4,0)</f>
        <v>6</v>
      </c>
      <c r="I4" t="s" s="13">
        <v>33</v>
      </c>
      <c r="J4" s="16">
        <v>2</v>
      </c>
      <c r="K4" s="16">
        <v>10</v>
      </c>
      <c r="L4" s="16" cm="1">
        <f t="array" ref="L4">N4/J4</f>
        <v>4</v>
      </c>
      <c r="M4" s="17">
        <v>0.85</v>
      </c>
      <c r="N4" s="18" cm="1">
        <f t="array" ref="N4">ROUND(M4*K4/J4,0)*J4</f>
        <v>8</v>
      </c>
      <c r="O4" s="19"/>
      <c r="P4" s="19"/>
      <c r="Q4" s="15">
        <v>6</v>
      </c>
      <c r="R4" s="20">
        <v>0.5</v>
      </c>
      <c r="S4" s="20" cm="1">
        <f t="array" ref="S4">ROUNDUP(Q4+R4,0)</f>
        <v>7</v>
      </c>
      <c r="T4" t="s" s="4">
        <v>43</v>
      </c>
    </row>
    <row r="5" ht="16" customHeight="1">
      <c r="A5" s="64"/>
      <c r="B5" s="65"/>
      <c r="C5" t="s" s="37">
        <v>52</v>
      </c>
      <c r="D5" t="s" s="37">
        <v>42</v>
      </c>
      <c r="E5" s="38">
        <v>4.97</v>
      </c>
      <c r="F5" s="38">
        <v>0.6</v>
      </c>
      <c r="G5" s="39" cm="1">
        <f t="array" ref="G5">ROUNDUP(E5/F5,0)</f>
        <v>9</v>
      </c>
      <c r="H5" s="39" cm="1">
        <f t="array" ref="H5">ROUNDUP(G5/Q5,0)</f>
        <v>9</v>
      </c>
      <c r="I5" t="s" s="37">
        <v>33</v>
      </c>
      <c r="J5" s="16">
        <v>3</v>
      </c>
      <c r="K5" s="16">
        <v>18</v>
      </c>
      <c r="L5" s="16" cm="1">
        <f t="array" ref="L5">N5/J5</f>
        <v>5</v>
      </c>
      <c r="M5" s="17">
        <v>0.85</v>
      </c>
      <c r="N5" s="18" cm="1">
        <f t="array" ref="N5">ROUND(M5*K5/J5,0)*J5</f>
        <v>15</v>
      </c>
      <c r="O5" s="40"/>
      <c r="P5" s="40"/>
      <c r="Q5" s="39">
        <v>1</v>
      </c>
      <c r="R5" s="20">
        <v>0.5</v>
      </c>
      <c r="S5" s="20" cm="1">
        <f t="array" ref="S5">ROUNDUP(Q5+R5,0)</f>
        <v>2</v>
      </c>
      <c r="T5" t="s" s="4">
        <v>43</v>
      </c>
    </row>
    <row r="6" ht="16" customHeight="1">
      <c r="A6" s="64"/>
      <c r="B6" s="65"/>
      <c r="C6" t="s" s="23">
        <v>54</v>
      </c>
      <c r="D6" t="s" s="23">
        <v>35</v>
      </c>
      <c r="E6" s="24">
        <v>102</v>
      </c>
      <c r="F6" s="24">
        <v>130</v>
      </c>
      <c r="G6" s="25" cm="1">
        <f t="array" ref="G6">H6*Q6</f>
        <v>4</v>
      </c>
      <c r="H6" s="25" cm="1">
        <f t="array" ref="H6">P6*4</f>
        <v>4</v>
      </c>
      <c r="I6" t="s" s="23">
        <v>66</v>
      </c>
      <c r="J6" s="26"/>
      <c r="K6" s="26"/>
      <c r="L6" s="26"/>
      <c r="M6" s="27">
        <v>1</v>
      </c>
      <c r="N6" s="28"/>
      <c r="O6" t="s" s="23">
        <v>37</v>
      </c>
      <c r="P6" s="29" cm="1">
        <f t="array" ref="P6">CEILING(MIN(2,E6/'대당 타설량'!B5),1)</f>
        <v>1</v>
      </c>
      <c r="Q6" s="25" cm="1">
        <f t="array" ref="Q6">MAX(1,IF(E6/(F6*H6)-INT(E6/(F6*H6))&lt;0.5,ROUNDDOWN(E6/(F6*H6),0),ROUNDUP(E6/(F6*H6),0)))</f>
        <v>1</v>
      </c>
      <c r="R6" s="20">
        <v>2</v>
      </c>
      <c r="S6" s="20" cm="1">
        <f t="array" ref="S6">ROUNDUP(Q6+R6,0)</f>
        <v>3</v>
      </c>
      <c r="T6" t="s" s="4">
        <v>38</v>
      </c>
    </row>
    <row r="7" ht="16" customHeight="1">
      <c r="A7" s="64"/>
      <c r="B7" s="66"/>
      <c r="C7" t="s" s="43">
        <v>56</v>
      </c>
      <c r="D7" t="s" s="43">
        <v>32</v>
      </c>
      <c r="E7" s="44" cm="1">
        <f t="array" ref="E7">E4</f>
        <v>291</v>
      </c>
      <c r="F7" s="44">
        <v>50</v>
      </c>
      <c r="G7" s="45" cm="1">
        <f t="array" ref="G7">ROUNDUP(E7/F7,0)</f>
        <v>6</v>
      </c>
      <c r="H7" s="45" cm="1">
        <f t="array" ref="H7">ROUNDUP(G7/Q7,0)</f>
        <v>6</v>
      </c>
      <c r="I7" t="s" s="43">
        <v>33</v>
      </c>
      <c r="J7" s="16">
        <v>2</v>
      </c>
      <c r="K7" s="16">
        <v>6</v>
      </c>
      <c r="L7" s="16" cm="1">
        <f t="array" ref="L7">N7/J7</f>
        <v>4</v>
      </c>
      <c r="M7" s="17">
        <v>1.2</v>
      </c>
      <c r="N7" s="18" cm="1">
        <f t="array" ref="N7">ROUND(M7*K7/J7,0)*J7</f>
        <v>8</v>
      </c>
      <c r="O7" s="46"/>
      <c r="P7" s="46"/>
      <c r="Q7" s="45">
        <v>1</v>
      </c>
      <c r="R7" s="20"/>
      <c r="S7" s="20" cm="1">
        <f t="array" ref="S7">ROUNDUP(Q7+R7,0)</f>
        <v>1</v>
      </c>
      <c r="T7" s="21"/>
    </row>
    <row r="8" ht="16" customHeight="1">
      <c r="A8" s="67"/>
      <c r="B8" s="67"/>
      <c r="C8" s="68"/>
      <c r="D8" s="68"/>
      <c r="E8" s="69"/>
      <c r="F8" s="69"/>
      <c r="G8" s="70"/>
      <c r="H8" s="70"/>
      <c r="I8" s="68"/>
      <c r="J8" s="67"/>
      <c r="K8" s="67"/>
      <c r="L8" s="67"/>
      <c r="M8" s="71"/>
      <c r="N8" s="67"/>
      <c r="O8" s="68"/>
      <c r="P8" s="72"/>
      <c r="Q8" s="70"/>
      <c r="R8" s="70"/>
      <c r="S8" s="70"/>
      <c r="T8" s="68"/>
    </row>
    <row r="9" ht="16" customHeight="1">
      <c r="A9" t="s" s="9">
        <v>67</v>
      </c>
      <c r="B9" s="12"/>
      <c r="C9" t="s" s="30">
        <v>40</v>
      </c>
      <c r="D9" t="s" s="30">
        <v>32</v>
      </c>
      <c r="E9" s="31"/>
      <c r="F9" s="31"/>
      <c r="G9" s="32"/>
      <c r="H9" s="32">
        <v>3</v>
      </c>
      <c r="I9" s="35"/>
      <c r="J9" s="33">
        <v>3</v>
      </c>
      <c r="K9" s="33">
        <v>6</v>
      </c>
      <c r="L9" s="33" cm="1">
        <f t="array" ref="L9">N9/J9</f>
        <v>2</v>
      </c>
      <c r="M9" s="34">
        <v>1</v>
      </c>
      <c r="N9" s="18" cm="1">
        <f t="array" ref="N9">ROUND(M9*K9/J9,0)*J9</f>
        <v>6</v>
      </c>
      <c r="O9" s="35"/>
      <c r="P9" s="35"/>
      <c r="Q9" s="35"/>
      <c r="R9" s="63">
        <v>1</v>
      </c>
      <c r="S9" s="20" cm="1">
        <f t="array" ref="S9">ROUNDUP(Q9+R9,0)</f>
        <v>1</v>
      </c>
      <c r="T9" t="s" s="4">
        <v>43</v>
      </c>
    </row>
    <row r="10" ht="16" customHeight="1">
      <c r="A10" s="28"/>
      <c r="B10" s="36"/>
      <c r="C10" t="s" s="73">
        <v>68</v>
      </c>
      <c r="D10" t="s" s="73">
        <v>32</v>
      </c>
      <c r="E10" s="74">
        <v>654.3</v>
      </c>
      <c r="F10" s="74">
        <v>30</v>
      </c>
      <c r="G10" s="75" cm="1">
        <f t="array" ref="G10">ROUNDUP(E10/F10,0)</f>
        <v>22</v>
      </c>
      <c r="H10" s="75" cm="1">
        <f t="array" ref="H10">ROUNDUP(G10/Q10,0)</f>
        <v>11</v>
      </c>
      <c r="I10" t="s" s="73">
        <v>33</v>
      </c>
      <c r="J10" s="16">
        <v>4</v>
      </c>
      <c r="K10" s="16">
        <v>20</v>
      </c>
      <c r="L10" s="16" cm="1">
        <f t="array" ref="L10">N10/J10</f>
        <v>5</v>
      </c>
      <c r="M10" s="17">
        <v>0.9</v>
      </c>
      <c r="N10" s="18" cm="1">
        <f t="array" ref="N10">ROUND(M10*K10/J10,0)*J10</f>
        <v>20</v>
      </c>
      <c r="O10" s="76"/>
      <c r="P10" s="76"/>
      <c r="Q10" s="75">
        <v>2</v>
      </c>
      <c r="R10" s="20">
        <v>6</v>
      </c>
      <c r="S10" s="20" cm="1">
        <f t="array" ref="S10">ROUNDUP(Q10+R10,0)</f>
        <v>8</v>
      </c>
      <c r="T10" t="s" s="4">
        <v>69</v>
      </c>
    </row>
    <row r="11" ht="16" customHeight="1">
      <c r="A11" s="28"/>
      <c r="B11" s="36"/>
      <c r="C11" t="s" s="37">
        <v>49</v>
      </c>
      <c r="D11" t="s" s="37">
        <v>42</v>
      </c>
      <c r="E11" s="38">
        <v>13.21</v>
      </c>
      <c r="F11" s="38">
        <v>0.8</v>
      </c>
      <c r="G11" s="39" cm="1">
        <f t="array" ref="G11">ROUNDUP(E11/F11,0)</f>
        <v>17</v>
      </c>
      <c r="H11" s="39" cm="1">
        <f t="array" ref="H11">ROUNDUP(G11/Q11,0)</f>
        <v>9</v>
      </c>
      <c r="I11" t="s" s="37">
        <v>33</v>
      </c>
      <c r="J11" s="16">
        <v>3</v>
      </c>
      <c r="K11" s="16">
        <v>15</v>
      </c>
      <c r="L11" s="16" cm="1">
        <f t="array" ref="L11">N11/J11</f>
        <v>5</v>
      </c>
      <c r="M11" s="17">
        <v>0.9</v>
      </c>
      <c r="N11" s="18" cm="1">
        <f t="array" ref="N11">ROUND(M11*K11/J11,0)*J11</f>
        <v>15</v>
      </c>
      <c r="O11" s="40"/>
      <c r="P11" s="40"/>
      <c r="Q11" s="39">
        <v>2</v>
      </c>
      <c r="R11" s="20">
        <v>0.5</v>
      </c>
      <c r="S11" s="20">
        <v>2</v>
      </c>
      <c r="T11" t="s" s="4">
        <v>43</v>
      </c>
    </row>
    <row r="12" ht="16" customHeight="1">
      <c r="A12" s="28"/>
      <c r="B12" s="36"/>
      <c r="C12" t="s" s="77">
        <v>70</v>
      </c>
      <c r="D12" t="s" s="77">
        <v>32</v>
      </c>
      <c r="E12" s="78">
        <v>799.7</v>
      </c>
      <c r="F12" s="78">
        <v>30</v>
      </c>
      <c r="G12" s="79" cm="1">
        <f t="array" ref="G12">ROUNDUP(E12/F12,0)</f>
        <v>27</v>
      </c>
      <c r="H12" s="79" cm="1">
        <f t="array" ref="H12">ROUNDUP(G12/Q12,0)</f>
        <v>7</v>
      </c>
      <c r="I12" t="s" s="77">
        <v>33</v>
      </c>
      <c r="J12" s="16">
        <v>3</v>
      </c>
      <c r="K12" s="16">
        <v>18</v>
      </c>
      <c r="L12" s="16" cm="1">
        <f t="array" ref="L12">N12/J12</f>
        <v>5</v>
      </c>
      <c r="M12" s="17">
        <v>0.9</v>
      </c>
      <c r="N12" s="18" cm="1">
        <f t="array" ref="N12">ROUND(M12*K12/J12,0)*J12</f>
        <v>15</v>
      </c>
      <c r="O12" s="80"/>
      <c r="P12" s="80"/>
      <c r="Q12" s="79">
        <v>4</v>
      </c>
      <c r="R12" s="20">
        <v>0.5</v>
      </c>
      <c r="S12" s="20">
        <v>4</v>
      </c>
      <c r="T12" t="s" s="4">
        <v>43</v>
      </c>
    </row>
    <row r="13" ht="16" customHeight="1">
      <c r="A13" s="28"/>
      <c r="B13" s="36"/>
      <c r="C13" t="s" s="37">
        <v>52</v>
      </c>
      <c r="D13" t="s" s="37">
        <v>42</v>
      </c>
      <c r="E13" s="38">
        <v>13.21</v>
      </c>
      <c r="F13" s="38">
        <v>0.9</v>
      </c>
      <c r="G13" s="39" cm="1">
        <f t="array" ref="G13">ROUNDUP(E13/F13,0)</f>
        <v>15</v>
      </c>
      <c r="H13" s="39" cm="1">
        <f t="array" ref="H13">ROUNDUP(G13/Q13,0)</f>
        <v>8</v>
      </c>
      <c r="I13" t="s" s="37">
        <v>33</v>
      </c>
      <c r="J13" s="16">
        <v>3</v>
      </c>
      <c r="K13" s="16">
        <v>18</v>
      </c>
      <c r="L13" s="16" cm="1">
        <f t="array" ref="L13">N13/J13</f>
        <v>5</v>
      </c>
      <c r="M13" s="17">
        <v>0.9</v>
      </c>
      <c r="N13" s="18" cm="1">
        <f t="array" ref="N13">ROUND(M13*K13/J13,0)*J13</f>
        <v>15</v>
      </c>
      <c r="O13" s="40"/>
      <c r="P13" s="40"/>
      <c r="Q13" s="39">
        <v>2</v>
      </c>
      <c r="R13" s="20">
        <v>0.5</v>
      </c>
      <c r="S13" s="20">
        <v>2</v>
      </c>
      <c r="T13" t="s" s="4">
        <v>43</v>
      </c>
    </row>
    <row r="14" ht="16" customHeight="1">
      <c r="A14" s="28"/>
      <c r="B14" s="22"/>
      <c r="C14" t="s" s="23">
        <v>54</v>
      </c>
      <c r="D14" t="s" s="23">
        <v>35</v>
      </c>
      <c r="E14" s="24">
        <v>236</v>
      </c>
      <c r="F14" s="24">
        <v>130</v>
      </c>
      <c r="G14" s="25" cm="1">
        <f t="array" ref="G14">H14*Q14</f>
        <v>6</v>
      </c>
      <c r="H14" s="25" cm="1">
        <f t="array" ref="H14">P14*6</f>
        <v>6</v>
      </c>
      <c r="I14" t="s" s="23">
        <v>71</v>
      </c>
      <c r="J14" s="26"/>
      <c r="K14" s="26"/>
      <c r="L14" s="26"/>
      <c r="M14" s="27">
        <v>1</v>
      </c>
      <c r="N14" s="28"/>
      <c r="O14" t="s" s="23">
        <v>37</v>
      </c>
      <c r="P14" s="29" cm="1">
        <f t="array" ref="P14">CEILING(MIN(2,E14/'대당 타설량'!B6),1)</f>
        <v>1</v>
      </c>
      <c r="Q14" s="25" cm="1">
        <f t="array" ref="Q14">MAX(1,IF(E14/(F14*H14)-INT(E14/(F14*H14))&lt;0.5,ROUNDDOWN(E14/(F14*H14),0),ROUNDUP(E14/(F14*H14),0)))</f>
        <v>1</v>
      </c>
      <c r="R14" s="20">
        <v>2</v>
      </c>
      <c r="S14" s="20" cm="1">
        <f t="array" ref="S14">ROUNDUP(Q14+R14,0)</f>
        <v>3</v>
      </c>
      <c r="T14" t="s" s="4">
        <v>38</v>
      </c>
    </row>
    <row r="15" ht="16" customHeight="1">
      <c r="A15" s="68"/>
      <c r="B15" s="68"/>
      <c r="C15" s="68"/>
      <c r="D15" s="68"/>
      <c r="E15" s="69"/>
      <c r="F15" s="69"/>
      <c r="G15" s="81"/>
      <c r="H15" s="68"/>
      <c r="I15" s="68"/>
      <c r="J15" s="82"/>
      <c r="K15" s="82"/>
      <c r="L15" s="82"/>
      <c r="M15" s="83"/>
      <c r="N15" s="82"/>
      <c r="O15" s="68"/>
      <c r="P15" s="68"/>
      <c r="Q15" s="70"/>
      <c r="R15" s="70"/>
      <c r="S15" s="70"/>
      <c r="T15" s="68"/>
    </row>
    <row r="16" ht="16" customHeight="1">
      <c r="A16" t="s" s="9">
        <v>72</v>
      </c>
      <c r="B16" s="28"/>
      <c r="C16" t="s" s="30">
        <v>40</v>
      </c>
      <c r="D16" t="s" s="30">
        <v>32</v>
      </c>
      <c r="E16" s="31"/>
      <c r="F16" s="31"/>
      <c r="G16" s="32"/>
      <c r="H16" s="32">
        <v>3</v>
      </c>
      <c r="I16" s="35"/>
      <c r="J16" s="33">
        <v>3</v>
      </c>
      <c r="K16" s="33">
        <v>6</v>
      </c>
      <c r="L16" s="33" cm="1">
        <f t="array" ref="L16">N16/J16</f>
        <v>2</v>
      </c>
      <c r="M16" s="34">
        <v>1</v>
      </c>
      <c r="N16" s="18" cm="1">
        <f t="array" ref="N16">ROUND(M16*K16/J16,0)*J16</f>
        <v>6</v>
      </c>
      <c r="O16" s="35"/>
      <c r="P16" s="35"/>
      <c r="Q16" s="32"/>
      <c r="R16" s="63">
        <v>1</v>
      </c>
      <c r="S16" s="20" cm="1">
        <f t="array" ref="S16">ROUNDUP(Q16+R16,0)</f>
        <v>1</v>
      </c>
      <c r="T16" t="s" s="4">
        <v>43</v>
      </c>
    </row>
    <row r="17" ht="16" customHeight="1">
      <c r="A17" s="28"/>
      <c r="B17" s="28"/>
      <c r="C17" t="s" s="73">
        <v>68</v>
      </c>
      <c r="D17" t="s" s="73">
        <v>32</v>
      </c>
      <c r="E17" s="74">
        <v>778.95</v>
      </c>
      <c r="F17" s="74">
        <v>60</v>
      </c>
      <c r="G17" s="75" cm="1">
        <f t="array" ref="G17">ROUNDUP(E17/F17,0)</f>
        <v>13</v>
      </c>
      <c r="H17" s="75" cm="1">
        <f t="array" ref="H17">ROUNDUP(G17/Q17,0)</f>
        <v>13</v>
      </c>
      <c r="I17" t="s" s="73">
        <v>33</v>
      </c>
      <c r="J17" s="16">
        <v>4</v>
      </c>
      <c r="K17" s="16">
        <v>20</v>
      </c>
      <c r="L17" s="16" cm="1">
        <f t="array" ref="L17">N17/J17</f>
        <v>5</v>
      </c>
      <c r="M17" s="17">
        <v>1</v>
      </c>
      <c r="N17" s="18" cm="1">
        <f t="array" ref="N17">ROUND(M17*K17/J17,0)*J17</f>
        <v>20</v>
      </c>
      <c r="O17" s="76"/>
      <c r="P17" s="76"/>
      <c r="Q17" s="75">
        <v>1</v>
      </c>
      <c r="R17" s="20">
        <v>1</v>
      </c>
      <c r="S17" s="20" cm="1">
        <f t="array" ref="S17">ROUNDUP(Q17+R17,0)</f>
        <v>2</v>
      </c>
      <c r="T17" t="s" s="4">
        <v>51</v>
      </c>
    </row>
    <row r="18" ht="16" customHeight="1">
      <c r="A18" s="28"/>
      <c r="B18" s="28"/>
      <c r="C18" t="s" s="37">
        <v>49</v>
      </c>
      <c r="D18" t="s" s="37">
        <v>42</v>
      </c>
      <c r="E18" s="38">
        <v>9.42</v>
      </c>
      <c r="F18" s="38">
        <v>0.8</v>
      </c>
      <c r="G18" s="39" cm="1">
        <f t="array" ref="G18">ROUNDUP(E18/F18,0)</f>
        <v>12</v>
      </c>
      <c r="H18" s="39" cm="1">
        <f t="array" ref="H18">ROUNDUP(G18/Q18,0)</f>
        <v>12</v>
      </c>
      <c r="I18" t="s" s="37">
        <v>33</v>
      </c>
      <c r="J18" s="16">
        <v>3</v>
      </c>
      <c r="K18" s="16">
        <v>15</v>
      </c>
      <c r="L18" s="16" cm="1">
        <f t="array" ref="L18">N18/J18</f>
        <v>5</v>
      </c>
      <c r="M18" s="17">
        <v>1</v>
      </c>
      <c r="N18" s="18" cm="1">
        <f t="array" ref="N18">ROUND(M18*K18/J18,0)*J18</f>
        <v>15</v>
      </c>
      <c r="O18" s="40"/>
      <c r="P18" s="40"/>
      <c r="Q18" s="39">
        <v>1</v>
      </c>
      <c r="R18" s="20">
        <v>0.5</v>
      </c>
      <c r="S18" s="20" cm="1">
        <f t="array" ref="S18">ROUNDUP(Q18+R18,0)</f>
        <v>2</v>
      </c>
      <c r="T18" t="s" s="4">
        <v>43</v>
      </c>
    </row>
    <row r="19" ht="16" customHeight="1">
      <c r="A19" s="28"/>
      <c r="B19" s="28"/>
      <c r="C19" t="s" s="77">
        <v>70</v>
      </c>
      <c r="D19" t="s" s="77">
        <v>32</v>
      </c>
      <c r="E19" s="78">
        <v>952.05</v>
      </c>
      <c r="F19" s="78">
        <v>60</v>
      </c>
      <c r="G19" s="79" cm="1">
        <f t="array" ref="G19">ROUNDUP(E19/F19,0)</f>
        <v>16</v>
      </c>
      <c r="H19" s="79" cm="1">
        <f t="array" ref="H19">ROUNDUP(G19/Q19,0)</f>
        <v>16</v>
      </c>
      <c r="I19" t="s" s="77">
        <v>33</v>
      </c>
      <c r="J19" s="16">
        <v>3</v>
      </c>
      <c r="K19" s="16">
        <v>18</v>
      </c>
      <c r="L19" s="16" cm="1">
        <f t="array" ref="L19">N19/J19</f>
        <v>6</v>
      </c>
      <c r="M19" s="17">
        <v>1</v>
      </c>
      <c r="N19" s="18" cm="1">
        <f t="array" ref="N19">ROUND(M19*K19/J19,0)*J19</f>
        <v>18</v>
      </c>
      <c r="O19" s="80"/>
      <c r="P19" s="80"/>
      <c r="Q19" s="79">
        <v>1</v>
      </c>
      <c r="R19" s="20">
        <v>0.5</v>
      </c>
      <c r="S19" s="20" cm="1">
        <f t="array" ref="S19">ROUNDUP(Q19+R19,0)</f>
        <v>2</v>
      </c>
      <c r="T19" t="s" s="4">
        <v>43</v>
      </c>
    </row>
    <row r="20" ht="16" customHeight="1">
      <c r="A20" s="28"/>
      <c r="B20" s="28"/>
      <c r="C20" t="s" s="37">
        <v>52</v>
      </c>
      <c r="D20" t="s" s="37">
        <v>42</v>
      </c>
      <c r="E20" s="38">
        <v>9.42</v>
      </c>
      <c r="F20" s="38">
        <v>0.9</v>
      </c>
      <c r="G20" s="39" cm="1">
        <f t="array" ref="G20">ROUNDUP(E20/F20,0)</f>
        <v>11</v>
      </c>
      <c r="H20" s="39" cm="1">
        <f t="array" ref="H20">ROUNDUP(G20/Q20,0)</f>
        <v>11</v>
      </c>
      <c r="I20" t="s" s="37">
        <v>33</v>
      </c>
      <c r="J20" s="16">
        <v>2</v>
      </c>
      <c r="K20" s="16">
        <v>18</v>
      </c>
      <c r="L20" s="16" cm="1">
        <f t="array" ref="L20">N20/J20</f>
        <v>9</v>
      </c>
      <c r="M20" s="17">
        <v>1</v>
      </c>
      <c r="N20" s="18" cm="1">
        <f t="array" ref="N20">ROUND(M20*K20/J20,0)*J20</f>
        <v>18</v>
      </c>
      <c r="O20" s="40"/>
      <c r="P20" s="40"/>
      <c r="Q20" s="39">
        <v>1</v>
      </c>
      <c r="R20" s="20">
        <v>0.5</v>
      </c>
      <c r="S20" s="20" cm="1">
        <f t="array" ref="S20">ROUNDUP(Q20+R20,0)</f>
        <v>2</v>
      </c>
      <c r="T20" t="s" s="4">
        <v>43</v>
      </c>
    </row>
    <row r="21" ht="16" customHeight="1">
      <c r="A21" s="28"/>
      <c r="B21" s="28"/>
      <c r="C21" t="s" s="23">
        <v>54</v>
      </c>
      <c r="D21" t="s" s="23">
        <v>35</v>
      </c>
      <c r="E21" s="24">
        <v>224</v>
      </c>
      <c r="F21" s="24">
        <v>130</v>
      </c>
      <c r="G21" s="25" cm="1">
        <f t="array" ref="G21">H21*Q21</f>
        <v>6</v>
      </c>
      <c r="H21" s="25" cm="1">
        <f t="array" ref="H21">P21*6</f>
        <v>6</v>
      </c>
      <c r="I21" t="s" s="23">
        <v>73</v>
      </c>
      <c r="J21" s="26"/>
      <c r="K21" s="26"/>
      <c r="L21" s="26"/>
      <c r="M21" s="27">
        <v>1</v>
      </c>
      <c r="N21" s="28"/>
      <c r="O21" t="s" s="23">
        <v>37</v>
      </c>
      <c r="P21" s="29" cm="1">
        <f t="array" ref="P21">CEILING(MIN(2,E21/'대당 타설량'!B7),1)</f>
        <v>1</v>
      </c>
      <c r="Q21" s="25" cm="1">
        <f t="array" ref="Q21">MAX(1,IF(E21/(F21*H21)-INT(E21/(F21*H21))&lt;0.5,ROUNDDOWN(E21/(F21*H21),0),ROUNDUP(E21/(F21*H21),0)))</f>
        <v>1</v>
      </c>
      <c r="R21" s="20">
        <v>2</v>
      </c>
      <c r="S21" s="20" cm="1">
        <f t="array" ref="S21">ROUNDUP(Q21+R21,0)</f>
        <v>3</v>
      </c>
      <c r="T21" t="s" s="4">
        <v>38</v>
      </c>
    </row>
    <row r="22" ht="16.5" customHeight="1">
      <c r="A22" s="68"/>
      <c r="B22" s="68"/>
      <c r="C22" s="68"/>
      <c r="D22" s="68"/>
      <c r="E22" s="69"/>
      <c r="F22" s="69"/>
      <c r="G22" s="81"/>
      <c r="H22" s="68"/>
      <c r="I22" s="68"/>
      <c r="J22" s="82"/>
      <c r="K22" s="82"/>
      <c r="L22" s="82"/>
      <c r="M22" s="83"/>
      <c r="N22" s="82"/>
      <c r="O22" s="68"/>
      <c r="P22" s="68"/>
      <c r="Q22" s="68"/>
      <c r="R22" s="68"/>
      <c r="S22" s="68"/>
      <c r="T22" s="68"/>
    </row>
    <row r="23" ht="16.5" customHeight="1">
      <c r="A23" t="s" s="9">
        <v>74</v>
      </c>
      <c r="B23" s="28"/>
      <c r="C23" t="s" s="30">
        <v>40</v>
      </c>
      <c r="D23" t="s" s="30">
        <v>32</v>
      </c>
      <c r="E23" s="31"/>
      <c r="F23" s="31"/>
      <c r="G23" s="32"/>
      <c r="H23" s="32">
        <v>3</v>
      </c>
      <c r="I23" s="35"/>
      <c r="J23" s="33">
        <v>3</v>
      </c>
      <c r="K23" s="33">
        <v>6</v>
      </c>
      <c r="L23" s="33" cm="1">
        <f t="array" ref="L23">N23/J23</f>
        <v>2</v>
      </c>
      <c r="M23" s="34">
        <v>1</v>
      </c>
      <c r="N23" s="18" cm="1">
        <f t="array" ref="N23">ROUND(M23*K23/J23,0)*J23</f>
        <v>6</v>
      </c>
      <c r="O23" s="35"/>
      <c r="P23" s="35"/>
      <c r="Q23" s="32"/>
      <c r="R23" s="63">
        <v>1</v>
      </c>
      <c r="S23" s="20" cm="1">
        <f t="array" ref="S23">ROUNDUP(Q23+R23,0)</f>
        <v>1</v>
      </c>
      <c r="T23" t="s" s="4">
        <v>43</v>
      </c>
    </row>
    <row r="24" ht="16.5" customHeight="1">
      <c r="A24" s="28"/>
      <c r="B24" s="28"/>
      <c r="C24" t="s" s="73">
        <v>68</v>
      </c>
      <c r="D24" t="s" s="73">
        <v>32</v>
      </c>
      <c r="E24" s="74">
        <v>778.95</v>
      </c>
      <c r="F24" s="74">
        <v>60</v>
      </c>
      <c r="G24" s="75" cm="1">
        <f t="array" ref="G24">ROUNDUP(E24/F24,0)</f>
        <v>13</v>
      </c>
      <c r="H24" s="75" cm="1">
        <f t="array" ref="H24">ROUNDUP(G24/Q24,0)</f>
        <v>13</v>
      </c>
      <c r="I24" t="s" s="73">
        <v>33</v>
      </c>
      <c r="J24" s="16">
        <v>4</v>
      </c>
      <c r="K24" s="16">
        <v>20</v>
      </c>
      <c r="L24" s="16" cm="1">
        <f t="array" ref="L24">N24/J24</f>
        <v>4</v>
      </c>
      <c r="M24" s="17">
        <v>0.85</v>
      </c>
      <c r="N24" s="18" cm="1">
        <f t="array" ref="N24">ROUND(M24*K24/J24,0)*J24</f>
        <v>16</v>
      </c>
      <c r="O24" s="76"/>
      <c r="P24" s="76"/>
      <c r="Q24" s="75">
        <v>1</v>
      </c>
      <c r="R24" s="20">
        <v>1</v>
      </c>
      <c r="S24" s="20" cm="1">
        <f t="array" ref="S24">ROUNDUP(Q24+R24,0)</f>
        <v>2</v>
      </c>
      <c r="T24" t="s" s="4">
        <v>51</v>
      </c>
    </row>
    <row r="25" ht="16.5" customHeight="1">
      <c r="A25" s="28"/>
      <c r="B25" s="28"/>
      <c r="C25" t="s" s="37">
        <v>49</v>
      </c>
      <c r="D25" t="s" s="37">
        <v>42</v>
      </c>
      <c r="E25" s="38">
        <v>9.42</v>
      </c>
      <c r="F25" s="38">
        <v>0.8</v>
      </c>
      <c r="G25" s="39" cm="1">
        <f t="array" ref="G25">ROUNDUP(E25/F25,0)</f>
        <v>12</v>
      </c>
      <c r="H25" s="39" cm="1">
        <f t="array" ref="H25">ROUNDUP(G25/Q25,0)</f>
        <v>12</v>
      </c>
      <c r="I25" t="s" s="37">
        <v>33</v>
      </c>
      <c r="J25" s="16">
        <v>3</v>
      </c>
      <c r="K25" s="16">
        <v>15</v>
      </c>
      <c r="L25" s="16" cm="1">
        <f t="array" ref="L25">N25/J25</f>
        <v>4</v>
      </c>
      <c r="M25" s="17">
        <v>0.85</v>
      </c>
      <c r="N25" s="18" cm="1">
        <f t="array" ref="N25">ROUND(M25*K25/J25,0)*J25</f>
        <v>12</v>
      </c>
      <c r="O25" s="40"/>
      <c r="P25" s="40"/>
      <c r="Q25" s="39">
        <v>1</v>
      </c>
      <c r="R25" s="20">
        <v>0.5</v>
      </c>
      <c r="S25" s="20" cm="1">
        <f t="array" ref="S25">ROUNDUP(Q25+R25,0)</f>
        <v>2</v>
      </c>
      <c r="T25" t="s" s="4">
        <v>43</v>
      </c>
    </row>
    <row r="26" ht="16.5" customHeight="1">
      <c r="A26" s="28"/>
      <c r="B26" s="28"/>
      <c r="C26" t="s" s="77">
        <v>70</v>
      </c>
      <c r="D26" t="s" s="77">
        <v>32</v>
      </c>
      <c r="E26" s="78">
        <v>952.05</v>
      </c>
      <c r="F26" s="78">
        <v>60</v>
      </c>
      <c r="G26" s="79" cm="1">
        <f t="array" ref="G26">ROUNDUP(E26/F26,0)</f>
        <v>16</v>
      </c>
      <c r="H26" s="79" cm="1">
        <f t="array" ref="H26">ROUNDUP(G26/Q26,0)</f>
        <v>16</v>
      </c>
      <c r="I26" t="s" s="77">
        <v>33</v>
      </c>
      <c r="J26" s="16">
        <v>3</v>
      </c>
      <c r="K26" s="16">
        <v>18</v>
      </c>
      <c r="L26" s="16" cm="1">
        <f t="array" ref="L26">N26/J26</f>
        <v>5</v>
      </c>
      <c r="M26" s="17">
        <v>0.85</v>
      </c>
      <c r="N26" s="18" cm="1">
        <f t="array" ref="N26">ROUND(M26*K26/J26,0)*J26</f>
        <v>15</v>
      </c>
      <c r="O26" s="80"/>
      <c r="P26" s="80"/>
      <c r="Q26" s="79">
        <v>1</v>
      </c>
      <c r="R26" s="20">
        <v>0.5</v>
      </c>
      <c r="S26" s="20" cm="1">
        <f t="array" ref="S26">ROUNDUP(Q26+R26,0)</f>
        <v>2</v>
      </c>
      <c r="T26" t="s" s="4">
        <v>43</v>
      </c>
    </row>
    <row r="27" ht="16.5" customHeight="1">
      <c r="A27" s="28"/>
      <c r="B27" s="28"/>
      <c r="C27" t="s" s="37">
        <v>52</v>
      </c>
      <c r="D27" t="s" s="37">
        <v>42</v>
      </c>
      <c r="E27" s="38">
        <v>9.42</v>
      </c>
      <c r="F27" s="38">
        <v>0.9</v>
      </c>
      <c r="G27" s="39" cm="1">
        <f t="array" ref="G27">ROUNDUP(E27/F27,0)</f>
        <v>11</v>
      </c>
      <c r="H27" s="39" cm="1">
        <f t="array" ref="H27">ROUNDUP(G27/Q27,0)</f>
        <v>11</v>
      </c>
      <c r="I27" t="s" s="37">
        <v>33</v>
      </c>
      <c r="J27" s="16">
        <v>2</v>
      </c>
      <c r="K27" s="16">
        <v>18</v>
      </c>
      <c r="L27" s="16" cm="1">
        <f t="array" ref="L27">N27/J27</f>
        <v>8</v>
      </c>
      <c r="M27" s="17">
        <v>0.85</v>
      </c>
      <c r="N27" s="18" cm="1">
        <f t="array" ref="N27">ROUND(M27*K27/J27,0)*J27</f>
        <v>16</v>
      </c>
      <c r="O27" s="40"/>
      <c r="P27" s="40"/>
      <c r="Q27" s="39">
        <v>1</v>
      </c>
      <c r="R27" s="20">
        <v>0.5</v>
      </c>
      <c r="S27" s="20" cm="1">
        <f t="array" ref="S27">ROUNDUP(Q27+R27,0)</f>
        <v>2</v>
      </c>
      <c r="T27" t="s" s="4">
        <v>43</v>
      </c>
    </row>
    <row r="28" ht="16.5" customHeight="1">
      <c r="A28" s="28"/>
      <c r="B28" s="28"/>
      <c r="C28" t="s" s="23">
        <v>54</v>
      </c>
      <c r="D28" t="s" s="23">
        <v>35</v>
      </c>
      <c r="E28" s="24">
        <v>224</v>
      </c>
      <c r="F28" s="24">
        <v>130</v>
      </c>
      <c r="G28" s="25" cm="1">
        <f t="array" ref="G28">H28*Q28</f>
        <v>6</v>
      </c>
      <c r="H28" s="25" cm="1">
        <f t="array" ref="H28">P28*6</f>
        <v>6</v>
      </c>
      <c r="I28" t="s" s="23">
        <v>75</v>
      </c>
      <c r="J28" s="26"/>
      <c r="K28" s="26"/>
      <c r="L28" s="26"/>
      <c r="M28" s="27">
        <v>1</v>
      </c>
      <c r="N28" s="28"/>
      <c r="O28" t="s" s="23">
        <v>37</v>
      </c>
      <c r="P28" s="29" cm="1">
        <f t="array" ref="P28">CEILING(MIN(2,E28/'대당 타설량'!B8),1)</f>
        <v>1</v>
      </c>
      <c r="Q28" s="25" cm="1">
        <f t="array" ref="Q28">MAX(1,IF(E28/(F28*H28)-INT(E28/(F28*H28))&lt;0.5,ROUNDDOWN(E28/(F28*H28),0),ROUNDUP(E28/(F28*H28),0)))</f>
        <v>1</v>
      </c>
      <c r="R28" s="20">
        <v>2</v>
      </c>
      <c r="S28" s="20" cm="1">
        <f t="array" ref="S28">ROUNDUP(Q28+R28,0)</f>
        <v>3</v>
      </c>
      <c r="T28" t="s" s="4">
        <v>38</v>
      </c>
    </row>
    <row r="29" ht="16.5" customHeight="1">
      <c r="A29" s="68"/>
      <c r="B29" s="68"/>
      <c r="C29" s="68"/>
      <c r="D29" s="68"/>
      <c r="E29" s="69"/>
      <c r="F29" s="69"/>
      <c r="G29" s="81"/>
      <c r="H29" s="68"/>
      <c r="I29" s="68"/>
      <c r="J29" s="82"/>
      <c r="K29" s="82"/>
      <c r="L29" s="82"/>
      <c r="M29" s="83"/>
      <c r="N29" s="82"/>
      <c r="O29" s="68"/>
      <c r="P29" s="68"/>
      <c r="Q29" s="68"/>
      <c r="R29" s="68"/>
      <c r="S29" s="68"/>
      <c r="T29" s="68"/>
    </row>
    <row r="30" ht="16" customHeight="1">
      <c r="A30" t="s" s="9">
        <v>76</v>
      </c>
      <c r="B30" s="28"/>
      <c r="C30" t="s" s="30">
        <v>40</v>
      </c>
      <c r="D30" t="s" s="30">
        <v>32</v>
      </c>
      <c r="E30" s="31"/>
      <c r="F30" s="31"/>
      <c r="G30" s="32"/>
      <c r="H30" s="32">
        <v>3</v>
      </c>
      <c r="I30" s="35"/>
      <c r="J30" s="33">
        <v>3</v>
      </c>
      <c r="K30" s="33">
        <v>6</v>
      </c>
      <c r="L30" s="33" cm="1">
        <f t="array" ref="L30">N30/J30</f>
        <v>2</v>
      </c>
      <c r="M30" s="34">
        <v>1</v>
      </c>
      <c r="N30" s="18" cm="1">
        <f t="array" ref="N30">ROUND(M30*K30/J30,0)*J30</f>
        <v>6</v>
      </c>
      <c r="O30" s="35"/>
      <c r="P30" s="35"/>
      <c r="Q30" s="35"/>
      <c r="R30" s="63">
        <v>1</v>
      </c>
      <c r="S30" s="20" cm="1">
        <f t="array" ref="S30">ROUNDUP(Q30+R30,0)</f>
        <v>1</v>
      </c>
      <c r="T30" t="s" s="4">
        <v>43</v>
      </c>
    </row>
    <row r="31" ht="16" customHeight="1">
      <c r="A31" s="28"/>
      <c r="B31" s="28"/>
      <c r="C31" t="s" s="37">
        <v>49</v>
      </c>
      <c r="D31" t="s" s="37">
        <v>42</v>
      </c>
      <c r="E31" s="38">
        <v>4.97</v>
      </c>
      <c r="F31" s="38">
        <v>0.7</v>
      </c>
      <c r="G31" s="39" cm="1">
        <f t="array" ref="G31">ROUNDUP(E31/F31,0)</f>
        <v>8</v>
      </c>
      <c r="H31" s="39" cm="1">
        <f t="array" ref="H31">ROUNDUP(G31/Q31,0)</f>
        <v>8</v>
      </c>
      <c r="I31" t="s" s="37">
        <v>33</v>
      </c>
      <c r="J31" s="16">
        <v>3</v>
      </c>
      <c r="K31" s="16">
        <v>15</v>
      </c>
      <c r="L31" s="16" cm="1">
        <f t="array" ref="L31">N31/J31</f>
        <v>4</v>
      </c>
      <c r="M31" s="17">
        <v>0.7</v>
      </c>
      <c r="N31" s="18" cm="1">
        <f t="array" ref="N31">ROUND(M31*K31/J31,0)*J31</f>
        <v>12</v>
      </c>
      <c r="O31" s="40"/>
      <c r="P31" s="40"/>
      <c r="Q31" s="39">
        <v>1</v>
      </c>
      <c r="R31" s="20">
        <v>0.5</v>
      </c>
      <c r="S31" s="20" cm="1">
        <f t="array" ref="S31">ROUNDUP(Q31+R31,0)</f>
        <v>2</v>
      </c>
      <c r="T31" t="s" s="4">
        <v>43</v>
      </c>
    </row>
    <row r="32" ht="16" customHeight="1">
      <c r="A32" s="28"/>
      <c r="B32" s="28"/>
      <c r="C32" t="s" s="13">
        <v>65</v>
      </c>
      <c r="D32" t="s" s="13">
        <v>32</v>
      </c>
      <c r="E32" s="14">
        <v>291</v>
      </c>
      <c r="F32" s="14">
        <v>9</v>
      </c>
      <c r="G32" s="15" cm="1">
        <f t="array" ref="G32">ROUNDUP(E32/F32,0)</f>
        <v>33</v>
      </c>
      <c r="H32" s="15" cm="1">
        <f t="array" ref="H32">ROUNDUP(G32/Q32,0)</f>
        <v>6</v>
      </c>
      <c r="I32" t="s" s="13">
        <v>33</v>
      </c>
      <c r="J32" s="16">
        <v>2</v>
      </c>
      <c r="K32" s="16">
        <v>8</v>
      </c>
      <c r="L32" s="16" cm="1">
        <f t="array" ref="L32">N32/J32</f>
        <v>3</v>
      </c>
      <c r="M32" s="17">
        <v>0.7</v>
      </c>
      <c r="N32" s="18" cm="1">
        <f t="array" ref="N32">ROUND(M32*K32/J32,0)*J32</f>
        <v>6</v>
      </c>
      <c r="O32" s="19"/>
      <c r="P32" s="19"/>
      <c r="Q32" s="15">
        <v>6</v>
      </c>
      <c r="R32" s="20">
        <v>0.5</v>
      </c>
      <c r="S32" s="20" cm="1">
        <f t="array" ref="S32">ROUNDUP(Q32+R32,0)</f>
        <v>7</v>
      </c>
      <c r="T32" t="s" s="4">
        <v>43</v>
      </c>
    </row>
    <row r="33" ht="16" customHeight="1">
      <c r="A33" s="28"/>
      <c r="B33" s="28"/>
      <c r="C33" t="s" s="37">
        <v>52</v>
      </c>
      <c r="D33" t="s" s="37">
        <v>42</v>
      </c>
      <c r="E33" s="38">
        <v>4.97</v>
      </c>
      <c r="F33" s="38">
        <v>0.6</v>
      </c>
      <c r="G33" s="39" cm="1">
        <f t="array" ref="G33">ROUNDUP(E33/F33,0)</f>
        <v>9</v>
      </c>
      <c r="H33" s="39" cm="1">
        <f t="array" ref="H33">ROUNDUP(G33/Q33,0)</f>
        <v>9</v>
      </c>
      <c r="I33" t="s" s="37">
        <v>33</v>
      </c>
      <c r="J33" s="16">
        <v>3</v>
      </c>
      <c r="K33" s="16">
        <v>18</v>
      </c>
      <c r="L33" s="16" cm="1">
        <f t="array" ref="L33">N33/J33</f>
        <v>4</v>
      </c>
      <c r="M33" s="17">
        <v>0.7</v>
      </c>
      <c r="N33" s="18" cm="1">
        <f t="array" ref="N33">ROUND(M33*K33/J33,0)*J33</f>
        <v>12</v>
      </c>
      <c r="O33" s="40"/>
      <c r="P33" s="40"/>
      <c r="Q33" s="39">
        <v>1</v>
      </c>
      <c r="R33" s="20">
        <v>0.5</v>
      </c>
      <c r="S33" s="20" cm="1">
        <f t="array" ref="S33">ROUNDUP(Q33+R33,0)</f>
        <v>2</v>
      </c>
      <c r="T33" t="s" s="4">
        <v>43</v>
      </c>
    </row>
    <row r="34" ht="16" customHeight="1">
      <c r="A34" s="28"/>
      <c r="B34" s="28"/>
      <c r="C34" t="s" s="23">
        <v>54</v>
      </c>
      <c r="D34" t="s" s="23">
        <v>35</v>
      </c>
      <c r="E34" s="24">
        <v>102</v>
      </c>
      <c r="F34" s="24">
        <v>130</v>
      </c>
      <c r="G34" s="25" cm="1">
        <f t="array" ref="G34">H34*Q34</f>
        <v>4</v>
      </c>
      <c r="H34" s="25" cm="1">
        <f t="array" ref="H34">P34*4</f>
        <v>4</v>
      </c>
      <c r="I34" t="s" s="23">
        <v>77</v>
      </c>
      <c r="J34" s="26"/>
      <c r="K34" s="26"/>
      <c r="L34" s="26"/>
      <c r="M34" s="27">
        <v>1</v>
      </c>
      <c r="N34" s="28"/>
      <c r="O34" t="s" s="23">
        <v>37</v>
      </c>
      <c r="P34" s="29" cm="1">
        <f t="array" ref="P34">CEILING(MIN(2,E34/'대당 타설량'!B9),1)</f>
        <v>1</v>
      </c>
      <c r="Q34" s="25" cm="1">
        <f t="array" ref="Q34">MAX(1,IF(E34/(F34*H34)-INT(E34/(F34*H34))&lt;0.5,ROUNDDOWN(E34/(F34*H34),0),ROUNDUP(E34/(F34*H34),0)))</f>
        <v>1</v>
      </c>
      <c r="R34" s="20">
        <v>2</v>
      </c>
      <c r="S34" s="20" cm="1">
        <f t="array" ref="S34">ROUNDUP(Q34+R34,0)</f>
        <v>3</v>
      </c>
      <c r="T34" t="s" s="4">
        <v>38</v>
      </c>
    </row>
    <row r="35" ht="16" customHeight="1">
      <c r="A35" s="28"/>
      <c r="B35" s="28"/>
      <c r="C35" t="s" s="43">
        <v>56</v>
      </c>
      <c r="D35" t="s" s="43">
        <v>32</v>
      </c>
      <c r="E35" s="44" cm="1">
        <f t="array" ref="E35">E32</f>
        <v>291</v>
      </c>
      <c r="F35" s="44">
        <v>50</v>
      </c>
      <c r="G35" s="45" cm="1">
        <f t="array" ref="G35">ROUNDUP(E35/F35,0)</f>
        <v>6</v>
      </c>
      <c r="H35" s="45" cm="1">
        <f t="array" ref="H35">ROUNDUP(G35/Q35,0)</f>
        <v>6</v>
      </c>
      <c r="I35" t="s" s="43">
        <v>33</v>
      </c>
      <c r="J35" s="16">
        <v>2</v>
      </c>
      <c r="K35" s="16">
        <v>6</v>
      </c>
      <c r="L35" s="16" cm="1">
        <f t="array" ref="L35">N35/J35</f>
        <v>4</v>
      </c>
      <c r="M35" s="17">
        <v>1.2</v>
      </c>
      <c r="N35" s="18" cm="1">
        <f t="array" ref="N35">ROUND(M35*K35/J35,0)*J35</f>
        <v>8</v>
      </c>
      <c r="O35" s="46"/>
      <c r="P35" s="46"/>
      <c r="Q35" s="45">
        <v>1</v>
      </c>
      <c r="R35" s="20"/>
      <c r="S35" s="20" cm="1">
        <f t="array" ref="S35">ROUNDUP(Q35+R35,0)</f>
        <v>1</v>
      </c>
      <c r="T35" s="21"/>
    </row>
  </sheetData>
  <mergeCells count="10">
    <mergeCell ref="A23:A28"/>
    <mergeCell ref="A30:A35"/>
    <mergeCell ref="A9:A14"/>
    <mergeCell ref="A16:A21"/>
    <mergeCell ref="A2:A7"/>
    <mergeCell ref="B30:B35"/>
    <mergeCell ref="B23:B28"/>
    <mergeCell ref="B16:B21"/>
    <mergeCell ref="B2:B7"/>
    <mergeCell ref="B9:B1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