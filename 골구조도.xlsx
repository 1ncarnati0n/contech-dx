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LAON_NAS\Home.sa\21. 현장관리시스템구축\"/>
    </mc:Choice>
  </mc:AlternateContent>
  <xr:revisionPtr revIDLastSave="0" documentId="13_ncr:1_{017E1D0B-60C3-483C-82FA-9D9696BA0B19}" xr6:coauthVersionLast="47" xr6:coauthVersionMax="47" xr10:uidLastSave="{00000000-0000-0000-0000-000000000000}"/>
  <bookViews>
    <workbookView xWindow="-120" yWindow="-120" windowWidth="38640" windowHeight="21120" xr2:uid="{F910B73D-BAAA-4F15-8214-356FD9B7DA56}"/>
  </bookViews>
  <sheets>
    <sheet name="골구조도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3" i="1" l="1"/>
  <c r="M33" i="1"/>
  <c r="L33" i="1"/>
  <c r="P32" i="1"/>
  <c r="P33" i="1" s="1"/>
  <c r="D3" i="1" s="1"/>
</calcChain>
</file>

<file path=xl/sharedStrings.xml><?xml version="1.0" encoding="utf-8"?>
<sst xmlns="http://schemas.openxmlformats.org/spreadsheetml/2006/main" count="23" uniqueCount="18">
  <si>
    <t>동별</t>
    <phoneticPr fontId="2" type="noConversion"/>
  </si>
  <si>
    <t>공사기간</t>
    <phoneticPr fontId="2" type="noConversion"/>
  </si>
  <si>
    <t>작업일수</t>
    <phoneticPr fontId="2" type="noConversion"/>
  </si>
  <si>
    <t>옥탑2</t>
    <phoneticPr fontId="2" type="noConversion"/>
  </si>
  <si>
    <t>옥탑1</t>
    <phoneticPr fontId="2" type="noConversion"/>
  </si>
  <si>
    <t>필로티</t>
    <phoneticPr fontId="2" type="noConversion"/>
  </si>
  <si>
    <t>코어1</t>
    <phoneticPr fontId="2" type="noConversion"/>
  </si>
  <si>
    <t>코어2</t>
    <phoneticPr fontId="2" type="noConversion"/>
  </si>
  <si>
    <t>B1</t>
    <phoneticPr fontId="2" type="noConversion"/>
  </si>
  <si>
    <t>B2</t>
    <phoneticPr fontId="2" type="noConversion"/>
  </si>
  <si>
    <t>기초</t>
    <phoneticPr fontId="2" type="noConversion"/>
  </si>
  <si>
    <t>계</t>
    <phoneticPr fontId="2" type="noConversion"/>
  </si>
  <si>
    <t>개월</t>
    <phoneticPr fontId="2" type="noConversion"/>
  </si>
  <si>
    <t>형틀</t>
    <phoneticPr fontId="2" type="noConversion"/>
  </si>
  <si>
    <t>철근</t>
    <phoneticPr fontId="2" type="noConversion"/>
  </si>
  <si>
    <t>콘크리트</t>
    <phoneticPr fontId="2" type="noConversion"/>
  </si>
  <si>
    <t>버림</t>
    <phoneticPr fontId="2" type="noConversion"/>
  </si>
  <si>
    <t>101동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</si>
</sst>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0.00&quot;개&quot;&quot;월&quot;"/>
    <numFmt numFmtId="177" formatCode="_-* #,##0.00_-;\-* #,##0.00_-;_-* &quot;-&quot;_-;_-@_-"/>
  </numFmts>
  <fonts count="1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2"/>
      <color theme="1"/>
      <name val="맑은 고딕"/>
      <family val="3"/>
      <charset val="129"/>
      <scheme val="minor"/>
    </font>
    <font>
      <sz val="16"/>
      <color theme="1"/>
      <name val="맑은 고딕"/>
      <family val="2"/>
      <charset val="129"/>
      <scheme val="minor"/>
    </font>
    <font>
      <sz val="22"/>
      <color theme="1"/>
      <name val="맑은 고딕"/>
      <family val="2"/>
      <charset val="129"/>
      <scheme val="minor"/>
    </font>
    <font>
      <sz val="9"/>
      <name val="돋움"/>
      <family val="3"/>
      <charset val="129"/>
    </font>
    <font>
      <sz val="10"/>
      <color theme="1"/>
      <name val="돋움"/>
      <family val="3"/>
      <charset val="129"/>
    </font>
    <font>
      <sz val="10"/>
      <name val="돋움"/>
      <family val="3"/>
      <charset val="129"/>
    </font>
    <font>
      <sz val="9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72">
    <xf numFmtId="0" fontId="0" fillId="0" borderId="0" xfId="0">
      <alignment vertical="center"/>
    </xf>
    <xf numFmtId="0" fontId="3" fillId="0" borderId="0" xfId="2">
      <alignment vertical="center"/>
    </xf>
    <xf numFmtId="0" fontId="6" fillId="0" borderId="0" xfId="2" applyFont="1">
      <alignment vertical="center"/>
    </xf>
    <xf numFmtId="0" fontId="4" fillId="2" borderId="1" xfId="2" applyFont="1" applyFill="1" applyBorder="1" applyAlignment="1">
      <alignment horizontal="center" vertical="center"/>
    </xf>
    <xf numFmtId="0" fontId="3" fillId="0" borderId="0" xfId="2" applyAlignment="1">
      <alignment horizontal="center" vertical="center"/>
    </xf>
    <xf numFmtId="0" fontId="7" fillId="0" borderId="8" xfId="2" applyFont="1" applyBorder="1" applyAlignment="1">
      <alignment horizontal="center" vertical="center"/>
    </xf>
    <xf numFmtId="0" fontId="7" fillId="4" borderId="8" xfId="2" applyFont="1" applyFill="1" applyBorder="1" applyAlignment="1">
      <alignment horizontal="center" vertical="center"/>
    </xf>
    <xf numFmtId="0" fontId="7" fillId="0" borderId="11" xfId="2" applyFont="1" applyBorder="1" applyAlignment="1">
      <alignment horizontal="center" vertical="center"/>
    </xf>
    <xf numFmtId="0" fontId="3" fillId="0" borderId="12" xfId="2" applyBorder="1">
      <alignment vertical="center"/>
    </xf>
    <xf numFmtId="0" fontId="7" fillId="4" borderId="13" xfId="2" applyFont="1" applyFill="1" applyBorder="1" applyAlignment="1">
      <alignment horizontal="center" vertical="center"/>
    </xf>
    <xf numFmtId="0" fontId="7" fillId="4" borderId="11" xfId="2" applyFont="1" applyFill="1" applyBorder="1" applyAlignment="1">
      <alignment horizontal="center" vertical="center"/>
    </xf>
    <xf numFmtId="0" fontId="8" fillId="5" borderId="14" xfId="2" applyFont="1" applyFill="1" applyBorder="1" applyAlignment="1">
      <alignment horizontal="center" vertical="center"/>
    </xf>
    <xf numFmtId="0" fontId="7" fillId="0" borderId="15" xfId="2" applyFont="1" applyBorder="1" applyAlignment="1">
      <alignment horizontal="center" vertical="center"/>
    </xf>
    <xf numFmtId="0" fontId="3" fillId="4" borderId="16" xfId="2" applyFill="1" applyBorder="1">
      <alignment vertical="center"/>
    </xf>
    <xf numFmtId="0" fontId="7" fillId="0" borderId="17" xfId="2" applyFont="1" applyBorder="1" applyAlignment="1">
      <alignment horizontal="center" vertical="center"/>
    </xf>
    <xf numFmtId="0" fontId="7" fillId="4" borderId="16" xfId="2" applyFont="1" applyFill="1" applyBorder="1" applyAlignment="1">
      <alignment horizontal="center" vertical="center"/>
    </xf>
    <xf numFmtId="0" fontId="7" fillId="0" borderId="18" xfId="2" applyFont="1" applyBorder="1" applyAlignment="1">
      <alignment horizontal="center" vertical="center"/>
    </xf>
    <xf numFmtId="0" fontId="7" fillId="0" borderId="19" xfId="2" applyFont="1" applyBorder="1" applyAlignment="1">
      <alignment horizontal="center" vertical="center"/>
    </xf>
    <xf numFmtId="0" fontId="9" fillId="5" borderId="20" xfId="2" applyFont="1" applyFill="1" applyBorder="1" applyAlignment="1">
      <alignment horizontal="center" vertical="center"/>
    </xf>
    <xf numFmtId="0" fontId="7" fillId="0" borderId="21" xfId="2" applyFont="1" applyBorder="1" applyAlignment="1">
      <alignment horizontal="center" vertical="center"/>
    </xf>
    <xf numFmtId="0" fontId="3" fillId="4" borderId="17" xfId="2" applyFill="1" applyBorder="1">
      <alignment vertical="center"/>
    </xf>
    <xf numFmtId="0" fontId="7" fillId="4" borderId="17" xfId="2" applyFont="1" applyFill="1" applyBorder="1" applyAlignment="1">
      <alignment horizontal="center" vertical="center"/>
    </xf>
    <xf numFmtId="0" fontId="9" fillId="0" borderId="22" xfId="2" applyFont="1" applyBorder="1" applyAlignment="1">
      <alignment horizontal="center" vertical="center"/>
    </xf>
    <xf numFmtId="0" fontId="8" fillId="5" borderId="22" xfId="2" applyFont="1" applyFill="1" applyBorder="1" applyAlignment="1">
      <alignment horizontal="center" vertical="center"/>
    </xf>
    <xf numFmtId="0" fontId="10" fillId="6" borderId="17" xfId="2" applyFont="1" applyFill="1" applyBorder="1" applyAlignment="1">
      <alignment horizontal="center" vertical="center"/>
    </xf>
    <xf numFmtId="0" fontId="10" fillId="6" borderId="18" xfId="2" applyFont="1" applyFill="1" applyBorder="1" applyAlignment="1">
      <alignment horizontal="center" vertical="center"/>
    </xf>
    <xf numFmtId="0" fontId="7" fillId="0" borderId="23" xfId="2" applyFont="1" applyBorder="1" applyAlignment="1">
      <alignment horizontal="center" vertical="center"/>
    </xf>
    <xf numFmtId="0" fontId="7" fillId="0" borderId="24" xfId="2" applyFont="1" applyBorder="1" applyAlignment="1">
      <alignment horizontal="center" vertical="center"/>
    </xf>
    <xf numFmtId="0" fontId="7" fillId="4" borderId="24" xfId="2" applyFont="1" applyFill="1" applyBorder="1" applyAlignment="1">
      <alignment horizontal="center" vertical="center"/>
    </xf>
    <xf numFmtId="0" fontId="10" fillId="0" borderId="14" xfId="2" applyFont="1" applyBorder="1">
      <alignment vertical="center"/>
    </xf>
    <xf numFmtId="0" fontId="3" fillId="0" borderId="25" xfId="2" applyBorder="1">
      <alignment vertical="center"/>
    </xf>
    <xf numFmtId="0" fontId="3" fillId="0" borderId="16" xfId="2" applyBorder="1">
      <alignment vertical="center"/>
    </xf>
    <xf numFmtId="0" fontId="10" fillId="0" borderId="26" xfId="2" applyFont="1" applyBorder="1">
      <alignment vertical="center"/>
    </xf>
    <xf numFmtId="0" fontId="3" fillId="0" borderId="27" xfId="2" applyBorder="1">
      <alignment vertical="center"/>
    </xf>
    <xf numFmtId="0" fontId="11" fillId="0" borderId="22" xfId="2" applyFont="1" applyBorder="1">
      <alignment vertical="center"/>
    </xf>
    <xf numFmtId="0" fontId="3" fillId="0" borderId="15" xfId="2" applyBorder="1">
      <alignment vertical="center"/>
    </xf>
    <xf numFmtId="0" fontId="3" fillId="0" borderId="17" xfId="2" applyBorder="1">
      <alignment vertical="center"/>
    </xf>
    <xf numFmtId="0" fontId="11" fillId="0" borderId="28" xfId="2" applyFont="1" applyBorder="1">
      <alignment vertical="center"/>
    </xf>
    <xf numFmtId="0" fontId="3" fillId="0" borderId="18" xfId="2" applyBorder="1">
      <alignment vertical="center"/>
    </xf>
    <xf numFmtId="0" fontId="3" fillId="0" borderId="1" xfId="2" applyBorder="1" applyAlignment="1">
      <alignment horizontal="center" vertical="center"/>
    </xf>
    <xf numFmtId="0" fontId="3" fillId="0" borderId="29" xfId="2" applyBorder="1">
      <alignment vertical="center"/>
    </xf>
    <xf numFmtId="0" fontId="3" fillId="0" borderId="30" xfId="2" applyBorder="1">
      <alignment vertical="center"/>
    </xf>
    <xf numFmtId="0" fontId="3" fillId="0" borderId="31" xfId="2" applyBorder="1">
      <alignment vertical="center"/>
    </xf>
    <xf numFmtId="0" fontId="3" fillId="0" borderId="32" xfId="2" applyBorder="1">
      <alignment vertical="center"/>
    </xf>
    <xf numFmtId="0" fontId="4" fillId="7" borderId="1" xfId="2" applyFont="1" applyFill="1" applyBorder="1" applyAlignment="1">
      <alignment horizontal="center" vertical="center"/>
    </xf>
    <xf numFmtId="2" fontId="3" fillId="0" borderId="1" xfId="2" applyNumberFormat="1" applyBorder="1" applyAlignment="1">
      <alignment horizontal="center" vertical="center"/>
    </xf>
    <xf numFmtId="0" fontId="9" fillId="4" borderId="24" xfId="2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2" fontId="0" fillId="0" borderId="14" xfId="0" applyNumberFormat="1" applyBorder="1" applyAlignment="1">
      <alignment horizontal="center" vertical="center"/>
    </xf>
    <xf numFmtId="2" fontId="0" fillId="0" borderId="16" xfId="0" applyNumberFormat="1" applyBorder="1" applyAlignment="1">
      <alignment horizontal="center" vertical="center"/>
    </xf>
    <xf numFmtId="2" fontId="0" fillId="0" borderId="33" xfId="0" applyNumberFormat="1" applyBorder="1" applyAlignment="1">
      <alignment horizontal="center" vertical="center"/>
    </xf>
    <xf numFmtId="2" fontId="0" fillId="0" borderId="22" xfId="0" applyNumberFormat="1" applyBorder="1" applyAlignment="1">
      <alignment horizontal="center" vertical="center"/>
    </xf>
    <xf numFmtId="2" fontId="0" fillId="0" borderId="17" xfId="0" applyNumberFormat="1" applyBorder="1" applyAlignment="1">
      <alignment horizontal="center" vertical="center"/>
    </xf>
    <xf numFmtId="2" fontId="0" fillId="0" borderId="34" xfId="0" applyNumberFormat="1" applyBorder="1" applyAlignment="1">
      <alignment horizontal="center" vertical="center"/>
    </xf>
    <xf numFmtId="2" fontId="0" fillId="0" borderId="29" xfId="0" applyNumberFormat="1" applyBorder="1" applyAlignment="1">
      <alignment horizontal="center" vertical="center"/>
    </xf>
    <xf numFmtId="2" fontId="0" fillId="0" borderId="31" xfId="0" applyNumberFormat="1" applyBorder="1" applyAlignment="1">
      <alignment horizontal="center" vertical="center"/>
    </xf>
    <xf numFmtId="2" fontId="0" fillId="0" borderId="35" xfId="0" applyNumberFormat="1" applyBorder="1" applyAlignment="1">
      <alignment horizontal="center" vertical="center"/>
    </xf>
    <xf numFmtId="177" fontId="0" fillId="0" borderId="1" xfId="1" applyNumberFormat="1" applyFont="1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0" fontId="7" fillId="0" borderId="16" xfId="2" applyFont="1" applyBorder="1" applyAlignment="1">
      <alignment horizontal="center" vertical="center"/>
    </xf>
    <xf numFmtId="0" fontId="7" fillId="0" borderId="27" xfId="2" applyFont="1" applyBorder="1" applyAlignment="1">
      <alignment horizontal="center" vertical="center"/>
    </xf>
    <xf numFmtId="0" fontId="10" fillId="6" borderId="32" xfId="2" applyFont="1" applyFill="1" applyBorder="1" applyAlignment="1">
      <alignment horizontal="center" vertical="center"/>
    </xf>
    <xf numFmtId="0" fontId="3" fillId="0" borderId="9" xfId="2" applyBorder="1" applyAlignment="1">
      <alignment horizontal="center" vertical="center"/>
    </xf>
    <xf numFmtId="0" fontId="3" fillId="0" borderId="10" xfId="2" applyBorder="1" applyAlignment="1">
      <alignment horizontal="center" vertical="center"/>
    </xf>
    <xf numFmtId="0" fontId="12" fillId="7" borderId="2" xfId="2" applyFont="1" applyFill="1" applyBorder="1" applyAlignment="1">
      <alignment horizontal="center" vertical="center"/>
    </xf>
    <xf numFmtId="0" fontId="12" fillId="7" borderId="3" xfId="2" applyFont="1" applyFill="1" applyBorder="1" applyAlignment="1">
      <alignment horizontal="center" vertical="center"/>
    </xf>
    <xf numFmtId="0" fontId="12" fillId="7" borderId="4" xfId="2" applyFont="1" applyFill="1" applyBorder="1" applyAlignment="1">
      <alignment horizontal="center" vertical="center"/>
    </xf>
    <xf numFmtId="176" fontId="5" fillId="3" borderId="5" xfId="2" applyNumberFormat="1" applyFont="1" applyFill="1" applyBorder="1" applyAlignment="1">
      <alignment horizontal="center" vertical="center"/>
    </xf>
    <xf numFmtId="176" fontId="5" fillId="3" borderId="6" xfId="2" applyNumberFormat="1" applyFont="1" applyFill="1" applyBorder="1" applyAlignment="1">
      <alignment horizontal="center" vertical="center"/>
    </xf>
    <xf numFmtId="176" fontId="5" fillId="3" borderId="7" xfId="2" applyNumberFormat="1" applyFont="1" applyFill="1" applyBorder="1" applyAlignment="1">
      <alignment horizontal="center" vertical="center"/>
    </xf>
    <xf numFmtId="0" fontId="3" fillId="0" borderId="5" xfId="2" applyBorder="1" applyAlignment="1">
      <alignment horizontal="center" vertical="center"/>
    </xf>
    <xf numFmtId="0" fontId="3" fillId="0" borderId="7" xfId="2" applyBorder="1" applyAlignment="1">
      <alignment horizontal="center" vertical="center"/>
    </xf>
  </cellXfs>
  <cellStyles count="3">
    <cellStyle name="쉼표 [0]" xfId="1" builtinId="6"/>
    <cellStyle name="표준" xfId="0" builtinId="0"/>
    <cellStyle name="표준 2" xfId="2" xr:uid="{4ECA6582-EDEA-4E75-89E1-7B8D345FC58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31D6A-828B-445B-B3AB-DAE540D5EBEB}">
  <dimension ref="B2:P34"/>
  <sheetViews>
    <sheetView tabSelected="1" zoomScaleNormal="100" workbookViewId="0">
      <selection activeCell="T12" sqref="T12"/>
    </sheetView>
  </sheetViews>
  <sheetFormatPr defaultRowHeight="16.5" x14ac:dyDescent="0.3"/>
  <cols>
    <col min="12" max="12" width="10.875" bestFit="1" customWidth="1"/>
    <col min="13" max="13" width="9.25" bestFit="1" customWidth="1"/>
    <col min="14" max="14" width="10.875" bestFit="1" customWidth="1"/>
  </cols>
  <sheetData>
    <row r="2" spans="2:16" ht="33.75" x14ac:dyDescent="0.3">
      <c r="B2" s="1"/>
      <c r="C2" s="44" t="s">
        <v>0</v>
      </c>
      <c r="D2" s="64" t="s">
        <v>17</v>
      </c>
      <c r="E2" s="65"/>
      <c r="F2" s="65"/>
      <c r="G2" s="65"/>
      <c r="H2" s="65"/>
      <c r="I2" s="65"/>
      <c r="J2" s="66"/>
      <c r="K2" s="2"/>
      <c r="L2" s="2"/>
      <c r="M2" s="2"/>
    </row>
    <row r="3" spans="2:16" ht="33.75" x14ac:dyDescent="0.3">
      <c r="B3" s="1"/>
      <c r="C3" s="3" t="s">
        <v>1</v>
      </c>
      <c r="D3" s="67">
        <f>P33</f>
        <v>10.73</v>
      </c>
      <c r="E3" s="68"/>
      <c r="F3" s="68"/>
      <c r="G3" s="68"/>
      <c r="H3" s="68"/>
      <c r="I3" s="68"/>
      <c r="J3" s="69"/>
      <c r="K3" s="2"/>
      <c r="L3" s="2"/>
      <c r="M3" s="2"/>
    </row>
    <row r="4" spans="2:16" x14ac:dyDescent="0.3">
      <c r="B4" s="1"/>
      <c r="C4" s="4"/>
      <c r="D4" s="1"/>
      <c r="E4" s="1"/>
      <c r="F4" s="1"/>
      <c r="G4" s="1"/>
      <c r="H4" s="1"/>
      <c r="I4" s="1"/>
      <c r="J4" s="1"/>
      <c r="K4" s="1"/>
      <c r="L4" s="1"/>
      <c r="M4" s="1"/>
    </row>
    <row r="5" spans="2:16" x14ac:dyDescent="0.3">
      <c r="B5" s="1"/>
      <c r="C5" s="4"/>
      <c r="D5" s="1"/>
      <c r="E5" s="1"/>
      <c r="F5" s="1"/>
      <c r="G5" s="1"/>
      <c r="H5" s="1"/>
      <c r="I5" s="1"/>
      <c r="J5" s="1"/>
      <c r="K5" s="1"/>
      <c r="L5" s="1"/>
      <c r="M5" s="1"/>
    </row>
    <row r="6" spans="2:16" x14ac:dyDescent="0.3">
      <c r="B6" s="1"/>
      <c r="C6" s="4"/>
      <c r="D6" s="1"/>
      <c r="E6" s="1"/>
      <c r="F6" s="1"/>
      <c r="G6" s="1"/>
      <c r="H6" s="1"/>
      <c r="I6" s="1"/>
      <c r="J6" s="1"/>
      <c r="K6" s="1"/>
      <c r="L6" s="47" t="s">
        <v>13</v>
      </c>
      <c r="M6" s="47" t="s">
        <v>14</v>
      </c>
      <c r="N6" s="47" t="s">
        <v>15</v>
      </c>
      <c r="O6" s="70" t="s">
        <v>2</v>
      </c>
      <c r="P6" s="71"/>
    </row>
    <row r="7" spans="2:16" x14ac:dyDescent="0.3">
      <c r="B7" s="5" t="s">
        <v>3</v>
      </c>
      <c r="D7" s="1"/>
      <c r="E7" s="1"/>
      <c r="F7" s="6" t="s">
        <v>3</v>
      </c>
      <c r="G7" s="1"/>
      <c r="H7" s="1"/>
      <c r="I7" s="6" t="s">
        <v>3</v>
      </c>
      <c r="J7" s="1"/>
      <c r="K7" s="1"/>
      <c r="L7" s="48">
        <v>300</v>
      </c>
      <c r="M7" s="49">
        <v>5</v>
      </c>
      <c r="N7" s="50">
        <v>150</v>
      </c>
      <c r="O7" s="62">
        <v>7</v>
      </c>
      <c r="P7" s="63"/>
    </row>
    <row r="8" spans="2:16" x14ac:dyDescent="0.3">
      <c r="B8" s="7" t="s">
        <v>4</v>
      </c>
      <c r="D8" s="1"/>
      <c r="E8" s="8"/>
      <c r="F8" s="9" t="s">
        <v>4</v>
      </c>
      <c r="G8" s="1"/>
      <c r="H8" s="1"/>
      <c r="I8" s="10" t="s">
        <v>4</v>
      </c>
      <c r="J8" s="1"/>
      <c r="K8" s="1"/>
      <c r="L8" s="51">
        <v>300</v>
      </c>
      <c r="M8" s="52">
        <v>5</v>
      </c>
      <c r="N8" s="53">
        <v>150</v>
      </c>
      <c r="O8" s="62">
        <v>7</v>
      </c>
      <c r="P8" s="63"/>
    </row>
    <row r="9" spans="2:16" x14ac:dyDescent="0.3">
      <c r="B9" s="5">
        <v>20</v>
      </c>
      <c r="D9" s="11">
        <v>2001</v>
      </c>
      <c r="E9" s="12">
        <v>2002</v>
      </c>
      <c r="F9" s="13"/>
      <c r="G9" s="59">
        <v>2003</v>
      </c>
      <c r="H9" s="59">
        <v>2004</v>
      </c>
      <c r="I9" s="15"/>
      <c r="J9" s="60">
        <v>2005</v>
      </c>
      <c r="K9" s="1"/>
      <c r="L9" s="51">
        <v>1800</v>
      </c>
      <c r="M9" s="52">
        <v>30</v>
      </c>
      <c r="N9" s="53">
        <v>600</v>
      </c>
      <c r="O9" s="62">
        <v>10</v>
      </c>
      <c r="P9" s="63"/>
    </row>
    <row r="10" spans="2:16" x14ac:dyDescent="0.3">
      <c r="B10" s="17">
        <v>19</v>
      </c>
      <c r="D10" s="18">
        <v>1901</v>
      </c>
      <c r="E10" s="19">
        <v>1902</v>
      </c>
      <c r="F10" s="20"/>
      <c r="G10" s="14">
        <v>1903</v>
      </c>
      <c r="H10" s="14">
        <v>1904</v>
      </c>
      <c r="I10" s="21"/>
      <c r="J10" s="16">
        <v>1905</v>
      </c>
      <c r="K10" s="1"/>
      <c r="L10" s="51">
        <v>1800</v>
      </c>
      <c r="M10" s="52">
        <v>30</v>
      </c>
      <c r="N10" s="53">
        <v>600</v>
      </c>
      <c r="O10" s="62">
        <v>8</v>
      </c>
      <c r="P10" s="63"/>
    </row>
    <row r="11" spans="2:16" x14ac:dyDescent="0.3">
      <c r="B11" s="17">
        <v>18</v>
      </c>
      <c r="D11" s="22">
        <v>1801</v>
      </c>
      <c r="E11" s="12">
        <v>1802</v>
      </c>
      <c r="F11" s="20"/>
      <c r="G11" s="14">
        <v>1803</v>
      </c>
      <c r="H11" s="14">
        <v>1804</v>
      </c>
      <c r="I11" s="21"/>
      <c r="J11" s="16">
        <v>1805</v>
      </c>
      <c r="K11" s="1"/>
      <c r="L11" s="51">
        <v>1800</v>
      </c>
      <c r="M11" s="52">
        <v>30</v>
      </c>
      <c r="N11" s="53">
        <v>600</v>
      </c>
      <c r="O11" s="62">
        <v>8</v>
      </c>
      <c r="P11" s="63"/>
    </row>
    <row r="12" spans="2:16" x14ac:dyDescent="0.3">
      <c r="B12" s="17">
        <v>17</v>
      </c>
      <c r="D12" s="23">
        <v>1701</v>
      </c>
      <c r="E12" s="12">
        <v>1702</v>
      </c>
      <c r="F12" s="20"/>
      <c r="G12" s="14">
        <v>1703</v>
      </c>
      <c r="H12" s="14">
        <v>1704</v>
      </c>
      <c r="I12" s="21"/>
      <c r="J12" s="16">
        <v>1705</v>
      </c>
      <c r="K12" s="1"/>
      <c r="L12" s="51">
        <v>1800</v>
      </c>
      <c r="M12" s="52">
        <v>30</v>
      </c>
      <c r="N12" s="53">
        <v>600</v>
      </c>
      <c r="O12" s="62">
        <v>8</v>
      </c>
      <c r="P12" s="63"/>
    </row>
    <row r="13" spans="2:16" x14ac:dyDescent="0.3">
      <c r="B13" s="17">
        <v>16</v>
      </c>
      <c r="D13" s="18">
        <v>1601</v>
      </c>
      <c r="E13" s="19">
        <v>1602</v>
      </c>
      <c r="F13" s="20"/>
      <c r="G13" s="14">
        <v>1603</v>
      </c>
      <c r="H13" s="14">
        <v>1604</v>
      </c>
      <c r="I13" s="21"/>
      <c r="J13" s="16">
        <v>1605</v>
      </c>
      <c r="K13" s="1"/>
      <c r="L13" s="51">
        <v>1800</v>
      </c>
      <c r="M13" s="52">
        <v>30</v>
      </c>
      <c r="N13" s="53">
        <v>600</v>
      </c>
      <c r="O13" s="62">
        <v>8</v>
      </c>
      <c r="P13" s="63"/>
    </row>
    <row r="14" spans="2:16" x14ac:dyDescent="0.3">
      <c r="B14" s="17">
        <v>15</v>
      </c>
      <c r="D14" s="22">
        <v>1501</v>
      </c>
      <c r="E14" s="12">
        <v>1502</v>
      </c>
      <c r="F14" s="20"/>
      <c r="G14" s="14">
        <v>1503</v>
      </c>
      <c r="H14" s="14">
        <v>1504</v>
      </c>
      <c r="I14" s="21"/>
      <c r="J14" s="16">
        <v>1505</v>
      </c>
      <c r="K14" s="1"/>
      <c r="L14" s="51">
        <v>1800</v>
      </c>
      <c r="M14" s="52">
        <v>30</v>
      </c>
      <c r="N14" s="53">
        <v>600</v>
      </c>
      <c r="O14" s="62">
        <v>8</v>
      </c>
      <c r="P14" s="63"/>
    </row>
    <row r="15" spans="2:16" x14ac:dyDescent="0.3">
      <c r="B15" s="17">
        <v>14</v>
      </c>
      <c r="D15" s="23">
        <v>1401</v>
      </c>
      <c r="E15" s="12">
        <v>1402</v>
      </c>
      <c r="F15" s="20"/>
      <c r="G15" s="14">
        <v>1403</v>
      </c>
      <c r="H15" s="14">
        <v>1404</v>
      </c>
      <c r="I15" s="21"/>
      <c r="J15" s="16">
        <v>1405</v>
      </c>
      <c r="K15" s="1"/>
      <c r="L15" s="51">
        <v>1800</v>
      </c>
      <c r="M15" s="52">
        <v>30</v>
      </c>
      <c r="N15" s="53">
        <v>600</v>
      </c>
      <c r="O15" s="62">
        <v>8</v>
      </c>
      <c r="P15" s="63"/>
    </row>
    <row r="16" spans="2:16" x14ac:dyDescent="0.3">
      <c r="B16" s="17">
        <v>13</v>
      </c>
      <c r="D16" s="18">
        <v>1301</v>
      </c>
      <c r="E16" s="19">
        <v>1302</v>
      </c>
      <c r="F16" s="20"/>
      <c r="G16" s="14">
        <v>1303</v>
      </c>
      <c r="H16" s="14">
        <v>1304</v>
      </c>
      <c r="I16" s="21"/>
      <c r="J16" s="16">
        <v>1305</v>
      </c>
      <c r="K16" s="1"/>
      <c r="L16" s="51">
        <v>1800</v>
      </c>
      <c r="M16" s="52">
        <v>30</v>
      </c>
      <c r="N16" s="53">
        <v>600</v>
      </c>
      <c r="O16" s="62">
        <v>8</v>
      </c>
      <c r="P16" s="63"/>
    </row>
    <row r="17" spans="2:16" x14ac:dyDescent="0.3">
      <c r="B17" s="17">
        <v>12</v>
      </c>
      <c r="D17" s="22">
        <v>1201</v>
      </c>
      <c r="E17" s="12">
        <v>1202</v>
      </c>
      <c r="F17" s="20"/>
      <c r="G17" s="14">
        <v>1203</v>
      </c>
      <c r="H17" s="14">
        <v>1204</v>
      </c>
      <c r="I17" s="21"/>
      <c r="J17" s="16">
        <v>1205</v>
      </c>
      <c r="K17" s="1"/>
      <c r="L17" s="51">
        <v>1800</v>
      </c>
      <c r="M17" s="52">
        <v>30</v>
      </c>
      <c r="N17" s="53">
        <v>600</v>
      </c>
      <c r="O17" s="62">
        <v>8</v>
      </c>
      <c r="P17" s="63"/>
    </row>
    <row r="18" spans="2:16" x14ac:dyDescent="0.3">
      <c r="B18" s="17">
        <v>11</v>
      </c>
      <c r="D18" s="23">
        <v>1101</v>
      </c>
      <c r="E18" s="12">
        <v>1102</v>
      </c>
      <c r="F18" s="20"/>
      <c r="G18" s="14">
        <v>1103</v>
      </c>
      <c r="H18" s="14">
        <v>1104</v>
      </c>
      <c r="I18" s="21"/>
      <c r="J18" s="16">
        <v>1105</v>
      </c>
      <c r="K18" s="1"/>
      <c r="L18" s="51">
        <v>1800</v>
      </c>
      <c r="M18" s="52">
        <v>30</v>
      </c>
      <c r="N18" s="53">
        <v>600</v>
      </c>
      <c r="O18" s="62">
        <v>8</v>
      </c>
      <c r="P18" s="63"/>
    </row>
    <row r="19" spans="2:16" x14ac:dyDescent="0.3">
      <c r="B19" s="17">
        <v>10</v>
      </c>
      <c r="D19" s="18">
        <v>1001</v>
      </c>
      <c r="E19" s="19">
        <v>1002</v>
      </c>
      <c r="F19" s="20"/>
      <c r="G19" s="14">
        <v>1003</v>
      </c>
      <c r="H19" s="14">
        <v>1004</v>
      </c>
      <c r="I19" s="21"/>
      <c r="J19" s="16">
        <v>1005</v>
      </c>
      <c r="K19" s="1"/>
      <c r="L19" s="51">
        <v>1800</v>
      </c>
      <c r="M19" s="52">
        <v>30</v>
      </c>
      <c r="N19" s="53">
        <v>600</v>
      </c>
      <c r="O19" s="62">
        <v>8</v>
      </c>
      <c r="P19" s="63"/>
    </row>
    <row r="20" spans="2:16" x14ac:dyDescent="0.3">
      <c r="B20" s="17">
        <v>9</v>
      </c>
      <c r="D20" s="22">
        <v>901</v>
      </c>
      <c r="E20" s="12">
        <v>902</v>
      </c>
      <c r="F20" s="20"/>
      <c r="G20" s="14">
        <v>903</v>
      </c>
      <c r="H20" s="14">
        <v>904</v>
      </c>
      <c r="I20" s="21"/>
      <c r="J20" s="16">
        <v>905</v>
      </c>
      <c r="K20" s="1"/>
      <c r="L20" s="51">
        <v>1800</v>
      </c>
      <c r="M20" s="52">
        <v>30</v>
      </c>
      <c r="N20" s="53">
        <v>600</v>
      </c>
      <c r="O20" s="62">
        <v>8</v>
      </c>
      <c r="P20" s="63"/>
    </row>
    <row r="21" spans="2:16" x14ac:dyDescent="0.3">
      <c r="B21" s="17">
        <v>8</v>
      </c>
      <c r="D21" s="23">
        <v>801</v>
      </c>
      <c r="E21" s="12">
        <v>802</v>
      </c>
      <c r="F21" s="20"/>
      <c r="G21" s="14">
        <v>803</v>
      </c>
      <c r="H21" s="14">
        <v>804</v>
      </c>
      <c r="I21" s="21"/>
      <c r="J21" s="16">
        <v>805</v>
      </c>
      <c r="K21" s="1"/>
      <c r="L21" s="51">
        <v>1800</v>
      </c>
      <c r="M21" s="52">
        <v>30</v>
      </c>
      <c r="N21" s="53">
        <v>600</v>
      </c>
      <c r="O21" s="62">
        <v>8</v>
      </c>
      <c r="P21" s="63"/>
    </row>
    <row r="22" spans="2:16" x14ac:dyDescent="0.3">
      <c r="B22" s="17">
        <v>7</v>
      </c>
      <c r="D22" s="18">
        <v>701</v>
      </c>
      <c r="E22" s="19">
        <v>702</v>
      </c>
      <c r="F22" s="20"/>
      <c r="G22" s="14">
        <v>703</v>
      </c>
      <c r="H22" s="14">
        <v>704</v>
      </c>
      <c r="I22" s="21"/>
      <c r="J22" s="16">
        <v>705</v>
      </c>
      <c r="K22" s="1"/>
      <c r="L22" s="51">
        <v>1800</v>
      </c>
      <c r="M22" s="52">
        <v>30</v>
      </c>
      <c r="N22" s="53">
        <v>600</v>
      </c>
      <c r="O22" s="62">
        <v>8</v>
      </c>
      <c r="P22" s="63"/>
    </row>
    <row r="23" spans="2:16" x14ac:dyDescent="0.3">
      <c r="B23" s="17">
        <v>6</v>
      </c>
      <c r="D23" s="22">
        <v>601</v>
      </c>
      <c r="E23" s="12">
        <v>602</v>
      </c>
      <c r="F23" s="20"/>
      <c r="G23" s="14">
        <v>603</v>
      </c>
      <c r="H23" s="14">
        <v>604</v>
      </c>
      <c r="I23" s="21"/>
      <c r="J23" s="16">
        <v>605</v>
      </c>
      <c r="K23" s="1"/>
      <c r="L23" s="51">
        <v>1800</v>
      </c>
      <c r="M23" s="52">
        <v>30</v>
      </c>
      <c r="N23" s="53">
        <v>600</v>
      </c>
      <c r="O23" s="62">
        <v>8</v>
      </c>
      <c r="P23" s="63"/>
    </row>
    <row r="24" spans="2:16" x14ac:dyDescent="0.3">
      <c r="B24" s="17">
        <v>5</v>
      </c>
      <c r="D24" s="23">
        <v>501</v>
      </c>
      <c r="E24" s="12">
        <v>502</v>
      </c>
      <c r="F24" s="20"/>
      <c r="G24" s="14">
        <v>503</v>
      </c>
      <c r="H24" s="14">
        <v>504</v>
      </c>
      <c r="I24" s="21"/>
      <c r="J24" s="16">
        <v>505</v>
      </c>
      <c r="K24" s="1"/>
      <c r="L24" s="51">
        <v>1800</v>
      </c>
      <c r="M24" s="52">
        <v>30</v>
      </c>
      <c r="N24" s="53">
        <v>600</v>
      </c>
      <c r="O24" s="62">
        <v>8</v>
      </c>
      <c r="P24" s="63"/>
    </row>
    <row r="25" spans="2:16" x14ac:dyDescent="0.3">
      <c r="B25" s="17">
        <v>4</v>
      </c>
      <c r="D25" s="18">
        <v>401</v>
      </c>
      <c r="E25" s="19">
        <v>402</v>
      </c>
      <c r="F25" s="20"/>
      <c r="G25" s="14">
        <v>403</v>
      </c>
      <c r="H25" s="14">
        <v>404</v>
      </c>
      <c r="I25" s="21"/>
      <c r="J25" s="16">
        <v>405</v>
      </c>
      <c r="K25" s="1"/>
      <c r="L25" s="51">
        <v>1800</v>
      </c>
      <c r="M25" s="52">
        <v>30</v>
      </c>
      <c r="N25" s="53">
        <v>600</v>
      </c>
      <c r="O25" s="62">
        <v>8</v>
      </c>
      <c r="P25" s="63"/>
    </row>
    <row r="26" spans="2:16" x14ac:dyDescent="0.3">
      <c r="B26" s="17">
        <v>3</v>
      </c>
      <c r="D26" s="22">
        <v>301</v>
      </c>
      <c r="E26" s="12">
        <v>302</v>
      </c>
      <c r="F26" s="20"/>
      <c r="G26" s="14">
        <v>303</v>
      </c>
      <c r="H26" s="14">
        <v>304</v>
      </c>
      <c r="I26" s="21"/>
      <c r="J26" s="16">
        <v>305</v>
      </c>
      <c r="K26" s="1"/>
      <c r="L26" s="51">
        <v>1800</v>
      </c>
      <c r="M26" s="52">
        <v>30</v>
      </c>
      <c r="N26" s="53">
        <v>600</v>
      </c>
      <c r="O26" s="62">
        <v>10</v>
      </c>
      <c r="P26" s="63"/>
    </row>
    <row r="27" spans="2:16" x14ac:dyDescent="0.3">
      <c r="B27" s="17">
        <v>2</v>
      </c>
      <c r="D27" s="23">
        <v>201</v>
      </c>
      <c r="E27" s="12">
        <v>202</v>
      </c>
      <c r="F27" s="20"/>
      <c r="G27" s="24"/>
      <c r="H27" s="14">
        <v>103</v>
      </c>
      <c r="I27" s="21"/>
      <c r="J27" s="25"/>
      <c r="K27" s="1"/>
      <c r="L27" s="51">
        <v>2000</v>
      </c>
      <c r="M27" s="52">
        <v>30</v>
      </c>
      <c r="N27" s="53">
        <v>800</v>
      </c>
      <c r="O27" s="62">
        <v>14</v>
      </c>
      <c r="P27" s="63"/>
    </row>
    <row r="28" spans="2:16" x14ac:dyDescent="0.3">
      <c r="B28" s="26">
        <v>1</v>
      </c>
      <c r="D28" s="18">
        <v>101</v>
      </c>
      <c r="E28" s="19">
        <v>102</v>
      </c>
      <c r="F28" s="46" t="s">
        <v>6</v>
      </c>
      <c r="G28" s="24" t="s">
        <v>5</v>
      </c>
      <c r="H28" s="27">
        <v>103</v>
      </c>
      <c r="I28" s="28" t="s">
        <v>7</v>
      </c>
      <c r="J28" s="61" t="s">
        <v>5</v>
      </c>
      <c r="K28" s="1"/>
      <c r="L28" s="51">
        <v>2000</v>
      </c>
      <c r="M28" s="52">
        <v>30</v>
      </c>
      <c r="N28" s="53">
        <v>800</v>
      </c>
      <c r="O28" s="62">
        <v>19</v>
      </c>
      <c r="P28" s="63"/>
    </row>
    <row r="29" spans="2:16" x14ac:dyDescent="0.3">
      <c r="B29" s="5" t="s">
        <v>8</v>
      </c>
      <c r="D29" s="29"/>
      <c r="E29" s="30"/>
      <c r="F29" s="31"/>
      <c r="G29" s="32"/>
      <c r="H29" s="31"/>
      <c r="I29" s="31"/>
      <c r="J29" s="33"/>
      <c r="K29" s="1"/>
      <c r="L29" s="51">
        <v>5000</v>
      </c>
      <c r="M29" s="52">
        <v>50</v>
      </c>
      <c r="N29" s="53">
        <v>2800</v>
      </c>
      <c r="O29" s="62">
        <v>31</v>
      </c>
      <c r="P29" s="63"/>
    </row>
    <row r="30" spans="2:16" x14ac:dyDescent="0.3">
      <c r="B30" s="26" t="s">
        <v>9</v>
      </c>
      <c r="D30" s="34"/>
      <c r="E30" s="35"/>
      <c r="F30" s="36"/>
      <c r="G30" s="37"/>
      <c r="H30" s="36"/>
      <c r="I30" s="36"/>
      <c r="J30" s="38"/>
      <c r="K30" s="1"/>
      <c r="L30" s="51">
        <v>5000</v>
      </c>
      <c r="M30" s="52">
        <v>60</v>
      </c>
      <c r="N30" s="53">
        <v>2600</v>
      </c>
      <c r="O30" s="62">
        <v>25</v>
      </c>
      <c r="P30" s="63"/>
    </row>
    <row r="31" spans="2:16" x14ac:dyDescent="0.3">
      <c r="B31" s="39" t="s">
        <v>10</v>
      </c>
      <c r="D31" s="40"/>
      <c r="E31" s="41"/>
      <c r="F31" s="42"/>
      <c r="G31" s="42"/>
      <c r="H31" s="42"/>
      <c r="I31" s="42"/>
      <c r="J31" s="43"/>
      <c r="K31" s="1"/>
      <c r="L31" s="51">
        <v>300</v>
      </c>
      <c r="M31" s="52">
        <v>40</v>
      </c>
      <c r="N31" s="53">
        <v>500</v>
      </c>
      <c r="O31" s="62">
        <v>12</v>
      </c>
      <c r="P31" s="63"/>
    </row>
    <row r="32" spans="2:16" x14ac:dyDescent="0.3">
      <c r="B32" s="39" t="s">
        <v>16</v>
      </c>
      <c r="C32" s="1"/>
      <c r="D32" s="1"/>
      <c r="E32" s="1"/>
      <c r="F32" s="1"/>
      <c r="G32" s="1"/>
      <c r="H32" s="1"/>
      <c r="I32" s="1"/>
      <c r="J32" s="1"/>
      <c r="K32" s="1"/>
      <c r="L32" s="54">
        <v>40</v>
      </c>
      <c r="M32" s="55">
        <v>0</v>
      </c>
      <c r="N32" s="56">
        <v>10</v>
      </c>
      <c r="O32" s="39" t="s">
        <v>11</v>
      </c>
      <c r="P32" s="39">
        <f>SUM(O7:P31)</f>
        <v>263</v>
      </c>
    </row>
    <row r="33" spans="2:16" x14ac:dyDescent="0.3">
      <c r="B33" s="1"/>
      <c r="C33" s="1"/>
      <c r="D33" s="1"/>
      <c r="E33" s="1"/>
      <c r="F33" s="1"/>
      <c r="G33" s="1"/>
      <c r="H33" s="1"/>
      <c r="I33" s="1"/>
      <c r="J33" s="1"/>
      <c r="K33" s="1"/>
      <c r="L33" s="57">
        <f>SUM(L8:L32)</f>
        <v>47040</v>
      </c>
      <c r="M33" s="58">
        <f>SUM(M8:M32)</f>
        <v>755</v>
      </c>
      <c r="N33" s="57">
        <f>SUM(N8:N32)</f>
        <v>18460</v>
      </c>
      <c r="O33" s="39" t="s">
        <v>12</v>
      </c>
      <c r="P33" s="45">
        <f>ROUNDUP((15+P32+(P32/6))/30,2)</f>
        <v>10.73</v>
      </c>
    </row>
    <row r="34" spans="2:16" x14ac:dyDescent="0.3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</row>
  </sheetData>
  <mergeCells count="28">
    <mergeCell ref="O9:P9"/>
    <mergeCell ref="D2:J2"/>
    <mergeCell ref="D3:J3"/>
    <mergeCell ref="O6:P6"/>
    <mergeCell ref="O7:P7"/>
    <mergeCell ref="O8:P8"/>
    <mergeCell ref="O21:P21"/>
    <mergeCell ref="O10:P10"/>
    <mergeCell ref="O11:P11"/>
    <mergeCell ref="O12:P12"/>
    <mergeCell ref="O13:P13"/>
    <mergeCell ref="O14:P14"/>
    <mergeCell ref="O15:P15"/>
    <mergeCell ref="O16:P16"/>
    <mergeCell ref="O17:P17"/>
    <mergeCell ref="O18:P18"/>
    <mergeCell ref="O19:P19"/>
    <mergeCell ref="O20:P20"/>
    <mergeCell ref="O28:P28"/>
    <mergeCell ref="O29:P29"/>
    <mergeCell ref="O30:P30"/>
    <mergeCell ref="O31:P31"/>
    <mergeCell ref="O22:P22"/>
    <mergeCell ref="O23:P23"/>
    <mergeCell ref="O24:P24"/>
    <mergeCell ref="O25:P25"/>
    <mergeCell ref="O26:P26"/>
    <mergeCell ref="O27:P27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골구조도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A2841</dc:creator>
  <cp:lastModifiedBy>A2841</cp:lastModifiedBy>
  <dcterms:created xsi:type="dcterms:W3CDTF">2025-12-12T02:11:34Z</dcterms:created>
  <dcterms:modified xsi:type="dcterms:W3CDTF">2025-12-12T08:46:22Z</dcterms:modified>
</cp:coreProperties>
</file>